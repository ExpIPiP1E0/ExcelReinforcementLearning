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filterPrivacy="1" codeName="ThisWorkbook"/>
  <xr:revisionPtr revIDLastSave="0" documentId="13_ncr:1_{2C4F5D71-A1DD-47BB-BE9A-5EB82496821E}" xr6:coauthVersionLast="41" xr6:coauthVersionMax="41" xr10:uidLastSave="{00000000-0000-0000-0000-000000000000}"/>
  <bookViews>
    <workbookView xWindow="-98" yWindow="-98" windowWidth="20715" windowHeight="13425" tabRatio="696" activeTab="3" xr2:uid="{00000000-000D-0000-FFFF-FFFF00000000}"/>
  </bookViews>
  <sheets>
    <sheet name="IO" sheetId="6" r:id="rId1"/>
    <sheet name="Random" sheetId="8" r:id="rId2"/>
    <sheet name="AlphaZero" sheetId="7" r:id="rId3"/>
    <sheet name="DNN" sheetId="4" r:id="rId4"/>
    <sheet name="MCTS" sheetId="1" r:id="rId5"/>
    <sheet name="ExperienceReplayBuffer" sheetId="2" r:id="rId6"/>
    <sheet name="miniBatch" sheetId="5" r:id="rId7"/>
    <sheet name="cvt" sheetId="3" r:id="rId8"/>
  </sheets>
  <functionGroups builtInGroupCount="19"/>
  <definedNames>
    <definedName name="_action" localSheetId="2">AlphaZero!$D$14</definedName>
    <definedName name="_action" localSheetId="0">IO!$H$6</definedName>
    <definedName name="_action" localSheetId="1">Random!$G$4</definedName>
    <definedName name="_alpha" localSheetId="3">DNN!#REF!</definedName>
    <definedName name="_DNN" localSheetId="3">DNN!$D$9:$AC$19</definedName>
    <definedName name="_DNN_parameter" localSheetId="3">DNN!$D$9:$M$13,DNN!$P$9:$U$13,DNN!$X$9:$AC$19</definedName>
    <definedName name="_done" localSheetId="0">IO!$H$7</definedName>
    <definedName name="_head" localSheetId="5">ExperienceReplayBuffer!$D$4:$Y$4</definedName>
    <definedName name="_objective" localSheetId="3">DNN!$E$3</definedName>
    <definedName name="_random_head" localSheetId="5">ExperienceReplayBuffer!$D$4</definedName>
    <definedName name="_result" localSheetId="0">IO!$H$8</definedName>
    <definedName name="_result_original" localSheetId="5">ExperienceReplayBuffer!$F$4</definedName>
    <definedName name="_state_current" localSheetId="0">IO!$B$4:$E$7</definedName>
    <definedName name="_state_next" localSheetId="0">IO!$B$12:$E$15</definedName>
    <definedName name="_tau" localSheetId="2">AlphaZero!$D$4</definedName>
    <definedName name="_to_ExpRepBuf" localSheetId="2">AlphaZero!$C$20:$X$20</definedName>
    <definedName name="solver_adj" localSheetId="3" hidden="1">DNN!$D$9:$M$13,DNN!$P$9:$U$13,DNN!$X$9:$AC$19</definedName>
    <definedName name="solver_cvg" localSheetId="3" hidden="1">0.0001</definedName>
    <definedName name="solver_cvg" localSheetId="6" hidden="1">0.0001</definedName>
    <definedName name="solver_drv" localSheetId="3" hidden="1">1</definedName>
    <definedName name="solver_drv" localSheetId="6" hidden="1">1</definedName>
    <definedName name="solver_eng" localSheetId="3" hidden="1">1</definedName>
    <definedName name="solver_eng" localSheetId="6" hidden="1">3</definedName>
    <definedName name="solver_est" localSheetId="3" hidden="1">1</definedName>
    <definedName name="solver_est" localSheetId="6" hidden="1">1</definedName>
    <definedName name="solver_itr" localSheetId="3" hidden="1">4</definedName>
    <definedName name="solver_itr" localSheetId="6" hidden="1">2147483647</definedName>
    <definedName name="solver_mip" localSheetId="3" hidden="1">2147483647</definedName>
    <definedName name="solver_mip" localSheetId="6" hidden="1">2147483647</definedName>
    <definedName name="solver_mni" localSheetId="3" hidden="1">30</definedName>
    <definedName name="solver_mni" localSheetId="6" hidden="1">30</definedName>
    <definedName name="solver_mrt" localSheetId="3" hidden="1">0.075</definedName>
    <definedName name="solver_mrt" localSheetId="6" hidden="1">0.075</definedName>
    <definedName name="solver_msl" localSheetId="3" hidden="1">2</definedName>
    <definedName name="solver_msl" localSheetId="6" hidden="1">2</definedName>
    <definedName name="solver_neg" localSheetId="3" hidden="1">2</definedName>
    <definedName name="solver_neg" localSheetId="6" hidden="1">2</definedName>
    <definedName name="solver_nod" localSheetId="3" hidden="1">2147483647</definedName>
    <definedName name="solver_nod" localSheetId="6" hidden="1">2147483647</definedName>
    <definedName name="solver_num" localSheetId="3" hidden="1">0</definedName>
    <definedName name="solver_num" localSheetId="6" hidden="1">0</definedName>
    <definedName name="solver_nwt" localSheetId="3" hidden="1">1</definedName>
    <definedName name="solver_nwt" localSheetId="6" hidden="1">1</definedName>
    <definedName name="solver_opt" localSheetId="3" hidden="1">DNN!$E$3</definedName>
    <definedName name="solver_opt" localSheetId="6" hidden="1">miniBatch!$DA$7</definedName>
    <definedName name="solver_pre" localSheetId="3" hidden="1">0.000001</definedName>
    <definedName name="solver_pre" localSheetId="6" hidden="1">0.000001</definedName>
    <definedName name="solver_rbv" localSheetId="3" hidden="1">2</definedName>
    <definedName name="solver_rbv" localSheetId="6" hidden="1">1</definedName>
    <definedName name="solver_rlx" localSheetId="3" hidden="1">2</definedName>
    <definedName name="solver_rlx" localSheetId="6" hidden="1">2</definedName>
    <definedName name="solver_rsd" localSheetId="3" hidden="1">0</definedName>
    <definedName name="solver_rsd" localSheetId="6" hidden="1">0</definedName>
    <definedName name="solver_scl" localSheetId="3" hidden="1">1</definedName>
    <definedName name="solver_scl" localSheetId="6" hidden="1">1</definedName>
    <definedName name="solver_sho" localSheetId="3" hidden="1">2</definedName>
    <definedName name="solver_sho" localSheetId="6" hidden="1">2</definedName>
    <definedName name="solver_ssz" localSheetId="3" hidden="1">100</definedName>
    <definedName name="solver_ssz" localSheetId="6" hidden="1">100</definedName>
    <definedName name="solver_tim" localSheetId="3" hidden="1">2147483647</definedName>
    <definedName name="solver_tim" localSheetId="6" hidden="1">2147483647</definedName>
    <definedName name="solver_tol" localSheetId="3" hidden="1">0.01</definedName>
    <definedName name="solver_tol" localSheetId="6" hidden="1">0.01</definedName>
    <definedName name="solver_typ" localSheetId="3" hidden="1">2</definedName>
    <definedName name="solver_typ" localSheetId="6" hidden="1">2</definedName>
    <definedName name="solver_val" localSheetId="3" hidden="1">0</definedName>
    <definedName name="solver_val" localSheetId="6" hidden="1">0</definedName>
    <definedName name="solver_ver" localSheetId="3" hidden="1">3</definedName>
    <definedName name="solver_ver" localSheetId="6" hidden="1">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2" l="1"/>
  <c r="C12" i="2"/>
  <c r="C16" i="2"/>
  <c r="C20" i="2"/>
  <c r="C28" i="2"/>
  <c r="C32" i="2"/>
  <c r="C36" i="2"/>
  <c r="C40" i="2"/>
  <c r="C48" i="2"/>
  <c r="C52" i="2"/>
  <c r="C56" i="2"/>
  <c r="C68" i="2"/>
  <c r="C72" i="2"/>
  <c r="C76" i="2"/>
  <c r="C80" i="2"/>
  <c r="C88" i="2"/>
  <c r="C92" i="2"/>
  <c r="C96" i="2"/>
  <c r="C100" i="2"/>
  <c r="C108" i="2"/>
  <c r="C112" i="2"/>
  <c r="C116" i="2"/>
  <c r="C120" i="2"/>
  <c r="C128" i="2"/>
  <c r="C132" i="2"/>
  <c r="C136" i="2"/>
  <c r="C140" i="2"/>
  <c r="C152" i="2"/>
  <c r="C156" i="2"/>
  <c r="C160" i="2"/>
  <c r="C164" i="2"/>
  <c r="C172" i="2"/>
  <c r="C176" i="2"/>
  <c r="C180" i="2"/>
  <c r="C184" i="2"/>
  <c r="C192" i="2"/>
  <c r="C196" i="2"/>
  <c r="C200" i="2"/>
  <c r="C204" i="2"/>
  <c r="C212" i="2"/>
  <c r="C216" i="2"/>
  <c r="C220" i="2"/>
  <c r="C224" i="2"/>
  <c r="C236" i="2"/>
  <c r="C240" i="2"/>
  <c r="C244" i="2"/>
  <c r="C252" i="2"/>
  <c r="C260" i="2"/>
  <c r="C24" i="2"/>
  <c r="C44" i="2"/>
  <c r="C60" i="2"/>
  <c r="C84" i="2"/>
  <c r="C104" i="2"/>
  <c r="C124" i="2"/>
  <c r="C144" i="2"/>
  <c r="C168" i="2"/>
  <c r="C188" i="2"/>
  <c r="C208" i="2"/>
  <c r="C228" i="2"/>
  <c r="C248" i="2"/>
  <c r="C64" i="2"/>
  <c r="C148" i="2"/>
  <c r="C232" i="2"/>
  <c r="C15" i="2"/>
  <c r="C19" i="2"/>
  <c r="C35" i="2"/>
  <c r="C43" i="2"/>
  <c r="C47" i="2"/>
  <c r="C51" i="2"/>
  <c r="C67" i="2"/>
  <c r="C79" i="2"/>
  <c r="C83" i="2"/>
  <c r="C87" i="2"/>
  <c r="C91" i="2"/>
  <c r="C95" i="2"/>
  <c r="C99" i="2"/>
  <c r="C103" i="2"/>
  <c r="C111" i="2"/>
  <c r="C115" i="2"/>
  <c r="C119" i="2"/>
  <c r="C127" i="2"/>
  <c r="C131" i="2"/>
  <c r="C147" i="2"/>
  <c r="C163" i="2"/>
  <c r="C167" i="2"/>
  <c r="C171" i="2"/>
  <c r="C179" i="2"/>
  <c r="C187" i="2"/>
  <c r="C191" i="2"/>
  <c r="C203" i="2"/>
  <c r="C207" i="2"/>
  <c r="C215" i="2"/>
  <c r="C219" i="2"/>
  <c r="C223" i="2"/>
  <c r="C231" i="2"/>
  <c r="C235" i="2"/>
  <c r="C239" i="2"/>
  <c r="C251" i="2"/>
  <c r="C255" i="2"/>
  <c r="C256" i="2"/>
  <c r="C7" i="2"/>
  <c r="C23" i="2"/>
  <c r="C30" i="2"/>
  <c r="C55" i="2"/>
  <c r="C63" i="2"/>
  <c r="C66" i="2"/>
  <c r="C82" i="2"/>
  <c r="C90" i="2"/>
  <c r="C102" i="2"/>
  <c r="C107" i="2"/>
  <c r="C118" i="2"/>
  <c r="C123" i="2"/>
  <c r="C126" i="2"/>
  <c r="C143" i="2"/>
  <c r="C155" i="2"/>
  <c r="C182" i="2"/>
  <c r="C183" i="2"/>
  <c r="C202" i="2"/>
  <c r="C211" i="2"/>
  <c r="C218" i="2"/>
  <c r="C226" i="2"/>
  <c r="C227" i="2"/>
  <c r="C234" i="2"/>
  <c r="C243" i="2"/>
  <c r="C247" i="2"/>
  <c r="C254" i="2"/>
  <c r="C258" i="2"/>
  <c r="C71" i="2"/>
  <c r="C75" i="2"/>
  <c r="C135" i="2"/>
  <c r="C139" i="2"/>
  <c r="C195" i="2"/>
  <c r="C199" i="2"/>
  <c r="C27" i="2"/>
  <c r="C31" i="2"/>
  <c r="C151" i="2"/>
  <c r="C159" i="2"/>
  <c r="C6" i="2"/>
  <c r="C11" i="2"/>
  <c r="C54" i="2"/>
  <c r="C58" i="2"/>
  <c r="C59" i="2"/>
  <c r="C86" i="2"/>
  <c r="C98" i="2"/>
  <c r="C122" i="2"/>
  <c r="C130" i="2"/>
  <c r="C150" i="2"/>
  <c r="C170" i="2"/>
  <c r="C175" i="2"/>
  <c r="C186" i="2"/>
  <c r="C194" i="2"/>
  <c r="C238" i="2"/>
  <c r="C250" i="2"/>
  <c r="C26" i="2"/>
  <c r="C38" i="2"/>
  <c r="C39" i="2"/>
  <c r="C70" i="2"/>
  <c r="C110" i="2"/>
  <c r="C146" i="2"/>
  <c r="C246" i="2"/>
  <c r="C259" i="2"/>
  <c r="C42" i="2"/>
  <c r="C50" i="2"/>
  <c r="C78" i="2"/>
  <c r="C134" i="2"/>
  <c r="C154" i="2"/>
  <c r="C166" i="2"/>
  <c r="C206" i="2"/>
  <c r="C18" i="2"/>
  <c r="C62" i="2"/>
  <c r="C94" i="2"/>
  <c r="C162" i="2"/>
  <c r="C190" i="2"/>
  <c r="C22" i="2"/>
  <c r="C106" i="2"/>
  <c r="C198" i="2"/>
  <c r="C34" i="2"/>
  <c r="C74" i="2"/>
  <c r="C114" i="2"/>
  <c r="C158" i="2"/>
  <c r="C230" i="2"/>
  <c r="C242" i="2"/>
  <c r="C178" i="2"/>
  <c r="C210" i="2"/>
  <c r="C138" i="2"/>
  <c r="C142" i="2"/>
  <c r="C14" i="2"/>
  <c r="C222" i="2"/>
  <c r="C217" i="2"/>
  <c r="C221" i="2"/>
  <c r="C233" i="2"/>
  <c r="C241" i="2"/>
  <c r="C245" i="2"/>
  <c r="C249" i="2"/>
  <c r="C46" i="2"/>
  <c r="C5" i="2"/>
  <c r="C9" i="2"/>
  <c r="C13" i="2"/>
  <c r="C17" i="2"/>
  <c r="C21" i="2"/>
  <c r="C29" i="2"/>
  <c r="C33" i="2"/>
  <c r="C37" i="2"/>
  <c r="C41" i="2"/>
  <c r="C53" i="2"/>
  <c r="C61" i="2"/>
  <c r="C65" i="2"/>
  <c r="C69" i="2"/>
  <c r="C77" i="2"/>
  <c r="C81" i="2"/>
  <c r="C85" i="2"/>
  <c r="C93" i="2"/>
  <c r="C97" i="2"/>
  <c r="C101" i="2"/>
  <c r="C105" i="2"/>
  <c r="C109" i="2"/>
  <c r="C113" i="2"/>
  <c r="C117" i="2"/>
  <c r="C121" i="2"/>
  <c r="C125" i="2"/>
  <c r="C133" i="2"/>
  <c r="C145" i="2"/>
  <c r="C149" i="2"/>
  <c r="C153" i="2"/>
  <c r="C157" i="2"/>
  <c r="C165" i="2"/>
  <c r="C173" i="2"/>
  <c r="C177" i="2"/>
  <c r="C181" i="2"/>
  <c r="C185" i="2"/>
  <c r="C189" i="2"/>
  <c r="C193" i="2"/>
  <c r="C197" i="2"/>
  <c r="C201" i="2"/>
  <c r="C209" i="2"/>
  <c r="C229" i="2"/>
  <c r="C237" i="2"/>
  <c r="C253" i="2"/>
  <c r="C257" i="2"/>
  <c r="C73" i="2"/>
  <c r="C129" i="2"/>
  <c r="C169" i="2"/>
  <c r="C213" i="2"/>
  <c r="C161" i="2"/>
  <c r="C225" i="2"/>
  <c r="C174" i="2"/>
  <c r="C25" i="2"/>
  <c r="C57" i="2"/>
  <c r="C141" i="2"/>
  <c r="C49" i="2"/>
  <c r="C89" i="2"/>
  <c r="C205" i="2"/>
  <c r="C137" i="2"/>
  <c r="C214" i="2"/>
  <c r="C45" i="2"/>
  <c r="C10" i="2"/>
  <c r="E14" i="7" l="1"/>
  <c r="G3" i="8"/>
  <c r="B14" i="2" l="1"/>
  <c r="B5" i="2"/>
  <c r="B257" i="2"/>
  <c r="B253" i="2"/>
  <c r="B249" i="2"/>
  <c r="B245" i="2"/>
  <c r="B241" i="2"/>
  <c r="B237" i="2"/>
  <c r="B233" i="2"/>
  <c r="B229" i="2"/>
  <c r="B225" i="2"/>
  <c r="B221" i="2"/>
  <c r="B217" i="2"/>
  <c r="B213" i="2"/>
  <c r="B209" i="2"/>
  <c r="B205" i="2"/>
  <c r="B201" i="2"/>
  <c r="B197" i="2"/>
  <c r="B193" i="2"/>
  <c r="B189" i="2"/>
  <c r="B185" i="2"/>
  <c r="B181" i="2"/>
  <c r="B177" i="2"/>
  <c r="B173" i="2"/>
  <c r="B169" i="2"/>
  <c r="B165" i="2"/>
  <c r="B161" i="2"/>
  <c r="B157" i="2"/>
  <c r="B153" i="2"/>
  <c r="B149" i="2"/>
  <c r="B145" i="2"/>
  <c r="B141" i="2"/>
  <c r="B137" i="2"/>
  <c r="B133" i="2"/>
  <c r="B129" i="2"/>
  <c r="B125" i="2"/>
  <c r="B121" i="2"/>
  <c r="B117" i="2"/>
  <c r="B113" i="2"/>
  <c r="B109" i="2"/>
  <c r="B105" i="2"/>
  <c r="B101" i="2"/>
  <c r="B97" i="2"/>
  <c r="B93" i="2"/>
  <c r="B89" i="2"/>
  <c r="B85" i="2"/>
  <c r="B81" i="2"/>
  <c r="B77" i="2"/>
  <c r="B73" i="2"/>
  <c r="B69" i="2"/>
  <c r="B65" i="2"/>
  <c r="B61" i="2"/>
  <c r="B57" i="2"/>
  <c r="B53" i="2"/>
  <c r="B49" i="2"/>
  <c r="B45" i="2"/>
  <c r="B41" i="2"/>
  <c r="B37" i="2"/>
  <c r="B33" i="2"/>
  <c r="B29" i="2"/>
  <c r="B25" i="2"/>
  <c r="B21" i="2"/>
  <c r="B17" i="2"/>
  <c r="B12" i="2"/>
  <c r="B8" i="2"/>
  <c r="B260" i="2"/>
  <c r="B256" i="2"/>
  <c r="B252" i="2"/>
  <c r="B248" i="2"/>
  <c r="B244" i="2"/>
  <c r="B240" i="2"/>
  <c r="B236" i="2"/>
  <c r="B232" i="2"/>
  <c r="B228" i="2"/>
  <c r="B224" i="2"/>
  <c r="B220" i="2"/>
  <c r="B216" i="2"/>
  <c r="B212" i="2"/>
  <c r="B208" i="2"/>
  <c r="B204" i="2"/>
  <c r="B200" i="2"/>
  <c r="B196" i="2"/>
  <c r="B192" i="2"/>
  <c r="B188" i="2"/>
  <c r="B184" i="2"/>
  <c r="B180" i="2"/>
  <c r="B176" i="2"/>
  <c r="B172" i="2"/>
  <c r="B168" i="2"/>
  <c r="B164" i="2"/>
  <c r="B160" i="2"/>
  <c r="B156" i="2"/>
  <c r="B152" i="2"/>
  <c r="B148" i="2"/>
  <c r="B144" i="2"/>
  <c r="B140" i="2"/>
  <c r="B136" i="2"/>
  <c r="B132" i="2"/>
  <c r="B128" i="2"/>
  <c r="B124" i="2"/>
  <c r="B120" i="2"/>
  <c r="B116" i="2"/>
  <c r="B112" i="2"/>
  <c r="B108" i="2"/>
  <c r="B104" i="2"/>
  <c r="B100" i="2"/>
  <c r="B96" i="2"/>
  <c r="B92" i="2"/>
  <c r="B88" i="2"/>
  <c r="B84" i="2"/>
  <c r="B80" i="2"/>
  <c r="B76" i="2"/>
  <c r="B72" i="2"/>
  <c r="B68" i="2"/>
  <c r="B64" i="2"/>
  <c r="B60" i="2"/>
  <c r="B56" i="2"/>
  <c r="B52" i="2"/>
  <c r="B48" i="2"/>
  <c r="B44" i="2"/>
  <c r="B40" i="2"/>
  <c r="B36" i="2"/>
  <c r="B32" i="2"/>
  <c r="B28" i="2"/>
  <c r="B24" i="2"/>
  <c r="B20" i="2"/>
  <c r="B16" i="2"/>
  <c r="B11" i="2"/>
  <c r="B7" i="2"/>
  <c r="B259" i="2"/>
  <c r="B255" i="2"/>
  <c r="B251" i="2"/>
  <c r="B247" i="2"/>
  <c r="B243" i="2"/>
  <c r="B239" i="2"/>
  <c r="B235" i="2"/>
  <c r="B231" i="2"/>
  <c r="B227" i="2"/>
  <c r="B223" i="2"/>
  <c r="B219" i="2"/>
  <c r="B215" i="2"/>
  <c r="B211" i="2"/>
  <c r="B207" i="2"/>
  <c r="B203" i="2"/>
  <c r="B199" i="2"/>
  <c r="B195" i="2"/>
  <c r="B191" i="2"/>
  <c r="B187" i="2"/>
  <c r="B183" i="2"/>
  <c r="B179" i="2"/>
  <c r="B175" i="2"/>
  <c r="B171" i="2"/>
  <c r="B167" i="2"/>
  <c r="B163" i="2"/>
  <c r="B159" i="2"/>
  <c r="B155" i="2"/>
  <c r="B151" i="2"/>
  <c r="B147" i="2"/>
  <c r="B143" i="2"/>
  <c r="B139" i="2"/>
  <c r="B135" i="2"/>
  <c r="B131" i="2"/>
  <c r="B127" i="2"/>
  <c r="B123" i="2"/>
  <c r="B119" i="2"/>
  <c r="B115" i="2"/>
  <c r="B111" i="2"/>
  <c r="B107" i="2"/>
  <c r="B103" i="2"/>
  <c r="B99" i="2"/>
  <c r="B95" i="2"/>
  <c r="B91" i="2"/>
  <c r="B87" i="2"/>
  <c r="B83" i="2"/>
  <c r="B79" i="2"/>
  <c r="B75" i="2"/>
  <c r="B71" i="2"/>
  <c r="B67" i="2"/>
  <c r="B63" i="2"/>
  <c r="B59" i="2"/>
  <c r="B55" i="2"/>
  <c r="B51" i="2"/>
  <c r="B47" i="2"/>
  <c r="B43" i="2"/>
  <c r="B39" i="2"/>
  <c r="B35" i="2"/>
  <c r="B31" i="2"/>
  <c r="B27" i="2"/>
  <c r="B23" i="2"/>
  <c r="B19" i="2"/>
  <c r="B15" i="2"/>
  <c r="B10" i="2"/>
  <c r="B6" i="2"/>
  <c r="B258" i="2"/>
  <c r="B254" i="2"/>
  <c r="B250" i="2"/>
  <c r="B246" i="2"/>
  <c r="B242" i="2"/>
  <c r="B238" i="2"/>
  <c r="B234" i="2"/>
  <c r="B230" i="2"/>
  <c r="B226" i="2"/>
  <c r="B222" i="2"/>
  <c r="B218" i="2"/>
  <c r="B214" i="2"/>
  <c r="B210" i="2"/>
  <c r="B206" i="2"/>
  <c r="B202" i="2"/>
  <c r="B198" i="2"/>
  <c r="B194" i="2"/>
  <c r="B190" i="2"/>
  <c r="B186" i="2"/>
  <c r="B182" i="2"/>
  <c r="B178" i="2"/>
  <c r="B174" i="2"/>
  <c r="B170" i="2"/>
  <c r="B166" i="2"/>
  <c r="B162" i="2"/>
  <c r="B158" i="2"/>
  <c r="B154" i="2"/>
  <c r="B150" i="2"/>
  <c r="B146" i="2"/>
  <c r="B142" i="2"/>
  <c r="B138" i="2"/>
  <c r="B134" i="2"/>
  <c r="B130" i="2"/>
  <c r="B126" i="2"/>
  <c r="B122" i="2"/>
  <c r="B118" i="2"/>
  <c r="B114" i="2"/>
  <c r="B110" i="2"/>
  <c r="B106" i="2"/>
  <c r="B102" i="2"/>
  <c r="B98" i="2"/>
  <c r="B94" i="2"/>
  <c r="B90" i="2"/>
  <c r="B86" i="2"/>
  <c r="B82" i="2"/>
  <c r="B78" i="2"/>
  <c r="B74" i="2"/>
  <c r="B70" i="2"/>
  <c r="B66" i="2"/>
  <c r="B62" i="2"/>
  <c r="B58" i="2"/>
  <c r="B54" i="2"/>
  <c r="B50" i="2"/>
  <c r="B46" i="2"/>
  <c r="B42" i="2"/>
  <c r="B38" i="2"/>
  <c r="B34" i="2"/>
  <c r="B30" i="2"/>
  <c r="B26" i="2"/>
  <c r="B22" i="2"/>
  <c r="B18" i="2"/>
  <c r="B13" i="2"/>
  <c r="B9" i="2"/>
  <c r="Z260" i="2"/>
  <c r="Z259" i="2"/>
  <c r="Z258" i="2"/>
  <c r="Z257" i="2"/>
  <c r="Z256" i="2"/>
  <c r="Z255" i="2"/>
  <c r="Z254" i="2"/>
  <c r="Z253" i="2"/>
  <c r="Z252" i="2"/>
  <c r="Z251" i="2"/>
  <c r="Z250" i="2"/>
  <c r="Z249" i="2"/>
  <c r="Z248" i="2"/>
  <c r="Z247" i="2"/>
  <c r="Z246" i="2"/>
  <c r="Z245" i="2"/>
  <c r="Z244" i="2"/>
  <c r="Z243" i="2"/>
  <c r="Z242" i="2"/>
  <c r="Z241" i="2"/>
  <c r="Z240" i="2"/>
  <c r="Z239" i="2"/>
  <c r="Z238" i="2"/>
  <c r="Z237" i="2"/>
  <c r="Z236" i="2"/>
  <c r="Z235" i="2"/>
  <c r="Z234" i="2"/>
  <c r="Z233" i="2"/>
  <c r="Z232" i="2"/>
  <c r="Z231" i="2"/>
  <c r="Z230" i="2"/>
  <c r="Z229" i="2"/>
  <c r="Z228" i="2"/>
  <c r="Z227" i="2"/>
  <c r="Z226" i="2"/>
  <c r="Z225" i="2"/>
  <c r="Z224" i="2"/>
  <c r="Z223" i="2"/>
  <c r="Z222" i="2"/>
  <c r="Z221" i="2"/>
  <c r="Z220" i="2"/>
  <c r="Z219" i="2"/>
  <c r="Z218" i="2"/>
  <c r="Z217" i="2"/>
  <c r="Z216" i="2"/>
  <c r="Z215" i="2"/>
  <c r="Z214" i="2"/>
  <c r="Z213" i="2"/>
  <c r="Z212" i="2"/>
  <c r="Z211" i="2"/>
  <c r="Z210" i="2"/>
  <c r="Z209" i="2"/>
  <c r="Z208" i="2"/>
  <c r="Z207" i="2"/>
  <c r="Z206" i="2"/>
  <c r="Z205" i="2"/>
  <c r="Z204" i="2"/>
  <c r="Z203" i="2"/>
  <c r="Z202" i="2"/>
  <c r="Z201" i="2"/>
  <c r="Z200" i="2"/>
  <c r="Z199" i="2"/>
  <c r="Z198" i="2"/>
  <c r="Z197" i="2"/>
  <c r="Z196" i="2"/>
  <c r="Z195" i="2"/>
  <c r="Z194" i="2"/>
  <c r="Z193" i="2"/>
  <c r="Z192" i="2"/>
  <c r="Z191" i="2"/>
  <c r="Z190" i="2"/>
  <c r="Z189" i="2"/>
  <c r="Z188" i="2"/>
  <c r="Z187" i="2"/>
  <c r="Z186" i="2"/>
  <c r="Z185" i="2"/>
  <c r="Z184" i="2"/>
  <c r="Z183" i="2"/>
  <c r="Z182" i="2"/>
  <c r="Z181" i="2"/>
  <c r="Z180" i="2"/>
  <c r="Z179" i="2"/>
  <c r="Z178" i="2"/>
  <c r="Z177" i="2"/>
  <c r="Z176" i="2"/>
  <c r="Z175" i="2"/>
  <c r="Z174" i="2"/>
  <c r="Z173" i="2"/>
  <c r="Z172" i="2"/>
  <c r="Z171" i="2"/>
  <c r="Z170" i="2"/>
  <c r="Z169" i="2"/>
  <c r="Z168" i="2"/>
  <c r="Z167" i="2"/>
  <c r="Z166" i="2"/>
  <c r="Z165" i="2"/>
  <c r="Z164" i="2"/>
  <c r="Z163" i="2"/>
  <c r="Z162" i="2"/>
  <c r="Z161" i="2"/>
  <c r="Z160" i="2"/>
  <c r="Z159" i="2"/>
  <c r="Z158" i="2"/>
  <c r="Z157" i="2"/>
  <c r="Z156" i="2"/>
  <c r="Z155" i="2"/>
  <c r="Z154" i="2"/>
  <c r="Z153" i="2"/>
  <c r="Z152" i="2"/>
  <c r="Z151" i="2"/>
  <c r="Z150" i="2"/>
  <c r="Z149" i="2"/>
  <c r="Z148" i="2"/>
  <c r="Z147" i="2"/>
  <c r="Z146" i="2"/>
  <c r="Z145" i="2"/>
  <c r="Z144" i="2"/>
  <c r="Z143" i="2"/>
  <c r="Z142" i="2"/>
  <c r="Z141" i="2"/>
  <c r="Z140" i="2"/>
  <c r="Z139" i="2"/>
  <c r="Z138" i="2"/>
  <c r="Z137" i="2"/>
  <c r="Z136" i="2"/>
  <c r="Z135" i="2"/>
  <c r="Z134" i="2"/>
  <c r="Z133" i="2"/>
  <c r="Z132" i="2"/>
  <c r="Z131" i="2"/>
  <c r="Z130" i="2"/>
  <c r="Z129" i="2"/>
  <c r="Z128" i="2"/>
  <c r="Z127" i="2"/>
  <c r="Z126" i="2"/>
  <c r="Z125" i="2"/>
  <c r="Z124" i="2"/>
  <c r="Z123" i="2"/>
  <c r="Z122" i="2"/>
  <c r="Z121" i="2"/>
  <c r="Z120" i="2"/>
  <c r="Z119" i="2"/>
  <c r="Z118" i="2"/>
  <c r="Z117" i="2"/>
  <c r="Z116" i="2"/>
  <c r="Z115" i="2"/>
  <c r="Z114" i="2"/>
  <c r="Z113" i="2"/>
  <c r="Z112" i="2"/>
  <c r="Z111" i="2"/>
  <c r="Z110" i="2"/>
  <c r="Z109" i="2"/>
  <c r="Z108" i="2"/>
  <c r="Z107" i="2"/>
  <c r="Z106" i="2"/>
  <c r="Z105" i="2"/>
  <c r="Z104" i="2"/>
  <c r="Z6" i="2" l="1"/>
  <c r="C13" i="6"/>
  <c r="CO10" i="1"/>
  <c r="AT9" i="1"/>
  <c r="AU9" i="1" s="1"/>
  <c r="AV9" i="1" s="1"/>
  <c r="AW9" i="1" s="1"/>
  <c r="AX9" i="1" s="1"/>
  <c r="AY9" i="1" s="1"/>
  <c r="AZ9" i="1" s="1"/>
  <c r="BA9" i="1" s="1"/>
  <c r="BB9" i="1" s="1"/>
  <c r="BS9" i="1"/>
  <c r="BT9" i="1" s="1"/>
  <c r="BU9" i="1" s="1"/>
  <c r="BV9" i="1" s="1"/>
  <c r="BW9" i="1" s="1"/>
  <c r="BX9" i="1" s="1"/>
  <c r="BY9" i="1" s="1"/>
  <c r="BZ9" i="1" s="1"/>
  <c r="CA9" i="1" s="1"/>
  <c r="CE9" i="1"/>
  <c r="CF9" i="1" s="1"/>
  <c r="CG9" i="1" s="1"/>
  <c r="CH9" i="1" s="1"/>
  <c r="CI9" i="1" s="1"/>
  <c r="CJ9" i="1" s="1"/>
  <c r="CK9" i="1" s="1"/>
  <c r="CL9" i="1" s="1"/>
  <c r="CM9" i="1" s="1"/>
  <c r="BF9" i="1"/>
  <c r="BG9" i="1" s="1"/>
  <c r="BH9" i="1" s="1"/>
  <c r="BI9" i="1" s="1"/>
  <c r="BJ9" i="1" s="1"/>
  <c r="BK9" i="1" s="1"/>
  <c r="BL9" i="1" s="1"/>
  <c r="BM9" i="1" s="1"/>
  <c r="BN9" i="1" s="1"/>
  <c r="EE9" i="1" l="1"/>
  <c r="EF9" i="1" s="1"/>
  <c r="EG9" i="1" s="1"/>
  <c r="EH9" i="1" s="1"/>
  <c r="EI9" i="1" s="1"/>
  <c r="EJ9" i="1" s="1"/>
  <c r="EK9" i="1" s="1"/>
  <c r="EL9" i="1" s="1"/>
  <c r="P19" i="7"/>
  <c r="Q19" i="7" s="1"/>
  <c r="R19" i="7" s="1"/>
  <c r="S19" i="7" s="1"/>
  <c r="T19" i="7" s="1"/>
  <c r="U19" i="7" s="1"/>
  <c r="V19" i="7" s="1"/>
  <c r="W19" i="7" s="1"/>
  <c r="C20" i="7"/>
  <c r="G19" i="7"/>
  <c r="H19" i="7" s="1"/>
  <c r="I19" i="7" s="1"/>
  <c r="J19" i="7" s="1"/>
  <c r="K19" i="7" s="1"/>
  <c r="L19" i="7" s="1"/>
  <c r="M19" i="7" s="1"/>
  <c r="N19" i="7" s="1"/>
  <c r="E8" i="7"/>
  <c r="F8" i="7" s="1"/>
  <c r="G8" i="7" s="1"/>
  <c r="H8" i="7" s="1"/>
  <c r="I8" i="7" s="1"/>
  <c r="J8" i="7" s="1"/>
  <c r="K8" i="7" s="1"/>
  <c r="L8" i="7" s="1"/>
  <c r="M8" i="7" s="1"/>
  <c r="B5" i="8"/>
  <c r="B6" i="8" s="1"/>
  <c r="B7" i="8" s="1"/>
  <c r="B8" i="8" s="1"/>
  <c r="B9" i="8" s="1"/>
  <c r="B10" i="8" s="1"/>
  <c r="B11" i="8" s="1"/>
  <c r="B12" i="8" s="1"/>
  <c r="B13" i="8" s="1"/>
  <c r="P4" i="6"/>
  <c r="S7" i="6"/>
  <c r="Q20" i="6" s="1"/>
  <c r="R7" i="6"/>
  <c r="Q19" i="6" s="1"/>
  <c r="Q7" i="6"/>
  <c r="Q18" i="6" s="1"/>
  <c r="S6" i="6"/>
  <c r="Q17" i="6" s="1"/>
  <c r="R6" i="6"/>
  <c r="Q16" i="6" s="1"/>
  <c r="Q6" i="6"/>
  <c r="Q15" i="6" s="1"/>
  <c r="S5" i="6"/>
  <c r="Q14" i="6" s="1"/>
  <c r="R5" i="6"/>
  <c r="Q13" i="6" s="1"/>
  <c r="Q5" i="6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5" i="2"/>
  <c r="O6" i="5"/>
  <c r="P6" i="5" s="1"/>
  <c r="Q6" i="5" s="1"/>
  <c r="R6" i="5" s="1"/>
  <c r="S6" i="5" s="1"/>
  <c r="T6" i="5" s="1"/>
  <c r="U6" i="5" s="1"/>
  <c r="V6" i="5" s="1"/>
  <c r="W6" i="5" s="1"/>
  <c r="F6" i="5"/>
  <c r="G6" i="5" s="1"/>
  <c r="H6" i="5" s="1"/>
  <c r="I6" i="5" s="1"/>
  <c r="J6" i="5" s="1"/>
  <c r="K6" i="5" s="1"/>
  <c r="L6" i="5" s="1"/>
  <c r="M6" i="5" s="1"/>
  <c r="Q4" i="2"/>
  <c r="R4" i="2" s="1"/>
  <c r="S4" i="2" s="1"/>
  <c r="T4" i="2" s="1"/>
  <c r="U4" i="2" s="1"/>
  <c r="V4" i="2" s="1"/>
  <c r="W4" i="2" s="1"/>
  <c r="X4" i="2" s="1"/>
  <c r="Y4" i="2" s="1"/>
  <c r="H4" i="2"/>
  <c r="I4" i="2" s="1"/>
  <c r="J4" i="2" s="1"/>
  <c r="K4" i="2" s="1"/>
  <c r="L4" i="2" s="1"/>
  <c r="M4" i="2" s="1"/>
  <c r="N4" i="2" s="1"/>
  <c r="O4" i="2" s="1"/>
  <c r="E15" i="6"/>
  <c r="D15" i="6"/>
  <c r="C15" i="6"/>
  <c r="E14" i="6"/>
  <c r="D14" i="6"/>
  <c r="C14" i="6"/>
  <c r="E13" i="6"/>
  <c r="D13" i="6"/>
  <c r="H5" i="6"/>
  <c r="D10" i="1" s="1"/>
  <c r="CL6" i="5"/>
  <c r="CM6" i="5" s="1"/>
  <c r="CN6" i="5" s="1"/>
  <c r="CO6" i="5" s="1"/>
  <c r="CP6" i="5" s="1"/>
  <c r="CQ6" i="5" s="1"/>
  <c r="CR6" i="5" s="1"/>
  <c r="CS6" i="5" s="1"/>
  <c r="CT6" i="5" s="1"/>
  <c r="CU6" i="5" s="1"/>
  <c r="BZ6" i="5"/>
  <c r="CA6" i="5" s="1"/>
  <c r="CB6" i="5" s="1"/>
  <c r="CC6" i="5" s="1"/>
  <c r="CD6" i="5" s="1"/>
  <c r="CE6" i="5" s="1"/>
  <c r="CF6" i="5" s="1"/>
  <c r="CG6" i="5" s="1"/>
  <c r="CH6" i="5" s="1"/>
  <c r="CI6" i="5" s="1"/>
  <c r="BM6" i="5"/>
  <c r="BN6" i="5" s="1"/>
  <c r="BO6" i="5" s="1"/>
  <c r="BP6" i="5" s="1"/>
  <c r="BQ6" i="5" s="1"/>
  <c r="BR6" i="5" s="1"/>
  <c r="BS6" i="5" s="1"/>
  <c r="BT6" i="5" s="1"/>
  <c r="BU6" i="5" s="1"/>
  <c r="BV6" i="5" s="1"/>
  <c r="AZ6" i="5"/>
  <c r="BA6" i="5" s="1"/>
  <c r="BB6" i="5" s="1"/>
  <c r="BC6" i="5" s="1"/>
  <c r="BD6" i="5" s="1"/>
  <c r="BE6" i="5" s="1"/>
  <c r="BF6" i="5" s="1"/>
  <c r="BG6" i="5" s="1"/>
  <c r="BH6" i="5" s="1"/>
  <c r="BI6" i="5" s="1"/>
  <c r="AT6" i="5"/>
  <c r="AU6" i="5" s="1"/>
  <c r="AV6" i="5" s="1"/>
  <c r="AW6" i="5" s="1"/>
  <c r="AN6" i="5"/>
  <c r="AO6" i="5" s="1"/>
  <c r="AP6" i="5" s="1"/>
  <c r="AQ6" i="5" s="1"/>
  <c r="A6" i="2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FN9" i="1"/>
  <c r="FO9" i="1" s="1"/>
  <c r="FP9" i="1" s="1"/>
  <c r="FQ9" i="1" s="1"/>
  <c r="FR9" i="1" s="1"/>
  <c r="FS9" i="1" s="1"/>
  <c r="FT9" i="1" s="1"/>
  <c r="FU9" i="1" s="1"/>
  <c r="FV9" i="1" s="1"/>
  <c r="FW9" i="1" s="1"/>
  <c r="FA9" i="1"/>
  <c r="FB9" i="1" s="1"/>
  <c r="FC9" i="1" s="1"/>
  <c r="FD9" i="1" s="1"/>
  <c r="FE9" i="1" s="1"/>
  <c r="FF9" i="1" s="1"/>
  <c r="FG9" i="1" s="1"/>
  <c r="FH9" i="1" s="1"/>
  <c r="FI9" i="1" s="1"/>
  <c r="FJ9" i="1" s="1"/>
  <c r="EU9" i="1"/>
  <c r="EV9" i="1" s="1"/>
  <c r="F8" i="4"/>
  <c r="G8" i="4" s="1"/>
  <c r="H8" i="4" s="1"/>
  <c r="I8" i="4" s="1"/>
  <c r="J8" i="4" s="1"/>
  <c r="K8" i="4" s="1"/>
  <c r="L8" i="4" s="1"/>
  <c r="M8" i="4" s="1"/>
  <c r="EO9" i="1"/>
  <c r="EP9" i="1" s="1"/>
  <c r="EQ9" i="1" s="1"/>
  <c r="ER9" i="1" s="1"/>
  <c r="A104" i="2" l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A258" i="2" s="1"/>
  <c r="A259" i="2" s="1"/>
  <c r="A260" i="2" s="1"/>
  <c r="B12" i="6"/>
  <c r="I10" i="1"/>
  <c r="V5" i="6"/>
  <c r="V6" i="6"/>
  <c r="Q12" i="6"/>
  <c r="H13" i="6"/>
  <c r="CY7" i="5"/>
  <c r="CY8" i="5" s="1"/>
  <c r="CY9" i="5" s="1"/>
  <c r="CY10" i="5" s="1"/>
  <c r="CY11" i="5" s="1"/>
  <c r="CY12" i="5" s="1"/>
  <c r="CY13" i="5" s="1"/>
  <c r="CY14" i="5" s="1"/>
  <c r="CY15" i="5" s="1"/>
  <c r="CY16" i="5" s="1"/>
  <c r="CY17" i="5" s="1"/>
  <c r="CY18" i="5" s="1"/>
  <c r="CY19" i="5" s="1"/>
  <c r="CY20" i="5" s="1"/>
  <c r="CY21" i="5" s="1"/>
  <c r="CY22" i="5" s="1"/>
  <c r="CY23" i="5" s="1"/>
  <c r="CY24" i="5" s="1"/>
  <c r="CY25" i="5" s="1"/>
  <c r="CY26" i="5" s="1"/>
  <c r="CY27" i="5" s="1"/>
  <c r="CY28" i="5" s="1"/>
  <c r="CY29" i="5" s="1"/>
  <c r="CY30" i="5" s="1"/>
  <c r="CY31" i="5" s="1"/>
  <c r="CY32" i="5" s="1"/>
  <c r="CY33" i="5" s="1"/>
  <c r="CY34" i="5" s="1"/>
  <c r="CY35" i="5" s="1"/>
  <c r="CY36" i="5" s="1"/>
  <c r="EW9" i="1"/>
  <c r="D20" i="7" l="1"/>
  <c r="V4" i="6"/>
  <c r="H7" i="6" s="1"/>
  <c r="V7" i="6"/>
  <c r="H8" i="6" s="1"/>
  <c r="D7" i="5"/>
  <c r="EX9" i="1"/>
  <c r="M10" i="1"/>
  <c r="CQ9" i="1"/>
  <c r="CR9" i="1" s="1"/>
  <c r="CS9" i="1" s="1"/>
  <c r="CT9" i="1" s="1"/>
  <c r="CU9" i="1" s="1"/>
  <c r="CV9" i="1" s="1"/>
  <c r="CW9" i="1" s="1"/>
  <c r="CX9" i="1" s="1"/>
  <c r="CY9" i="1" s="1"/>
  <c r="AG9" i="1"/>
  <c r="S10" i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T9" i="1"/>
  <c r="T10" i="1" s="1"/>
  <c r="ED10" i="1" l="1"/>
  <c r="R12" i="6"/>
  <c r="C4" i="8" s="1"/>
  <c r="D4" i="8" s="1"/>
  <c r="R16" i="6"/>
  <c r="C8" i="8" s="1"/>
  <c r="D8" i="8" s="1"/>
  <c r="R18" i="6"/>
  <c r="C10" i="8" s="1"/>
  <c r="D10" i="8" s="1"/>
  <c r="R20" i="6"/>
  <c r="C12" i="8" s="1"/>
  <c r="D12" i="8" s="1"/>
  <c r="R13" i="6"/>
  <c r="C5" i="8" s="1"/>
  <c r="D5" i="8" s="1"/>
  <c r="R17" i="6"/>
  <c r="C9" i="8" s="1"/>
  <c r="D9" i="8" s="1"/>
  <c r="R14" i="6"/>
  <c r="C6" i="8" s="1"/>
  <c r="D6" i="8" s="1"/>
  <c r="R15" i="6"/>
  <c r="C7" i="8" s="1"/>
  <c r="D7" i="8" s="1"/>
  <c r="R19" i="6"/>
  <c r="C11" i="8" s="1"/>
  <c r="D11" i="8" s="1"/>
  <c r="F20" i="7"/>
  <c r="EE10" i="1"/>
  <c r="G20" i="7"/>
  <c r="U9" i="1"/>
  <c r="AH9" i="1"/>
  <c r="R21" i="6" l="1"/>
  <c r="C13" i="8" s="1"/>
  <c r="D13" i="8" s="1"/>
  <c r="V9" i="1"/>
  <c r="U10" i="1"/>
  <c r="AI9" i="1"/>
  <c r="D3" i="8" l="1"/>
  <c r="R11" i="6"/>
  <c r="S19" i="6" s="1"/>
  <c r="EF10" i="1"/>
  <c r="H20" i="7"/>
  <c r="W9" i="1"/>
  <c r="V10" i="1"/>
  <c r="AJ9" i="1"/>
  <c r="E6" i="8" l="1"/>
  <c r="E11" i="8"/>
  <c r="E10" i="8"/>
  <c r="E5" i="8"/>
  <c r="E9" i="8"/>
  <c r="E7" i="8"/>
  <c r="E8" i="8"/>
  <c r="E12" i="8"/>
  <c r="E13" i="8"/>
  <c r="E4" i="8"/>
  <c r="F4" i="8" s="1"/>
  <c r="I20" i="7"/>
  <c r="S21" i="6"/>
  <c r="S14" i="6"/>
  <c r="S13" i="6"/>
  <c r="S12" i="6"/>
  <c r="S20" i="6"/>
  <c r="S18" i="6"/>
  <c r="S16" i="6"/>
  <c r="S17" i="6"/>
  <c r="S15" i="6"/>
  <c r="EG10" i="1"/>
  <c r="X9" i="1"/>
  <c r="W10" i="1"/>
  <c r="AK9" i="1"/>
  <c r="F5" i="8" l="1"/>
  <c r="F6" i="8" s="1"/>
  <c r="F7" i="8" s="1"/>
  <c r="F8" i="8" s="1"/>
  <c r="F9" i="8" s="1"/>
  <c r="J20" i="7"/>
  <c r="EH10" i="1"/>
  <c r="Y9" i="1"/>
  <c r="X10" i="1"/>
  <c r="AL9" i="1"/>
  <c r="K20" i="7" l="1"/>
  <c r="F10" i="8"/>
  <c r="F11" i="8" s="1"/>
  <c r="EI10" i="1"/>
  <c r="Z9" i="1"/>
  <c r="Y10" i="1"/>
  <c r="AM9" i="1"/>
  <c r="F12" i="8" l="1"/>
  <c r="F13" i="8" s="1"/>
  <c r="L20" i="7"/>
  <c r="EJ10" i="1"/>
  <c r="AA9" i="1"/>
  <c r="Z10" i="1"/>
  <c r="AN9" i="1"/>
  <c r="G4" i="8" l="1"/>
  <c r="EK10" i="1"/>
  <c r="M20" i="7"/>
  <c r="AA10" i="1"/>
  <c r="AB10" i="1" s="1"/>
  <c r="R10" i="1" l="1"/>
  <c r="N20" i="7"/>
  <c r="AC10" i="1"/>
  <c r="EL10" i="1"/>
  <c r="AS10" i="1" l="1"/>
  <c r="AT10" i="1"/>
  <c r="E9" i="7" s="1"/>
  <c r="AU10" i="1"/>
  <c r="F9" i="7" s="1"/>
  <c r="AV10" i="1"/>
  <c r="AW10" i="1"/>
  <c r="H9" i="7" s="1"/>
  <c r="AX10" i="1"/>
  <c r="I9" i="7" s="1"/>
  <c r="AY10" i="1"/>
  <c r="J9" i="7" s="1"/>
  <c r="AZ10" i="1"/>
  <c r="K9" i="7" s="1"/>
  <c r="BA10" i="1"/>
  <c r="L9" i="7" s="1"/>
  <c r="ER10" i="1"/>
  <c r="EP10" i="1"/>
  <c r="EQ10" i="1"/>
  <c r="EO10" i="1"/>
  <c r="EN10" i="1"/>
  <c r="BB10" i="1" l="1"/>
  <c r="G9" i="7"/>
  <c r="EW10" i="1"/>
  <c r="ET10" i="1"/>
  <c r="EV10" i="1"/>
  <c r="EX10" i="1"/>
  <c r="EU10" i="1"/>
  <c r="FI10" i="1" l="1"/>
  <c r="FH10" i="1"/>
  <c r="FJ10" i="1"/>
  <c r="FW10" i="1" s="1"/>
  <c r="BO10" i="1" s="1"/>
  <c r="N10" i="1" s="1"/>
  <c r="FE10" i="1"/>
  <c r="FD10" i="1"/>
  <c r="FF10" i="1"/>
  <c r="FA10" i="1"/>
  <c r="FG10" i="1"/>
  <c r="FB10" i="1"/>
  <c r="FC10" i="1"/>
  <c r="EZ10" i="1"/>
  <c r="FL10" i="1" l="1"/>
  <c r="FT10" i="1" s="1"/>
  <c r="BL10" i="1" s="1"/>
  <c r="BY10" i="1" s="1"/>
  <c r="FQ10" i="1" l="1"/>
  <c r="BI10" i="1" s="1"/>
  <c r="BV10" i="1" s="1"/>
  <c r="FS10" i="1"/>
  <c r="BK10" i="1" s="1"/>
  <c r="BX10" i="1" s="1"/>
  <c r="FO10" i="1"/>
  <c r="BG10" i="1" s="1"/>
  <c r="BT10" i="1" s="1"/>
  <c r="FP10" i="1"/>
  <c r="BH10" i="1" s="1"/>
  <c r="BU10" i="1" s="1"/>
  <c r="FR10" i="1"/>
  <c r="BJ10" i="1" s="1"/>
  <c r="BW10" i="1" s="1"/>
  <c r="FN10" i="1"/>
  <c r="BF10" i="1" s="1"/>
  <c r="BS10" i="1" s="1"/>
  <c r="FV10" i="1"/>
  <c r="BN10" i="1" s="1"/>
  <c r="CA10" i="1" s="1"/>
  <c r="FU10" i="1"/>
  <c r="BM10" i="1" s="1"/>
  <c r="BZ10" i="1" s="1"/>
  <c r="FM10" i="1"/>
  <c r="BE10" i="1" s="1"/>
  <c r="BR10" i="1" s="1"/>
  <c r="C8" i="5" l="1"/>
  <c r="D8" i="5" s="1"/>
  <c r="H8" i="5" l="1"/>
  <c r="AF8" i="5" s="1"/>
  <c r="O8" i="5"/>
  <c r="CL8" i="5" s="1"/>
  <c r="G8" i="5"/>
  <c r="AE8" i="5" s="1"/>
  <c r="P8" i="5"/>
  <c r="CM8" i="5" s="1"/>
  <c r="Q8" i="5"/>
  <c r="CN8" i="5" s="1"/>
  <c r="R8" i="5"/>
  <c r="CO8" i="5" s="1"/>
  <c r="N8" i="5"/>
  <c r="CK8" i="5" s="1"/>
  <c r="T8" i="5"/>
  <c r="CQ8" i="5" s="1"/>
  <c r="M8" i="5"/>
  <c r="AK8" i="5" s="1"/>
  <c r="V8" i="5"/>
  <c r="CS8" i="5" s="1"/>
  <c r="I8" i="5"/>
  <c r="AG8" i="5" s="1"/>
  <c r="F8" i="5"/>
  <c r="AD8" i="5" s="1"/>
  <c r="W8" i="5"/>
  <c r="CT8" i="5" s="1"/>
  <c r="X8" i="5"/>
  <c r="CU8" i="5" s="1"/>
  <c r="J8" i="5"/>
  <c r="AH8" i="5" s="1"/>
  <c r="U8" i="5"/>
  <c r="CR8" i="5" s="1"/>
  <c r="K8" i="5"/>
  <c r="AI8" i="5" s="1"/>
  <c r="E8" i="5"/>
  <c r="AC8" i="5" s="1"/>
  <c r="L8" i="5"/>
  <c r="AJ8" i="5" s="1"/>
  <c r="S8" i="5"/>
  <c r="CP8" i="5" s="1"/>
  <c r="C9" i="5"/>
  <c r="D9" i="5" s="1"/>
  <c r="R7" i="5"/>
  <c r="CO7" i="5" s="1"/>
  <c r="N7" i="5"/>
  <c r="CK7" i="5" s="1"/>
  <c r="W7" i="5"/>
  <c r="CT7" i="5" s="1"/>
  <c r="S7" i="5"/>
  <c r="CP7" i="5" s="1"/>
  <c r="E7" i="5"/>
  <c r="AC7" i="5" s="1"/>
  <c r="T7" i="5"/>
  <c r="CQ7" i="5" s="1"/>
  <c r="L7" i="5"/>
  <c r="AJ7" i="5" s="1"/>
  <c r="P7" i="5"/>
  <c r="CM7" i="5" s="1"/>
  <c r="H7" i="5"/>
  <c r="AF7" i="5" s="1"/>
  <c r="V7" i="5"/>
  <c r="CS7" i="5" s="1"/>
  <c r="J7" i="5"/>
  <c r="AH7" i="5" s="1"/>
  <c r="I7" i="5"/>
  <c r="AG7" i="5" s="1"/>
  <c r="K7" i="5"/>
  <c r="AI7" i="5" s="1"/>
  <c r="M7" i="5"/>
  <c r="AK7" i="5" s="1"/>
  <c r="Q7" i="5"/>
  <c r="CN7" i="5" s="1"/>
  <c r="O7" i="5"/>
  <c r="CL7" i="5" s="1"/>
  <c r="F7" i="5"/>
  <c r="AD7" i="5" s="1"/>
  <c r="U7" i="5"/>
  <c r="CR7" i="5" s="1"/>
  <c r="X7" i="5"/>
  <c r="CU7" i="5" s="1"/>
  <c r="G7" i="5"/>
  <c r="AE7" i="5" s="1"/>
  <c r="AN7" i="5" l="1"/>
  <c r="AQ7" i="5"/>
  <c r="AO7" i="5"/>
  <c r="AP7" i="5"/>
  <c r="AQ8" i="5"/>
  <c r="AM8" i="5"/>
  <c r="AP8" i="5"/>
  <c r="AO8" i="5"/>
  <c r="AN8" i="5"/>
  <c r="AM7" i="5"/>
  <c r="C10" i="5"/>
  <c r="D10" i="5" l="1"/>
  <c r="D11" i="5" s="1"/>
  <c r="S11" i="5" s="1"/>
  <c r="CP11" i="5" s="1"/>
  <c r="C11" i="5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/>
  <c r="AU7" i="5"/>
  <c r="AS7" i="5"/>
  <c r="AW7" i="5"/>
  <c r="AV7" i="5"/>
  <c r="AT7" i="5"/>
  <c r="E9" i="5"/>
  <c r="AC9" i="5" s="1"/>
  <c r="W9" i="5"/>
  <c r="CT9" i="5" s="1"/>
  <c r="H9" i="5"/>
  <c r="AF9" i="5" s="1"/>
  <c r="L9" i="5"/>
  <c r="AJ9" i="5" s="1"/>
  <c r="V9" i="5"/>
  <c r="CS9" i="5" s="1"/>
  <c r="G9" i="5"/>
  <c r="AE9" i="5" s="1"/>
  <c r="Q9" i="5"/>
  <c r="CN9" i="5" s="1"/>
  <c r="K9" i="5"/>
  <c r="AI9" i="5" s="1"/>
  <c r="P9" i="5"/>
  <c r="CM9" i="5" s="1"/>
  <c r="J9" i="5"/>
  <c r="AH9" i="5" s="1"/>
  <c r="U9" i="5"/>
  <c r="CR9" i="5" s="1"/>
  <c r="F9" i="5"/>
  <c r="AD9" i="5" s="1"/>
  <c r="I9" i="5"/>
  <c r="AG9" i="5" s="1"/>
  <c r="T9" i="5"/>
  <c r="CQ9" i="5" s="1"/>
  <c r="R9" i="5"/>
  <c r="CO9" i="5" s="1"/>
  <c r="O9" i="5"/>
  <c r="CL9" i="5" s="1"/>
  <c r="X9" i="5"/>
  <c r="CU9" i="5" s="1"/>
  <c r="S9" i="5"/>
  <c r="CP9" i="5" s="1"/>
  <c r="N9" i="5"/>
  <c r="CK9" i="5" s="1"/>
  <c r="M9" i="5"/>
  <c r="AK9" i="5" s="1"/>
  <c r="AU8" i="5"/>
  <c r="AW8" i="5"/>
  <c r="AV8" i="5"/>
  <c r="AT8" i="5"/>
  <c r="AS8" i="5"/>
  <c r="AY7" i="5" l="1"/>
  <c r="D12" i="5"/>
  <c r="E12" i="5" s="1"/>
  <c r="AC12" i="5" s="1"/>
  <c r="V11" i="5"/>
  <c r="CS11" i="5" s="1"/>
  <c r="Q11" i="5"/>
  <c r="CN11" i="5" s="1"/>
  <c r="J11" i="5"/>
  <c r="AH11" i="5" s="1"/>
  <c r="G11" i="5"/>
  <c r="AE11" i="5" s="1"/>
  <c r="R11" i="5"/>
  <c r="CO11" i="5" s="1"/>
  <c r="T11" i="5"/>
  <c r="CQ11" i="5" s="1"/>
  <c r="L11" i="5"/>
  <c r="AJ11" i="5" s="1"/>
  <c r="E11" i="5"/>
  <c r="AC11" i="5" s="1"/>
  <c r="U11" i="5"/>
  <c r="CR11" i="5" s="1"/>
  <c r="F11" i="5"/>
  <c r="AD11" i="5" s="1"/>
  <c r="P11" i="5"/>
  <c r="CM11" i="5" s="1"/>
  <c r="K11" i="5"/>
  <c r="AI11" i="5" s="1"/>
  <c r="N11" i="5"/>
  <c r="CK11" i="5" s="1"/>
  <c r="W11" i="5"/>
  <c r="CT11" i="5" s="1"/>
  <c r="I11" i="5"/>
  <c r="AG11" i="5" s="1"/>
  <c r="X11" i="5"/>
  <c r="CU11" i="5" s="1"/>
  <c r="O11" i="5"/>
  <c r="CL11" i="5" s="1"/>
  <c r="H11" i="5"/>
  <c r="AF11" i="5" s="1"/>
  <c r="M11" i="5"/>
  <c r="AK11" i="5" s="1"/>
  <c r="AP9" i="5"/>
  <c r="AM9" i="5"/>
  <c r="AO9" i="5"/>
  <c r="AQ9" i="5"/>
  <c r="AN9" i="5"/>
  <c r="C35" i="5"/>
  <c r="BI8" i="5"/>
  <c r="BV8" i="5" s="1"/>
  <c r="CI8" i="5" s="1"/>
  <c r="CX8" i="5" s="1"/>
  <c r="BH8" i="5"/>
  <c r="BB8" i="5"/>
  <c r="BA8" i="5"/>
  <c r="AY8" i="5"/>
  <c r="BE8" i="5"/>
  <c r="AZ8" i="5"/>
  <c r="BG8" i="5"/>
  <c r="BD8" i="5"/>
  <c r="BF8" i="5"/>
  <c r="BC8" i="5"/>
  <c r="AZ7" i="5"/>
  <c r="BF7" i="5"/>
  <c r="BD7" i="5"/>
  <c r="BG7" i="5"/>
  <c r="BA7" i="5"/>
  <c r="BE7" i="5"/>
  <c r="BH7" i="5"/>
  <c r="BC7" i="5"/>
  <c r="BI7" i="5"/>
  <c r="BV7" i="5" s="1"/>
  <c r="CI7" i="5" s="1"/>
  <c r="CX7" i="5" s="1"/>
  <c r="BB7" i="5"/>
  <c r="E10" i="5"/>
  <c r="AC10" i="5" s="1"/>
  <c r="W10" i="5"/>
  <c r="CT10" i="5" s="1"/>
  <c r="L10" i="5"/>
  <c r="AJ10" i="5" s="1"/>
  <c r="S10" i="5"/>
  <c r="CP10" i="5" s="1"/>
  <c r="T10" i="5"/>
  <c r="CQ10" i="5" s="1"/>
  <c r="P10" i="5"/>
  <c r="CM10" i="5" s="1"/>
  <c r="K10" i="5"/>
  <c r="AI10" i="5" s="1"/>
  <c r="M10" i="5"/>
  <c r="AK10" i="5" s="1"/>
  <c r="J10" i="5"/>
  <c r="AH10" i="5" s="1"/>
  <c r="Q10" i="5"/>
  <c r="CN10" i="5" s="1"/>
  <c r="F10" i="5"/>
  <c r="AD10" i="5" s="1"/>
  <c r="N10" i="5"/>
  <c r="CK10" i="5" s="1"/>
  <c r="I10" i="5"/>
  <c r="AG10" i="5" s="1"/>
  <c r="U10" i="5"/>
  <c r="CR10" i="5" s="1"/>
  <c r="H10" i="5"/>
  <c r="AF10" i="5" s="1"/>
  <c r="O10" i="5"/>
  <c r="CL10" i="5" s="1"/>
  <c r="R10" i="5"/>
  <c r="CO10" i="5" s="1"/>
  <c r="X10" i="5"/>
  <c r="CU10" i="5" s="1"/>
  <c r="G10" i="5"/>
  <c r="AE10" i="5" s="1"/>
  <c r="V10" i="5"/>
  <c r="CS10" i="5" s="1"/>
  <c r="BK8" i="5" l="1"/>
  <c r="BT8" i="5" s="1"/>
  <c r="BK7" i="5"/>
  <c r="BL7" i="5" s="1"/>
  <c r="S12" i="5"/>
  <c r="CP12" i="5" s="1"/>
  <c r="X12" i="5"/>
  <c r="CU12" i="5" s="1"/>
  <c r="U12" i="5"/>
  <c r="CR12" i="5" s="1"/>
  <c r="D13" i="5"/>
  <c r="R13" i="5" s="1"/>
  <c r="CO13" i="5" s="1"/>
  <c r="M12" i="5"/>
  <c r="AK12" i="5" s="1"/>
  <c r="N12" i="5"/>
  <c r="CK12" i="5" s="1"/>
  <c r="V12" i="5"/>
  <c r="CS12" i="5" s="1"/>
  <c r="P12" i="5"/>
  <c r="CM12" i="5" s="1"/>
  <c r="O12" i="5"/>
  <c r="CL12" i="5" s="1"/>
  <c r="H12" i="5"/>
  <c r="AF12" i="5" s="1"/>
  <c r="T12" i="5"/>
  <c r="CQ12" i="5" s="1"/>
  <c r="J12" i="5"/>
  <c r="AH12" i="5" s="1"/>
  <c r="R12" i="5"/>
  <c r="CO12" i="5" s="1"/>
  <c r="L12" i="5"/>
  <c r="AJ12" i="5" s="1"/>
  <c r="G12" i="5"/>
  <c r="AE12" i="5" s="1"/>
  <c r="K12" i="5"/>
  <c r="AI12" i="5" s="1"/>
  <c r="W12" i="5"/>
  <c r="CT12" i="5" s="1"/>
  <c r="Q12" i="5"/>
  <c r="CN12" i="5" s="1"/>
  <c r="F12" i="5"/>
  <c r="AD12" i="5" s="1"/>
  <c r="I12" i="5"/>
  <c r="AG12" i="5" s="1"/>
  <c r="AM11" i="5"/>
  <c r="AQ11" i="5"/>
  <c r="AP11" i="5"/>
  <c r="AN11" i="5"/>
  <c r="AO11" i="5"/>
  <c r="AO10" i="5"/>
  <c r="AN10" i="5"/>
  <c r="AQ10" i="5"/>
  <c r="AM10" i="5"/>
  <c r="AP10" i="5"/>
  <c r="AU9" i="5"/>
  <c r="AT9" i="5"/>
  <c r="AW9" i="5"/>
  <c r="AS9" i="5"/>
  <c r="AV9" i="5"/>
  <c r="C36" i="5"/>
  <c r="BO7" i="5" l="1"/>
  <c r="BP7" i="5"/>
  <c r="AM12" i="5"/>
  <c r="AP12" i="5"/>
  <c r="T13" i="5"/>
  <c r="CQ13" i="5" s="1"/>
  <c r="J13" i="5"/>
  <c r="AH13" i="5" s="1"/>
  <c r="G13" i="5"/>
  <c r="AE13" i="5" s="1"/>
  <c r="K13" i="5"/>
  <c r="AI13" i="5" s="1"/>
  <c r="F13" i="5"/>
  <c r="AD13" i="5" s="1"/>
  <c r="H13" i="5"/>
  <c r="AF13" i="5" s="1"/>
  <c r="P13" i="5"/>
  <c r="CM13" i="5" s="1"/>
  <c r="U13" i="5"/>
  <c r="CR13" i="5" s="1"/>
  <c r="V13" i="5"/>
  <c r="CS13" i="5" s="1"/>
  <c r="N13" i="5"/>
  <c r="CK13" i="5" s="1"/>
  <c r="D14" i="5"/>
  <c r="V14" i="5" s="1"/>
  <c r="CS14" i="5" s="1"/>
  <c r="L13" i="5"/>
  <c r="AJ13" i="5" s="1"/>
  <c r="M13" i="5"/>
  <c r="AK13" i="5" s="1"/>
  <c r="I13" i="5"/>
  <c r="AG13" i="5" s="1"/>
  <c r="X13" i="5"/>
  <c r="CU13" i="5" s="1"/>
  <c r="S13" i="5"/>
  <c r="CP13" i="5" s="1"/>
  <c r="W13" i="5"/>
  <c r="CT13" i="5" s="1"/>
  <c r="Q13" i="5"/>
  <c r="CN13" i="5" s="1"/>
  <c r="O13" i="5"/>
  <c r="CL13" i="5" s="1"/>
  <c r="E13" i="5"/>
  <c r="AC13" i="5" s="1"/>
  <c r="AO12" i="5"/>
  <c r="AN12" i="5"/>
  <c r="AQ12" i="5"/>
  <c r="AU11" i="5"/>
  <c r="AW11" i="5"/>
  <c r="AS11" i="5"/>
  <c r="AV11" i="5"/>
  <c r="AT11" i="5"/>
  <c r="BI9" i="5"/>
  <c r="BV9" i="5" s="1"/>
  <c r="CI9" i="5" s="1"/>
  <c r="CX9" i="5" s="1"/>
  <c r="BG9" i="5"/>
  <c r="BE9" i="5"/>
  <c r="AY9" i="5"/>
  <c r="BH9" i="5"/>
  <c r="BC9" i="5"/>
  <c r="AZ9" i="5"/>
  <c r="BD9" i="5"/>
  <c r="BA9" i="5"/>
  <c r="BB9" i="5"/>
  <c r="BF9" i="5"/>
  <c r="AS10" i="5"/>
  <c r="AW10" i="5"/>
  <c r="AT10" i="5"/>
  <c r="AV10" i="5"/>
  <c r="AU10" i="5"/>
  <c r="BQ7" i="5"/>
  <c r="BU7" i="5"/>
  <c r="BS7" i="5"/>
  <c r="BR7" i="5"/>
  <c r="BO8" i="5"/>
  <c r="BM7" i="5"/>
  <c r="BU8" i="5"/>
  <c r="BM8" i="5"/>
  <c r="BN7" i="5"/>
  <c r="BL8" i="5"/>
  <c r="BQ8" i="5"/>
  <c r="BR8" i="5"/>
  <c r="BP8" i="5"/>
  <c r="BT7" i="5"/>
  <c r="BN8" i="5"/>
  <c r="BS8" i="5"/>
  <c r="BK9" i="5" l="1"/>
  <c r="BP9" i="5" s="1"/>
  <c r="BX8" i="5"/>
  <c r="CG8" i="5" s="1"/>
  <c r="BX7" i="5"/>
  <c r="J14" i="5"/>
  <c r="AH14" i="5" s="1"/>
  <c r="L14" i="5"/>
  <c r="AJ14" i="5" s="1"/>
  <c r="D15" i="5"/>
  <c r="J15" i="5" s="1"/>
  <c r="AH15" i="5" s="1"/>
  <c r="AM13" i="5"/>
  <c r="U14" i="5"/>
  <c r="CR14" i="5" s="1"/>
  <c r="W14" i="5"/>
  <c r="CT14" i="5" s="1"/>
  <c r="K14" i="5"/>
  <c r="AI14" i="5" s="1"/>
  <c r="E14" i="5"/>
  <c r="AC14" i="5" s="1"/>
  <c r="M14" i="5"/>
  <c r="AK14" i="5" s="1"/>
  <c r="O14" i="5"/>
  <c r="CL14" i="5" s="1"/>
  <c r="F14" i="5"/>
  <c r="AD14" i="5" s="1"/>
  <c r="S14" i="5"/>
  <c r="CP14" i="5" s="1"/>
  <c r="X14" i="5"/>
  <c r="CU14" i="5" s="1"/>
  <c r="N14" i="5"/>
  <c r="CK14" i="5" s="1"/>
  <c r="P14" i="5"/>
  <c r="CM14" i="5" s="1"/>
  <c r="I14" i="5"/>
  <c r="AG14" i="5" s="1"/>
  <c r="AV12" i="5"/>
  <c r="AT12" i="5"/>
  <c r="T14" i="5"/>
  <c r="CQ14" i="5" s="1"/>
  <c r="R14" i="5"/>
  <c r="CO14" i="5" s="1"/>
  <c r="AN13" i="5"/>
  <c r="H14" i="5"/>
  <c r="AF14" i="5" s="1"/>
  <c r="Q14" i="5"/>
  <c r="CN14" i="5" s="1"/>
  <c r="AS12" i="5"/>
  <c r="AU12" i="5"/>
  <c r="AQ13" i="5"/>
  <c r="AW12" i="5"/>
  <c r="AP13" i="5"/>
  <c r="G14" i="5"/>
  <c r="AE14" i="5" s="1"/>
  <c r="AO13" i="5"/>
  <c r="BH11" i="5"/>
  <c r="BG11" i="5"/>
  <c r="BI11" i="5"/>
  <c r="BV11" i="5" s="1"/>
  <c r="CI11" i="5" s="1"/>
  <c r="CX11" i="5" s="1"/>
  <c r="BB11" i="5"/>
  <c r="BE11" i="5"/>
  <c r="BC11" i="5"/>
  <c r="BD11" i="5"/>
  <c r="BF11" i="5"/>
  <c r="AZ11" i="5"/>
  <c r="AY11" i="5"/>
  <c r="BA11" i="5"/>
  <c r="D16" i="5"/>
  <c r="BD10" i="5"/>
  <c r="BA10" i="5"/>
  <c r="BC10" i="5"/>
  <c r="AZ10" i="5"/>
  <c r="BH10" i="5"/>
  <c r="BG10" i="5"/>
  <c r="BE10" i="5"/>
  <c r="BB10" i="5"/>
  <c r="BI10" i="5"/>
  <c r="BF10" i="5"/>
  <c r="AY10" i="5"/>
  <c r="BK11" i="5" l="1"/>
  <c r="BN11" i="5" s="1"/>
  <c r="CC7" i="5"/>
  <c r="BY7" i="5"/>
  <c r="BV10" i="5"/>
  <c r="CI10" i="5" s="1"/>
  <c r="CX10" i="5" s="1"/>
  <c r="BK10" i="5"/>
  <c r="BO10" i="5" s="1"/>
  <c r="CE7" i="5"/>
  <c r="CH7" i="5"/>
  <c r="CD7" i="5"/>
  <c r="CF8" i="5"/>
  <c r="CH8" i="5"/>
  <c r="CA7" i="5"/>
  <c r="CB8" i="5"/>
  <c r="CC8" i="5"/>
  <c r="CD8" i="5"/>
  <c r="CF7" i="5"/>
  <c r="BZ8" i="5"/>
  <c r="BZ7" i="5"/>
  <c r="CB7" i="5"/>
  <c r="CA8" i="5"/>
  <c r="CG7" i="5"/>
  <c r="CE8" i="5"/>
  <c r="BY8" i="5"/>
  <c r="BR9" i="5"/>
  <c r="BO9" i="5"/>
  <c r="BM9" i="5"/>
  <c r="BQ9" i="5"/>
  <c r="BT9" i="5"/>
  <c r="BU9" i="5"/>
  <c r="BN9" i="5"/>
  <c r="BS9" i="5"/>
  <c r="BL9" i="5"/>
  <c r="L15" i="5"/>
  <c r="AJ15" i="5" s="1"/>
  <c r="F15" i="5"/>
  <c r="AD15" i="5" s="1"/>
  <c r="X15" i="5"/>
  <c r="CU15" i="5" s="1"/>
  <c r="V15" i="5"/>
  <c r="CS15" i="5" s="1"/>
  <c r="G15" i="5"/>
  <c r="AE15" i="5" s="1"/>
  <c r="N15" i="5"/>
  <c r="CK15" i="5" s="1"/>
  <c r="U15" i="5"/>
  <c r="CR15" i="5" s="1"/>
  <c r="H15" i="5"/>
  <c r="AF15" i="5" s="1"/>
  <c r="W15" i="5"/>
  <c r="CT15" i="5" s="1"/>
  <c r="E15" i="5"/>
  <c r="AC15" i="5" s="1"/>
  <c r="O15" i="5"/>
  <c r="CL15" i="5" s="1"/>
  <c r="S15" i="5"/>
  <c r="CP15" i="5" s="1"/>
  <c r="M15" i="5"/>
  <c r="AK15" i="5" s="1"/>
  <c r="Q15" i="5"/>
  <c r="CN15" i="5" s="1"/>
  <c r="T15" i="5"/>
  <c r="CQ15" i="5" s="1"/>
  <c r="K15" i="5"/>
  <c r="AI15" i="5" s="1"/>
  <c r="I15" i="5"/>
  <c r="AG15" i="5" s="1"/>
  <c r="P15" i="5"/>
  <c r="CM15" i="5" s="1"/>
  <c r="R15" i="5"/>
  <c r="CO15" i="5" s="1"/>
  <c r="AU13" i="5"/>
  <c r="BI12" i="5"/>
  <c r="BV12" i="5" s="1"/>
  <c r="CI12" i="5" s="1"/>
  <c r="CX12" i="5" s="1"/>
  <c r="AP14" i="5"/>
  <c r="AY12" i="5"/>
  <c r="AS13" i="5"/>
  <c r="BH12" i="5"/>
  <c r="AW13" i="5"/>
  <c r="AT13" i="5"/>
  <c r="BB12" i="5"/>
  <c r="AV13" i="5"/>
  <c r="AQ14" i="5"/>
  <c r="BD12" i="5"/>
  <c r="BC12" i="5"/>
  <c r="AZ12" i="5"/>
  <c r="AM14" i="5"/>
  <c r="BG12" i="5"/>
  <c r="BA12" i="5"/>
  <c r="BE12" i="5"/>
  <c r="AO14" i="5"/>
  <c r="BF12" i="5"/>
  <c r="AN14" i="5"/>
  <c r="K16" i="5"/>
  <c r="AI16" i="5" s="1"/>
  <c r="N16" i="5"/>
  <c r="CK16" i="5" s="1"/>
  <c r="Q16" i="5"/>
  <c r="CN16" i="5" s="1"/>
  <c r="L16" i="5"/>
  <c r="AJ16" i="5" s="1"/>
  <c r="T16" i="5"/>
  <c r="CQ16" i="5" s="1"/>
  <c r="V16" i="5"/>
  <c r="CS16" i="5" s="1"/>
  <c r="I16" i="5"/>
  <c r="AG16" i="5" s="1"/>
  <c r="W16" i="5"/>
  <c r="CT16" i="5" s="1"/>
  <c r="G16" i="5"/>
  <c r="AE16" i="5" s="1"/>
  <c r="J16" i="5"/>
  <c r="AH16" i="5" s="1"/>
  <c r="M16" i="5"/>
  <c r="AK16" i="5" s="1"/>
  <c r="X16" i="5"/>
  <c r="CU16" i="5" s="1"/>
  <c r="D17" i="5"/>
  <c r="S16" i="5"/>
  <c r="CP16" i="5" s="1"/>
  <c r="F16" i="5"/>
  <c r="AD16" i="5" s="1"/>
  <c r="H16" i="5"/>
  <c r="AF16" i="5" s="1"/>
  <c r="O16" i="5"/>
  <c r="CL16" i="5" s="1"/>
  <c r="R16" i="5"/>
  <c r="CO16" i="5" s="1"/>
  <c r="U16" i="5"/>
  <c r="CR16" i="5" s="1"/>
  <c r="E16" i="5"/>
  <c r="AC16" i="5" s="1"/>
  <c r="P16" i="5"/>
  <c r="CM16" i="5" s="1"/>
  <c r="BS10" i="5" l="1"/>
  <c r="BK12" i="5"/>
  <c r="BO12" i="5" s="1"/>
  <c r="CW7" i="5"/>
  <c r="CZ7" i="5" s="1"/>
  <c r="CW8" i="5"/>
  <c r="CZ8" i="5" s="1"/>
  <c r="BN10" i="5"/>
  <c r="BO11" i="5"/>
  <c r="BU10" i="5"/>
  <c r="BX9" i="5"/>
  <c r="CC9" i="5" s="1"/>
  <c r="BQ11" i="5"/>
  <c r="BS11" i="5"/>
  <c r="BR11" i="5"/>
  <c r="BP11" i="5"/>
  <c r="BU11" i="5"/>
  <c r="BR10" i="5"/>
  <c r="BM10" i="5"/>
  <c r="BT11" i="5"/>
  <c r="BL10" i="5"/>
  <c r="BP10" i="5"/>
  <c r="BM11" i="5"/>
  <c r="BL11" i="5"/>
  <c r="BT10" i="5"/>
  <c r="BQ10" i="5"/>
  <c r="AO15" i="5"/>
  <c r="AU14" i="5"/>
  <c r="AW14" i="5"/>
  <c r="BC13" i="5"/>
  <c r="AM15" i="5"/>
  <c r="AS14" i="5"/>
  <c r="AQ15" i="5"/>
  <c r="AN15" i="5"/>
  <c r="AP15" i="5"/>
  <c r="BE13" i="5"/>
  <c r="BG13" i="5"/>
  <c r="BI13" i="5"/>
  <c r="BV13" i="5" s="1"/>
  <c r="CI13" i="5" s="1"/>
  <c r="CX13" i="5" s="1"/>
  <c r="BA13" i="5"/>
  <c r="AY13" i="5"/>
  <c r="BH13" i="5"/>
  <c r="BF13" i="5"/>
  <c r="BD13" i="5"/>
  <c r="BB13" i="5"/>
  <c r="AZ13" i="5"/>
  <c r="AT14" i="5"/>
  <c r="AV14" i="5"/>
  <c r="AQ16" i="5"/>
  <c r="AO16" i="5"/>
  <c r="AM16" i="5"/>
  <c r="AP16" i="5"/>
  <c r="AN16" i="5"/>
  <c r="R17" i="5"/>
  <c r="CO17" i="5" s="1"/>
  <c r="U17" i="5"/>
  <c r="CR17" i="5" s="1"/>
  <c r="E17" i="5"/>
  <c r="AC17" i="5" s="1"/>
  <c r="L17" i="5"/>
  <c r="AJ17" i="5" s="1"/>
  <c r="W17" i="5"/>
  <c r="CT17" i="5" s="1"/>
  <c r="M17" i="5"/>
  <c r="AK17" i="5" s="1"/>
  <c r="S17" i="5"/>
  <c r="CP17" i="5" s="1"/>
  <c r="V17" i="5"/>
  <c r="CS17" i="5" s="1"/>
  <c r="F17" i="5"/>
  <c r="AD17" i="5" s="1"/>
  <c r="I17" i="5"/>
  <c r="AG17" i="5" s="1"/>
  <c r="O17" i="5"/>
  <c r="CL17" i="5" s="1"/>
  <c r="N17" i="5"/>
  <c r="CK17" i="5" s="1"/>
  <c r="Q17" i="5"/>
  <c r="CN17" i="5" s="1"/>
  <c r="X17" i="5"/>
  <c r="CU17" i="5" s="1"/>
  <c r="H17" i="5"/>
  <c r="AF17" i="5" s="1"/>
  <c r="K17" i="5"/>
  <c r="AI17" i="5" s="1"/>
  <c r="J17" i="5"/>
  <c r="AH17" i="5" s="1"/>
  <c r="T17" i="5"/>
  <c r="CQ17" i="5" s="1"/>
  <c r="G17" i="5"/>
  <c r="AE17" i="5" s="1"/>
  <c r="P17" i="5"/>
  <c r="CM17" i="5" s="1"/>
  <c r="D18" i="5"/>
  <c r="D9" i="7"/>
  <c r="BK13" i="5" l="1"/>
  <c r="BO13" i="5" s="1"/>
  <c r="BR12" i="5"/>
  <c r="CG9" i="5"/>
  <c r="CB9" i="5"/>
  <c r="BZ9" i="5"/>
  <c r="CD9" i="5"/>
  <c r="CE9" i="5"/>
  <c r="CH9" i="5"/>
  <c r="CF9" i="5"/>
  <c r="BY9" i="5"/>
  <c r="CA9" i="5"/>
  <c r="BX10" i="5"/>
  <c r="CF10" i="5" s="1"/>
  <c r="BX11" i="5"/>
  <c r="CA11" i="5" s="1"/>
  <c r="BT12" i="5"/>
  <c r="BU12" i="5"/>
  <c r="BL12" i="5"/>
  <c r="BP12" i="5"/>
  <c r="BQ12" i="5"/>
  <c r="BM12" i="5"/>
  <c r="BN12" i="5"/>
  <c r="BS12" i="5"/>
  <c r="AT15" i="5"/>
  <c r="AS15" i="5"/>
  <c r="AV15" i="5"/>
  <c r="BH14" i="5"/>
  <c r="AZ14" i="5"/>
  <c r="BG14" i="5"/>
  <c r="AW15" i="5"/>
  <c r="AU15" i="5"/>
  <c r="BA14" i="5"/>
  <c r="BE14" i="5"/>
  <c r="AY14" i="5"/>
  <c r="BC14" i="5"/>
  <c r="BI14" i="5"/>
  <c r="BV14" i="5" s="1"/>
  <c r="CI14" i="5" s="1"/>
  <c r="CX14" i="5" s="1"/>
  <c r="BB14" i="5"/>
  <c r="BD14" i="5"/>
  <c r="BF14" i="5"/>
  <c r="AP17" i="5"/>
  <c r="AQ17" i="5"/>
  <c r="AO17" i="5"/>
  <c r="AN17" i="5"/>
  <c r="AM17" i="5"/>
  <c r="L18" i="5"/>
  <c r="AJ18" i="5" s="1"/>
  <c r="K18" i="5"/>
  <c r="AI18" i="5" s="1"/>
  <c r="N18" i="5"/>
  <c r="CK18" i="5" s="1"/>
  <c r="H18" i="5"/>
  <c r="AF18" i="5" s="1"/>
  <c r="I18" i="5"/>
  <c r="AG18" i="5" s="1"/>
  <c r="P18" i="5"/>
  <c r="CM18" i="5" s="1"/>
  <c r="O18" i="5"/>
  <c r="CL18" i="5" s="1"/>
  <c r="R18" i="5"/>
  <c r="CO18" i="5" s="1"/>
  <c r="M18" i="5"/>
  <c r="AK18" i="5" s="1"/>
  <c r="X18" i="5"/>
  <c r="CU18" i="5" s="1"/>
  <c r="W18" i="5"/>
  <c r="CT18" i="5" s="1"/>
  <c r="G18" i="5"/>
  <c r="AE18" i="5" s="1"/>
  <c r="J18" i="5"/>
  <c r="AH18" i="5" s="1"/>
  <c r="Q18" i="5"/>
  <c r="CN18" i="5" s="1"/>
  <c r="U18" i="5"/>
  <c r="CR18" i="5" s="1"/>
  <c r="T18" i="5"/>
  <c r="CQ18" i="5" s="1"/>
  <c r="S18" i="5"/>
  <c r="CP18" i="5" s="1"/>
  <c r="V18" i="5"/>
  <c r="CS18" i="5" s="1"/>
  <c r="F18" i="5"/>
  <c r="AD18" i="5" s="1"/>
  <c r="E18" i="5"/>
  <c r="AC18" i="5" s="1"/>
  <c r="D19" i="5"/>
  <c r="AV16" i="5"/>
  <c r="AU16" i="5"/>
  <c r="AS16" i="5"/>
  <c r="AW16" i="5"/>
  <c r="AT16" i="5"/>
  <c r="M9" i="7"/>
  <c r="BK14" i="5" l="1"/>
  <c r="BS14" i="5" s="1"/>
  <c r="CH11" i="5"/>
  <c r="CW9" i="5"/>
  <c r="CZ9" i="5" s="1"/>
  <c r="CE10" i="5"/>
  <c r="BY10" i="5"/>
  <c r="CH10" i="5"/>
  <c r="CG11" i="5"/>
  <c r="CG10" i="5"/>
  <c r="CE11" i="5"/>
  <c r="CA10" i="5"/>
  <c r="BZ11" i="5"/>
  <c r="CB11" i="5"/>
  <c r="BY11" i="5"/>
  <c r="BZ10" i="5"/>
  <c r="CC11" i="5"/>
  <c r="BM13" i="5"/>
  <c r="CD11" i="5"/>
  <c r="CD10" i="5"/>
  <c r="CF11" i="5"/>
  <c r="CB10" i="5"/>
  <c r="CC10" i="5"/>
  <c r="BU13" i="5"/>
  <c r="BS13" i="5"/>
  <c r="BX12" i="5"/>
  <c r="CA12" i="5" s="1"/>
  <c r="BT13" i="5"/>
  <c r="BL13" i="5"/>
  <c r="BN13" i="5"/>
  <c r="BP13" i="5"/>
  <c r="BR13" i="5"/>
  <c r="BQ13" i="5"/>
  <c r="BG15" i="5"/>
  <c r="BH15" i="5"/>
  <c r="BE15" i="5"/>
  <c r="BC15" i="5"/>
  <c r="AY15" i="5"/>
  <c r="BF15" i="5"/>
  <c r="BD15" i="5"/>
  <c r="BB15" i="5"/>
  <c r="BA15" i="5"/>
  <c r="AZ15" i="5"/>
  <c r="BI15" i="5"/>
  <c r="BV15" i="5" s="1"/>
  <c r="CI15" i="5" s="1"/>
  <c r="CX15" i="5" s="1"/>
  <c r="BE16" i="5"/>
  <c r="AZ16" i="5"/>
  <c r="BF16" i="5"/>
  <c r="BA16" i="5"/>
  <c r="AY16" i="5"/>
  <c r="BB16" i="5"/>
  <c r="BH16" i="5"/>
  <c r="BC16" i="5"/>
  <c r="BI16" i="5"/>
  <c r="BV16" i="5" s="1"/>
  <c r="CI16" i="5" s="1"/>
  <c r="CX16" i="5" s="1"/>
  <c r="BD16" i="5"/>
  <c r="BG16" i="5"/>
  <c r="K19" i="5"/>
  <c r="AI19" i="5" s="1"/>
  <c r="N19" i="5"/>
  <c r="CK19" i="5" s="1"/>
  <c r="Q19" i="5"/>
  <c r="CN19" i="5" s="1"/>
  <c r="L19" i="5"/>
  <c r="AJ19" i="5" s="1"/>
  <c r="P19" i="5"/>
  <c r="CM19" i="5" s="1"/>
  <c r="O19" i="5"/>
  <c r="CL19" i="5" s="1"/>
  <c r="U19" i="5"/>
  <c r="CR19" i="5" s="1"/>
  <c r="T19" i="5"/>
  <c r="CQ19" i="5" s="1"/>
  <c r="W19" i="5"/>
  <c r="CT19" i="5" s="1"/>
  <c r="G19" i="5"/>
  <c r="AE19" i="5" s="1"/>
  <c r="J19" i="5"/>
  <c r="AH19" i="5" s="1"/>
  <c r="M19" i="5"/>
  <c r="AK19" i="5" s="1"/>
  <c r="X19" i="5"/>
  <c r="CU19" i="5" s="1"/>
  <c r="R19" i="5"/>
  <c r="CO19" i="5" s="1"/>
  <c r="E19" i="5"/>
  <c r="AC19" i="5" s="1"/>
  <c r="S19" i="5"/>
  <c r="CP19" i="5" s="1"/>
  <c r="V19" i="5"/>
  <c r="CS19" i="5" s="1"/>
  <c r="F19" i="5"/>
  <c r="AD19" i="5" s="1"/>
  <c r="I19" i="5"/>
  <c r="AG19" i="5" s="1"/>
  <c r="H19" i="5"/>
  <c r="AF19" i="5" s="1"/>
  <c r="D20" i="5"/>
  <c r="AO18" i="5"/>
  <c r="AM18" i="5"/>
  <c r="AP18" i="5"/>
  <c r="AQ18" i="5"/>
  <c r="AN18" i="5"/>
  <c r="AT17" i="5"/>
  <c r="AU17" i="5"/>
  <c r="AS17" i="5"/>
  <c r="AV17" i="5"/>
  <c r="AW17" i="5"/>
  <c r="BQ10" i="1"/>
  <c r="CM10" i="1" s="1"/>
  <c r="DW10" i="1" s="1"/>
  <c r="BK15" i="5" l="1"/>
  <c r="BO15" i="5" s="1"/>
  <c r="BK16" i="5"/>
  <c r="BM16" i="5" s="1"/>
  <c r="CW11" i="5"/>
  <c r="CZ11" i="5" s="1"/>
  <c r="CW10" i="5"/>
  <c r="CZ10" i="5" s="1"/>
  <c r="BZ12" i="5"/>
  <c r="BY12" i="5"/>
  <c r="CC12" i="5"/>
  <c r="CD12" i="5"/>
  <c r="CE12" i="5"/>
  <c r="CB12" i="5"/>
  <c r="CH12" i="5"/>
  <c r="CF12" i="5"/>
  <c r="CG12" i="5"/>
  <c r="BX13" i="5"/>
  <c r="CB13" i="5" s="1"/>
  <c r="BM14" i="5"/>
  <c r="BL14" i="5"/>
  <c r="BU14" i="5"/>
  <c r="BN14" i="5"/>
  <c r="BO14" i="5"/>
  <c r="BQ14" i="5"/>
  <c r="BP14" i="5"/>
  <c r="BT14" i="5"/>
  <c r="BR14" i="5"/>
  <c r="AV18" i="5"/>
  <c r="AT18" i="5"/>
  <c r="AU18" i="5"/>
  <c r="AS18" i="5"/>
  <c r="AW18" i="5"/>
  <c r="AN19" i="5"/>
  <c r="AP19" i="5"/>
  <c r="AQ19" i="5"/>
  <c r="AO19" i="5"/>
  <c r="AM19" i="5"/>
  <c r="BE17" i="5"/>
  <c r="AZ17" i="5"/>
  <c r="BF17" i="5"/>
  <c r="BA17" i="5"/>
  <c r="BG17" i="5"/>
  <c r="BB17" i="5"/>
  <c r="BH17" i="5"/>
  <c r="BC17" i="5"/>
  <c r="BI17" i="5"/>
  <c r="BV17" i="5" s="1"/>
  <c r="CI17" i="5" s="1"/>
  <c r="CX17" i="5" s="1"/>
  <c r="BD17" i="5"/>
  <c r="AY17" i="5"/>
  <c r="R20" i="5"/>
  <c r="CO20" i="5" s="1"/>
  <c r="U20" i="5"/>
  <c r="CR20" i="5" s="1"/>
  <c r="E20" i="5"/>
  <c r="AC20" i="5" s="1"/>
  <c r="L20" i="5"/>
  <c r="AJ20" i="5" s="1"/>
  <c r="K20" i="5"/>
  <c r="AI20" i="5" s="1"/>
  <c r="N20" i="5"/>
  <c r="CK20" i="5" s="1"/>
  <c r="Q20" i="5"/>
  <c r="CN20" i="5" s="1"/>
  <c r="X20" i="5"/>
  <c r="CU20" i="5" s="1"/>
  <c r="H20" i="5"/>
  <c r="AF20" i="5" s="1"/>
  <c r="W20" i="5"/>
  <c r="CT20" i="5" s="1"/>
  <c r="J20" i="5"/>
  <c r="AH20" i="5" s="1"/>
  <c r="M20" i="5"/>
  <c r="AK20" i="5" s="1"/>
  <c r="T20" i="5"/>
  <c r="CQ20" i="5" s="1"/>
  <c r="S20" i="5"/>
  <c r="CP20" i="5" s="1"/>
  <c r="G20" i="5"/>
  <c r="AE20" i="5" s="1"/>
  <c r="V20" i="5"/>
  <c r="CS20" i="5" s="1"/>
  <c r="F20" i="5"/>
  <c r="AD20" i="5" s="1"/>
  <c r="I20" i="5"/>
  <c r="AG20" i="5" s="1"/>
  <c r="P20" i="5"/>
  <c r="CM20" i="5" s="1"/>
  <c r="O20" i="5"/>
  <c r="CL20" i="5" s="1"/>
  <c r="D21" i="5"/>
  <c r="CH10" i="1"/>
  <c r="DR10" i="1" s="1"/>
  <c r="CL10" i="1"/>
  <c r="DV10" i="1" s="1"/>
  <c r="CF10" i="1"/>
  <c r="DP10" i="1" s="1"/>
  <c r="CI10" i="1"/>
  <c r="DS10" i="1" s="1"/>
  <c r="CJ10" i="1"/>
  <c r="DT10" i="1" s="1"/>
  <c r="CE10" i="1"/>
  <c r="DO10" i="1" s="1"/>
  <c r="CG10" i="1"/>
  <c r="DQ10" i="1" s="1"/>
  <c r="CK10" i="1"/>
  <c r="DU10" i="1" s="1"/>
  <c r="CD10" i="1"/>
  <c r="DN10" i="1" s="1"/>
  <c r="BK17" i="5" l="1"/>
  <c r="BN17" i="5" s="1"/>
  <c r="BT16" i="5"/>
  <c r="CW12" i="5"/>
  <c r="CZ12" i="5" s="1"/>
  <c r="CE13" i="5"/>
  <c r="CH13" i="5"/>
  <c r="CG13" i="5"/>
  <c r="CA13" i="5"/>
  <c r="CC13" i="5"/>
  <c r="BY13" i="5"/>
  <c r="CD13" i="5"/>
  <c r="BZ13" i="5"/>
  <c r="CF13" i="5"/>
  <c r="BO16" i="5"/>
  <c r="BN16" i="5"/>
  <c r="BS16" i="5"/>
  <c r="BU16" i="5"/>
  <c r="BQ16" i="5"/>
  <c r="BT15" i="5"/>
  <c r="BP16" i="5"/>
  <c r="BL16" i="5"/>
  <c r="BX14" i="5"/>
  <c r="CF14" i="5" s="1"/>
  <c r="BR15" i="5"/>
  <c r="BU15" i="5"/>
  <c r="BQ15" i="5"/>
  <c r="BL15" i="5"/>
  <c r="BS15" i="5"/>
  <c r="BR16" i="5"/>
  <c r="BN15" i="5"/>
  <c r="BP15" i="5"/>
  <c r="BM15" i="5"/>
  <c r="AV19" i="5"/>
  <c r="AU19" i="5"/>
  <c r="AW19" i="5"/>
  <c r="AT19" i="5"/>
  <c r="AS19" i="5"/>
  <c r="I21" i="5"/>
  <c r="AG21" i="5" s="1"/>
  <c r="P21" i="5"/>
  <c r="CM21" i="5" s="1"/>
  <c r="S21" i="5"/>
  <c r="CP21" i="5" s="1"/>
  <c r="J21" i="5"/>
  <c r="AH21" i="5" s="1"/>
  <c r="N21" i="5"/>
  <c r="CK21" i="5" s="1"/>
  <c r="U21" i="5"/>
  <c r="CR21" i="5" s="1"/>
  <c r="E21" i="5"/>
  <c r="AC21" i="5" s="1"/>
  <c r="L21" i="5"/>
  <c r="AJ21" i="5" s="1"/>
  <c r="O21" i="5"/>
  <c r="CL21" i="5" s="1"/>
  <c r="V21" i="5"/>
  <c r="CS21" i="5" s="1"/>
  <c r="M21" i="5"/>
  <c r="AK21" i="5" s="1"/>
  <c r="T21" i="5"/>
  <c r="CQ21" i="5" s="1"/>
  <c r="W21" i="5"/>
  <c r="CT21" i="5" s="1"/>
  <c r="G21" i="5"/>
  <c r="AE21" i="5" s="1"/>
  <c r="R21" i="5"/>
  <c r="CO21" i="5" s="1"/>
  <c r="Q21" i="5"/>
  <c r="CN21" i="5" s="1"/>
  <c r="X21" i="5"/>
  <c r="CU21" i="5" s="1"/>
  <c r="H21" i="5"/>
  <c r="AF21" i="5" s="1"/>
  <c r="K21" i="5"/>
  <c r="AI21" i="5" s="1"/>
  <c r="F21" i="5"/>
  <c r="AD21" i="5" s="1"/>
  <c r="D22" i="5"/>
  <c r="BC18" i="5"/>
  <c r="BI18" i="5"/>
  <c r="BV18" i="5" s="1"/>
  <c r="CI18" i="5" s="1"/>
  <c r="CX18" i="5" s="1"/>
  <c r="BD18" i="5"/>
  <c r="AY18" i="5"/>
  <c r="BE18" i="5"/>
  <c r="AZ18" i="5"/>
  <c r="BF18" i="5"/>
  <c r="BA18" i="5"/>
  <c r="BG18" i="5"/>
  <c r="BB18" i="5"/>
  <c r="BH18" i="5"/>
  <c r="AQ20" i="5"/>
  <c r="AN20" i="5"/>
  <c r="AM20" i="5"/>
  <c r="AO20" i="5"/>
  <c r="AP20" i="5"/>
  <c r="DY10" i="1"/>
  <c r="E10" i="1" s="1"/>
  <c r="BK18" i="5" l="1"/>
  <c r="BR18" i="5" s="1"/>
  <c r="CW13" i="5"/>
  <c r="CZ13" i="5" s="1"/>
  <c r="CC14" i="5"/>
  <c r="BY14" i="5"/>
  <c r="CH14" i="5"/>
  <c r="CE14" i="5"/>
  <c r="CB14" i="5"/>
  <c r="CD14" i="5"/>
  <c r="CA14" i="5"/>
  <c r="CG14" i="5"/>
  <c r="BZ14" i="5"/>
  <c r="BX15" i="5"/>
  <c r="CB15" i="5" s="1"/>
  <c r="BX16" i="5"/>
  <c r="CE16" i="5" s="1"/>
  <c r="BP17" i="5"/>
  <c r="BL17" i="5"/>
  <c r="BR17" i="5"/>
  <c r="BS17" i="5"/>
  <c r="BM17" i="5"/>
  <c r="BT17" i="5"/>
  <c r="BU17" i="5"/>
  <c r="BQ17" i="5"/>
  <c r="BO17" i="5"/>
  <c r="AP21" i="5"/>
  <c r="AN21" i="5"/>
  <c r="AQ21" i="5"/>
  <c r="AM21" i="5"/>
  <c r="AO21" i="5"/>
  <c r="AU20" i="5"/>
  <c r="AT20" i="5"/>
  <c r="AV20" i="5"/>
  <c r="AW20" i="5"/>
  <c r="AS20" i="5"/>
  <c r="L22" i="5"/>
  <c r="AJ22" i="5" s="1"/>
  <c r="O22" i="5"/>
  <c r="CL22" i="5" s="1"/>
  <c r="R22" i="5"/>
  <c r="CO22" i="5" s="1"/>
  <c r="Q22" i="5"/>
  <c r="CN22" i="5" s="1"/>
  <c r="E22" i="5"/>
  <c r="AC22" i="5" s="1"/>
  <c r="F22" i="5"/>
  <c r="AD22" i="5" s="1"/>
  <c r="X22" i="5"/>
  <c r="CU22" i="5" s="1"/>
  <c r="H22" i="5"/>
  <c r="AF22" i="5" s="1"/>
  <c r="K22" i="5"/>
  <c r="AI22" i="5" s="1"/>
  <c r="N22" i="5"/>
  <c r="CK22" i="5" s="1"/>
  <c r="M22" i="5"/>
  <c r="AK22" i="5" s="1"/>
  <c r="P22" i="5"/>
  <c r="CM22" i="5" s="1"/>
  <c r="S22" i="5"/>
  <c r="CP22" i="5" s="1"/>
  <c r="V22" i="5"/>
  <c r="CS22" i="5" s="1"/>
  <c r="U22" i="5"/>
  <c r="CR22" i="5" s="1"/>
  <c r="T22" i="5"/>
  <c r="CQ22" i="5" s="1"/>
  <c r="W22" i="5"/>
  <c r="CT22" i="5" s="1"/>
  <c r="G22" i="5"/>
  <c r="AE22" i="5" s="1"/>
  <c r="J22" i="5"/>
  <c r="AH22" i="5" s="1"/>
  <c r="I22" i="5"/>
  <c r="AG22" i="5" s="1"/>
  <c r="D23" i="5"/>
  <c r="BF19" i="5"/>
  <c r="BA19" i="5"/>
  <c r="AY19" i="5"/>
  <c r="BB19" i="5"/>
  <c r="BH19" i="5"/>
  <c r="BG19" i="5"/>
  <c r="BI19" i="5"/>
  <c r="BV19" i="5" s="1"/>
  <c r="CI19" i="5" s="1"/>
  <c r="CX19" i="5" s="1"/>
  <c r="BD19" i="5"/>
  <c r="BC19" i="5"/>
  <c r="BE19" i="5"/>
  <c r="AZ19" i="5"/>
  <c r="AG10" i="1"/>
  <c r="AL10" i="1"/>
  <c r="AH10" i="1"/>
  <c r="AJ10" i="1"/>
  <c r="AM10" i="1"/>
  <c r="AK10" i="1"/>
  <c r="AI10" i="1"/>
  <c r="AN10" i="1"/>
  <c r="AF10" i="1"/>
  <c r="BK19" i="5" l="1"/>
  <c r="BM19" i="5" s="1"/>
  <c r="CW14" i="5"/>
  <c r="CZ14" i="5" s="1"/>
  <c r="CB16" i="5"/>
  <c r="CC16" i="5"/>
  <c r="BY16" i="5"/>
  <c r="CE15" i="5"/>
  <c r="CD15" i="5"/>
  <c r="CF15" i="5"/>
  <c r="CH15" i="5"/>
  <c r="BY15" i="5"/>
  <c r="CC15" i="5"/>
  <c r="CG15" i="5"/>
  <c r="CG16" i="5"/>
  <c r="BZ16" i="5"/>
  <c r="CA16" i="5"/>
  <c r="CA15" i="5"/>
  <c r="CF16" i="5"/>
  <c r="CH16" i="5"/>
  <c r="BZ15" i="5"/>
  <c r="CD16" i="5"/>
  <c r="BX17" i="5"/>
  <c r="CA17" i="5" s="1"/>
  <c r="BT18" i="5"/>
  <c r="BL18" i="5"/>
  <c r="BQ18" i="5"/>
  <c r="BM18" i="5"/>
  <c r="BS18" i="5"/>
  <c r="BN18" i="5"/>
  <c r="BP18" i="5"/>
  <c r="BO18" i="5"/>
  <c r="BU18" i="5"/>
  <c r="AE10" i="1"/>
  <c r="G10" i="1" s="1"/>
  <c r="AU21" i="5"/>
  <c r="AV21" i="5"/>
  <c r="AS21" i="5"/>
  <c r="AT21" i="5"/>
  <c r="AW21" i="5"/>
  <c r="K23" i="5"/>
  <c r="AI23" i="5" s="1"/>
  <c r="N23" i="5"/>
  <c r="CK23" i="5" s="1"/>
  <c r="Q23" i="5"/>
  <c r="CN23" i="5" s="1"/>
  <c r="X23" i="5"/>
  <c r="CU23" i="5" s="1"/>
  <c r="L23" i="5"/>
  <c r="AJ23" i="5" s="1"/>
  <c r="O23" i="5"/>
  <c r="CL23" i="5" s="1"/>
  <c r="U23" i="5"/>
  <c r="CR23" i="5" s="1"/>
  <c r="P23" i="5"/>
  <c r="CM23" i="5" s="1"/>
  <c r="W23" i="5"/>
  <c r="CT23" i="5" s="1"/>
  <c r="G23" i="5"/>
  <c r="AE23" i="5" s="1"/>
  <c r="J23" i="5"/>
  <c r="AH23" i="5" s="1"/>
  <c r="M23" i="5"/>
  <c r="AK23" i="5" s="1"/>
  <c r="H23" i="5"/>
  <c r="AF23" i="5" s="1"/>
  <c r="I23" i="5"/>
  <c r="AG23" i="5" s="1"/>
  <c r="D24" i="5"/>
  <c r="S23" i="5"/>
  <c r="CP23" i="5" s="1"/>
  <c r="V23" i="5"/>
  <c r="CS23" i="5" s="1"/>
  <c r="F23" i="5"/>
  <c r="AD23" i="5" s="1"/>
  <c r="T23" i="5"/>
  <c r="CQ23" i="5" s="1"/>
  <c r="R23" i="5"/>
  <c r="CO23" i="5" s="1"/>
  <c r="E23" i="5"/>
  <c r="AC23" i="5" s="1"/>
  <c r="AO22" i="5"/>
  <c r="AP22" i="5"/>
  <c r="AN22" i="5"/>
  <c r="AQ22" i="5"/>
  <c r="AM22" i="5"/>
  <c r="BH20" i="5"/>
  <c r="BC20" i="5"/>
  <c r="BI20" i="5"/>
  <c r="BV20" i="5" s="1"/>
  <c r="CI20" i="5" s="1"/>
  <c r="CX20" i="5" s="1"/>
  <c r="BD20" i="5"/>
  <c r="AY20" i="5"/>
  <c r="BE20" i="5"/>
  <c r="AZ20" i="5"/>
  <c r="BF20" i="5"/>
  <c r="BA20" i="5"/>
  <c r="BG20" i="5"/>
  <c r="BB20" i="5"/>
  <c r="AO10" i="1"/>
  <c r="BK20" i="5" l="1"/>
  <c r="BT20" i="5" s="1"/>
  <c r="CE17" i="5"/>
  <c r="CW15" i="5"/>
  <c r="CZ15" i="5" s="1"/>
  <c r="CW16" i="5"/>
  <c r="CZ16" i="5" s="1"/>
  <c r="CH17" i="5"/>
  <c r="CF17" i="5"/>
  <c r="CD17" i="5"/>
  <c r="BQ19" i="5"/>
  <c r="BY17" i="5"/>
  <c r="CG17" i="5"/>
  <c r="CC17" i="5"/>
  <c r="BZ17" i="5"/>
  <c r="BO19" i="5"/>
  <c r="CB17" i="5"/>
  <c r="BT19" i="5"/>
  <c r="BS19" i="5"/>
  <c r="BR19" i="5"/>
  <c r="BU19" i="5"/>
  <c r="BX18" i="5"/>
  <c r="CE18" i="5" s="1"/>
  <c r="BP19" i="5"/>
  <c r="BN19" i="5"/>
  <c r="BL19" i="5"/>
  <c r="AN23" i="5"/>
  <c r="AP23" i="5"/>
  <c r="AO23" i="5"/>
  <c r="AM23" i="5"/>
  <c r="AQ23" i="5"/>
  <c r="I24" i="5"/>
  <c r="AG24" i="5" s="1"/>
  <c r="P24" i="5"/>
  <c r="CM24" i="5" s="1"/>
  <c r="J24" i="5"/>
  <c r="AH24" i="5" s="1"/>
  <c r="V24" i="5"/>
  <c r="CS24" i="5" s="1"/>
  <c r="K24" i="5"/>
  <c r="AI24" i="5" s="1"/>
  <c r="U24" i="5"/>
  <c r="CR24" i="5" s="1"/>
  <c r="E24" i="5"/>
  <c r="AC24" i="5" s="1"/>
  <c r="L24" i="5"/>
  <c r="AJ24" i="5" s="1"/>
  <c r="W24" i="5"/>
  <c r="CT24" i="5" s="1"/>
  <c r="N24" i="5"/>
  <c r="CK24" i="5" s="1"/>
  <c r="R24" i="5"/>
  <c r="CO24" i="5" s="1"/>
  <c r="Q24" i="5"/>
  <c r="CN24" i="5" s="1"/>
  <c r="X24" i="5"/>
  <c r="CU24" i="5" s="1"/>
  <c r="H24" i="5"/>
  <c r="AF24" i="5" s="1"/>
  <c r="O24" i="5"/>
  <c r="CL24" i="5" s="1"/>
  <c r="F24" i="5"/>
  <c r="AD24" i="5" s="1"/>
  <c r="D25" i="5"/>
  <c r="M24" i="5"/>
  <c r="AK24" i="5" s="1"/>
  <c r="T24" i="5"/>
  <c r="CQ24" i="5" s="1"/>
  <c r="G24" i="5"/>
  <c r="AE24" i="5" s="1"/>
  <c r="S24" i="5"/>
  <c r="CP24" i="5" s="1"/>
  <c r="AW22" i="5"/>
  <c r="AS22" i="5"/>
  <c r="AU22" i="5"/>
  <c r="AV22" i="5"/>
  <c r="AT22" i="5"/>
  <c r="AZ21" i="5"/>
  <c r="BF21" i="5"/>
  <c r="BA21" i="5"/>
  <c r="BG21" i="5"/>
  <c r="BB21" i="5"/>
  <c r="BH21" i="5"/>
  <c r="BC21" i="5"/>
  <c r="BI21" i="5"/>
  <c r="BV21" i="5" s="1"/>
  <c r="CI21" i="5" s="1"/>
  <c r="CX21" i="5" s="1"/>
  <c r="BD21" i="5"/>
  <c r="AY21" i="5"/>
  <c r="BE21" i="5"/>
  <c r="F10" i="1"/>
  <c r="AP10" i="1"/>
  <c r="H10" i="1" s="1"/>
  <c r="BK21" i="5" l="1"/>
  <c r="BT21" i="5" s="1"/>
  <c r="CW17" i="5"/>
  <c r="CZ17" i="5" s="1"/>
  <c r="BY18" i="5"/>
  <c r="CA18" i="5"/>
  <c r="CF18" i="5"/>
  <c r="CH18" i="5"/>
  <c r="CB18" i="5"/>
  <c r="CG18" i="5"/>
  <c r="BZ18" i="5"/>
  <c r="CD18" i="5"/>
  <c r="CC18" i="5"/>
  <c r="BR20" i="5"/>
  <c r="BQ20" i="5"/>
  <c r="BX19" i="5"/>
  <c r="BZ19" i="5" s="1"/>
  <c r="BN20" i="5"/>
  <c r="BS20" i="5"/>
  <c r="BM20" i="5"/>
  <c r="BL20" i="5"/>
  <c r="BO20" i="5"/>
  <c r="BU20" i="5"/>
  <c r="BP20" i="5"/>
  <c r="AQ24" i="5"/>
  <c r="AO24" i="5"/>
  <c r="AM24" i="5"/>
  <c r="AN24" i="5"/>
  <c r="AP24" i="5"/>
  <c r="BC22" i="5"/>
  <c r="BI22" i="5"/>
  <c r="BV22" i="5" s="1"/>
  <c r="CI22" i="5" s="1"/>
  <c r="CX22" i="5" s="1"/>
  <c r="AZ22" i="5"/>
  <c r="AY22" i="5"/>
  <c r="BE22" i="5"/>
  <c r="BH22" i="5"/>
  <c r="BF22" i="5"/>
  <c r="BA22" i="5"/>
  <c r="BG22" i="5"/>
  <c r="BB22" i="5"/>
  <c r="BD22" i="5"/>
  <c r="L25" i="5"/>
  <c r="AJ25" i="5" s="1"/>
  <c r="O25" i="5"/>
  <c r="CL25" i="5" s="1"/>
  <c r="I25" i="5"/>
  <c r="AG25" i="5" s="1"/>
  <c r="U25" i="5"/>
  <c r="CR25" i="5" s="1"/>
  <c r="R25" i="5"/>
  <c r="CO25" i="5" s="1"/>
  <c r="X25" i="5"/>
  <c r="CU25" i="5" s="1"/>
  <c r="H25" i="5"/>
  <c r="AF25" i="5" s="1"/>
  <c r="K25" i="5"/>
  <c r="AI25" i="5" s="1"/>
  <c r="V25" i="5"/>
  <c r="CS25" i="5" s="1"/>
  <c r="M25" i="5"/>
  <c r="AK25" i="5" s="1"/>
  <c r="P25" i="5"/>
  <c r="CM25" i="5" s="1"/>
  <c r="S25" i="5"/>
  <c r="CP25" i="5" s="1"/>
  <c r="F25" i="5"/>
  <c r="AD25" i="5" s="1"/>
  <c r="J25" i="5"/>
  <c r="AH25" i="5" s="1"/>
  <c r="T25" i="5"/>
  <c r="CQ25" i="5" s="1"/>
  <c r="W25" i="5"/>
  <c r="CT25" i="5" s="1"/>
  <c r="G25" i="5"/>
  <c r="AE25" i="5" s="1"/>
  <c r="N25" i="5"/>
  <c r="CK25" i="5" s="1"/>
  <c r="E25" i="5"/>
  <c r="AC25" i="5" s="1"/>
  <c r="D26" i="5"/>
  <c r="Q25" i="5"/>
  <c r="CN25" i="5" s="1"/>
  <c r="AW23" i="5"/>
  <c r="AT23" i="5"/>
  <c r="AU23" i="5"/>
  <c r="AS23" i="5"/>
  <c r="AV23" i="5"/>
  <c r="K10" i="1"/>
  <c r="BK22" i="5" l="1"/>
  <c r="BN22" i="5" s="1"/>
  <c r="BM21" i="5"/>
  <c r="CW18" i="5"/>
  <c r="CZ18" i="5" s="1"/>
  <c r="CB19" i="5"/>
  <c r="CG19" i="5"/>
  <c r="CD19" i="5"/>
  <c r="BY19" i="5"/>
  <c r="CF19" i="5"/>
  <c r="CE19" i="5"/>
  <c r="CC19" i="5"/>
  <c r="CH19" i="5"/>
  <c r="CA19" i="5"/>
  <c r="BN21" i="5"/>
  <c r="BX20" i="5"/>
  <c r="CG20" i="5" s="1"/>
  <c r="BU21" i="5"/>
  <c r="BP21" i="5"/>
  <c r="BO21" i="5"/>
  <c r="BL21" i="5"/>
  <c r="BR21" i="5"/>
  <c r="BQ21" i="5"/>
  <c r="BS21" i="5"/>
  <c r="D11" i="1"/>
  <c r="V11" i="1" s="1"/>
  <c r="O10" i="1"/>
  <c r="I11" i="1"/>
  <c r="C11" i="1"/>
  <c r="B11" i="1"/>
  <c r="BI23" i="5"/>
  <c r="BV23" i="5" s="1"/>
  <c r="CI23" i="5" s="1"/>
  <c r="CX23" i="5" s="1"/>
  <c r="BE23" i="5"/>
  <c r="BG23" i="5"/>
  <c r="BH23" i="5"/>
  <c r="BA23" i="5"/>
  <c r="BC23" i="5"/>
  <c r="BF23" i="5"/>
  <c r="BD23" i="5"/>
  <c r="AY23" i="5"/>
  <c r="BB23" i="5"/>
  <c r="AZ23" i="5"/>
  <c r="K26" i="5"/>
  <c r="AI26" i="5" s="1"/>
  <c r="N26" i="5"/>
  <c r="CK26" i="5" s="1"/>
  <c r="Q26" i="5"/>
  <c r="CN26" i="5" s="1"/>
  <c r="P26" i="5"/>
  <c r="CM26" i="5" s="1"/>
  <c r="T26" i="5"/>
  <c r="CQ26" i="5" s="1"/>
  <c r="V26" i="5"/>
  <c r="CS26" i="5" s="1"/>
  <c r="F26" i="5"/>
  <c r="AD26" i="5" s="1"/>
  <c r="I26" i="5"/>
  <c r="AG26" i="5" s="1"/>
  <c r="D27" i="5"/>
  <c r="E26" i="5"/>
  <c r="AC26" i="5" s="1"/>
  <c r="W26" i="5"/>
  <c r="CT26" i="5" s="1"/>
  <c r="G26" i="5"/>
  <c r="AE26" i="5" s="1"/>
  <c r="J26" i="5"/>
  <c r="AH26" i="5" s="1"/>
  <c r="M26" i="5"/>
  <c r="AK26" i="5" s="1"/>
  <c r="L26" i="5"/>
  <c r="AJ26" i="5" s="1"/>
  <c r="S26" i="5"/>
  <c r="CP26" i="5" s="1"/>
  <c r="X26" i="5"/>
  <c r="CU26" i="5" s="1"/>
  <c r="O26" i="5"/>
  <c r="CL26" i="5" s="1"/>
  <c r="R26" i="5"/>
  <c r="CO26" i="5" s="1"/>
  <c r="U26" i="5"/>
  <c r="CR26" i="5" s="1"/>
  <c r="H26" i="5"/>
  <c r="AF26" i="5" s="1"/>
  <c r="AP25" i="5"/>
  <c r="AM25" i="5"/>
  <c r="AO25" i="5"/>
  <c r="AQ25" i="5"/>
  <c r="AN25" i="5"/>
  <c r="AT24" i="5"/>
  <c r="AU24" i="5"/>
  <c r="AV24" i="5"/>
  <c r="AS24" i="5"/>
  <c r="AW24" i="5"/>
  <c r="BK23" i="5" l="1"/>
  <c r="BO23" i="5" s="1"/>
  <c r="CW19" i="5"/>
  <c r="CZ19" i="5" s="1"/>
  <c r="CF20" i="5"/>
  <c r="CC20" i="5"/>
  <c r="CA20" i="5"/>
  <c r="CD20" i="5"/>
  <c r="CB20" i="5"/>
  <c r="BZ20" i="5"/>
  <c r="CH20" i="5"/>
  <c r="BY20" i="5"/>
  <c r="CE20" i="5"/>
  <c r="BX21" i="5"/>
  <c r="CC21" i="5" s="1"/>
  <c r="BR22" i="5"/>
  <c r="BT22" i="5"/>
  <c r="BU22" i="5"/>
  <c r="BL22" i="5"/>
  <c r="BM22" i="5"/>
  <c r="BO22" i="5"/>
  <c r="BP22" i="5"/>
  <c r="BS22" i="5"/>
  <c r="BQ22" i="5"/>
  <c r="J11" i="1"/>
  <c r="X11" i="1"/>
  <c r="EI11" i="1" s="1"/>
  <c r="Y11" i="1"/>
  <c r="EJ11" i="1" s="1"/>
  <c r="W11" i="1"/>
  <c r="EH11" i="1" s="1"/>
  <c r="CY11" i="1"/>
  <c r="DK11" i="1" s="1"/>
  <c r="CR11" i="1"/>
  <c r="DD11" i="1" s="1"/>
  <c r="CQ11" i="1"/>
  <c r="DC11" i="1" s="1"/>
  <c r="CX11" i="1"/>
  <c r="DJ11" i="1" s="1"/>
  <c r="CU11" i="1"/>
  <c r="DG11" i="1" s="1"/>
  <c r="CW11" i="1"/>
  <c r="DI11" i="1" s="1"/>
  <c r="CS11" i="1"/>
  <c r="DE11" i="1" s="1"/>
  <c r="CP11" i="1"/>
  <c r="DB11" i="1" s="1"/>
  <c r="S11" i="1"/>
  <c r="ED11" i="1" s="1"/>
  <c r="U11" i="1"/>
  <c r="EF11" i="1" s="1"/>
  <c r="Z11" i="1"/>
  <c r="EK11" i="1" s="1"/>
  <c r="CV11" i="1"/>
  <c r="DH11" i="1" s="1"/>
  <c r="CT11" i="1"/>
  <c r="DF11" i="1" s="1"/>
  <c r="AA11" i="1"/>
  <c r="EL11" i="1" s="1"/>
  <c r="T11" i="1"/>
  <c r="EE11" i="1" s="1"/>
  <c r="J27" i="5"/>
  <c r="AH27" i="5" s="1"/>
  <c r="M27" i="5"/>
  <c r="AK27" i="5" s="1"/>
  <c r="T27" i="5"/>
  <c r="CQ27" i="5" s="1"/>
  <c r="W27" i="5"/>
  <c r="CT27" i="5" s="1"/>
  <c r="K27" i="5"/>
  <c r="AI27" i="5" s="1"/>
  <c r="N27" i="5"/>
  <c r="CK27" i="5" s="1"/>
  <c r="Q27" i="5"/>
  <c r="CN27" i="5" s="1"/>
  <c r="X27" i="5"/>
  <c r="CU27" i="5" s="1"/>
  <c r="H27" i="5"/>
  <c r="AF27" i="5" s="1"/>
  <c r="O27" i="5"/>
  <c r="CL27" i="5" s="1"/>
  <c r="V27" i="5"/>
  <c r="CS27" i="5" s="1"/>
  <c r="F27" i="5"/>
  <c r="AD27" i="5" s="1"/>
  <c r="I27" i="5"/>
  <c r="AG27" i="5" s="1"/>
  <c r="P27" i="5"/>
  <c r="CM27" i="5" s="1"/>
  <c r="G27" i="5"/>
  <c r="AE27" i="5" s="1"/>
  <c r="R27" i="5"/>
  <c r="CO27" i="5" s="1"/>
  <c r="U27" i="5"/>
  <c r="CR27" i="5" s="1"/>
  <c r="E27" i="5"/>
  <c r="AC27" i="5" s="1"/>
  <c r="L27" i="5"/>
  <c r="AJ27" i="5" s="1"/>
  <c r="S27" i="5"/>
  <c r="CP27" i="5" s="1"/>
  <c r="D28" i="5"/>
  <c r="BH24" i="5"/>
  <c r="BC24" i="5"/>
  <c r="BI24" i="5"/>
  <c r="BV24" i="5" s="1"/>
  <c r="CI24" i="5" s="1"/>
  <c r="CX24" i="5" s="1"/>
  <c r="BD24" i="5"/>
  <c r="AY24" i="5"/>
  <c r="BA24" i="5"/>
  <c r="AZ24" i="5"/>
  <c r="BE24" i="5"/>
  <c r="BF24" i="5"/>
  <c r="BG24" i="5"/>
  <c r="BB24" i="5"/>
  <c r="AU25" i="5"/>
  <c r="AT25" i="5"/>
  <c r="AV25" i="5"/>
  <c r="AW25" i="5"/>
  <c r="AS25" i="5"/>
  <c r="AO26" i="5"/>
  <c r="AM26" i="5"/>
  <c r="AQ26" i="5"/>
  <c r="AN26" i="5"/>
  <c r="AP26" i="5"/>
  <c r="EG11" i="1"/>
  <c r="BK24" i="5" l="1"/>
  <c r="BN24" i="5" s="1"/>
  <c r="CA21" i="5"/>
  <c r="CW20" i="5"/>
  <c r="CZ20" i="5" s="1"/>
  <c r="BZ21" i="5"/>
  <c r="CG21" i="5"/>
  <c r="CH21" i="5"/>
  <c r="CE21" i="5"/>
  <c r="BY21" i="5"/>
  <c r="CD21" i="5"/>
  <c r="CB21" i="5"/>
  <c r="CF21" i="5"/>
  <c r="BX22" i="5"/>
  <c r="CA22" i="5" s="1"/>
  <c r="BT23" i="5"/>
  <c r="BN23" i="5"/>
  <c r="BU23" i="5"/>
  <c r="BL23" i="5"/>
  <c r="BQ23" i="5"/>
  <c r="BR23" i="5"/>
  <c r="BP23" i="5"/>
  <c r="BM23" i="5"/>
  <c r="BS23" i="5"/>
  <c r="AB11" i="1"/>
  <c r="AC11" i="1" s="1"/>
  <c r="CO11" i="1"/>
  <c r="R11" i="1"/>
  <c r="BG25" i="5"/>
  <c r="BB25" i="5"/>
  <c r="BH25" i="5"/>
  <c r="BC25" i="5"/>
  <c r="BD25" i="5"/>
  <c r="AZ25" i="5"/>
  <c r="AY25" i="5"/>
  <c r="BI25" i="5"/>
  <c r="BV25" i="5" s="1"/>
  <c r="CI25" i="5" s="1"/>
  <c r="CX25" i="5" s="1"/>
  <c r="BE25" i="5"/>
  <c r="BF25" i="5"/>
  <c r="BA25" i="5"/>
  <c r="AW26" i="5"/>
  <c r="AT26" i="5"/>
  <c r="AU26" i="5"/>
  <c r="AS26" i="5"/>
  <c r="AV26" i="5"/>
  <c r="AN27" i="5"/>
  <c r="AO27" i="5"/>
  <c r="AP27" i="5"/>
  <c r="AQ27" i="5"/>
  <c r="AM27" i="5"/>
  <c r="I28" i="5"/>
  <c r="AG28" i="5" s="1"/>
  <c r="P28" i="5"/>
  <c r="CM28" i="5" s="1"/>
  <c r="S28" i="5"/>
  <c r="CP28" i="5" s="1"/>
  <c r="N28" i="5"/>
  <c r="CK28" i="5" s="1"/>
  <c r="R28" i="5"/>
  <c r="CO28" i="5" s="1"/>
  <c r="X28" i="5"/>
  <c r="CU28" i="5" s="1"/>
  <c r="V28" i="5"/>
  <c r="CS28" i="5" s="1"/>
  <c r="M28" i="5"/>
  <c r="AK28" i="5" s="1"/>
  <c r="T28" i="5"/>
  <c r="CQ28" i="5" s="1"/>
  <c r="W28" i="5"/>
  <c r="CT28" i="5" s="1"/>
  <c r="F28" i="5"/>
  <c r="AD28" i="5" s="1"/>
  <c r="U28" i="5"/>
  <c r="CR28" i="5" s="1"/>
  <c r="E28" i="5"/>
  <c r="AC28" i="5" s="1"/>
  <c r="L28" i="5"/>
  <c r="AJ28" i="5" s="1"/>
  <c r="O28" i="5"/>
  <c r="CL28" i="5" s="1"/>
  <c r="J28" i="5"/>
  <c r="AH28" i="5" s="1"/>
  <c r="Q28" i="5"/>
  <c r="CN28" i="5" s="1"/>
  <c r="H28" i="5"/>
  <c r="AF28" i="5" s="1"/>
  <c r="K28" i="5"/>
  <c r="AI28" i="5" s="1"/>
  <c r="D29" i="5"/>
  <c r="G28" i="5"/>
  <c r="AE28" i="5" s="1"/>
  <c r="EO11" i="1"/>
  <c r="EN11" i="1"/>
  <c r="ER11" i="1"/>
  <c r="EQ11" i="1"/>
  <c r="EP11" i="1"/>
  <c r="BK25" i="5" l="1"/>
  <c r="BL25" i="5" s="1"/>
  <c r="CB22" i="5"/>
  <c r="CD22" i="5"/>
  <c r="CW21" i="5"/>
  <c r="CZ21" i="5" s="1"/>
  <c r="CE22" i="5"/>
  <c r="CF22" i="5"/>
  <c r="CH22" i="5"/>
  <c r="BY22" i="5"/>
  <c r="CG22" i="5"/>
  <c r="CC22" i="5"/>
  <c r="BZ22" i="5"/>
  <c r="BP24" i="5"/>
  <c r="BX23" i="5"/>
  <c r="CB23" i="5" s="1"/>
  <c r="BQ24" i="5"/>
  <c r="BO24" i="5"/>
  <c r="BU24" i="5"/>
  <c r="BM24" i="5"/>
  <c r="BR24" i="5"/>
  <c r="BT24" i="5"/>
  <c r="BL24" i="5"/>
  <c r="BS24" i="5"/>
  <c r="BF26" i="5"/>
  <c r="BA26" i="5"/>
  <c r="BC26" i="5"/>
  <c r="BB26" i="5"/>
  <c r="BH26" i="5"/>
  <c r="AY26" i="5"/>
  <c r="BI26" i="5"/>
  <c r="BV26" i="5" s="1"/>
  <c r="CI26" i="5" s="1"/>
  <c r="CX26" i="5" s="1"/>
  <c r="BD26" i="5"/>
  <c r="BG26" i="5"/>
  <c r="BE26" i="5"/>
  <c r="AZ26" i="5"/>
  <c r="I29" i="5"/>
  <c r="AG29" i="5" s="1"/>
  <c r="P29" i="5"/>
  <c r="CM29" i="5" s="1"/>
  <c r="S29" i="5"/>
  <c r="CP29" i="5" s="1"/>
  <c r="R29" i="5"/>
  <c r="CO29" i="5" s="1"/>
  <c r="F29" i="5"/>
  <c r="AD29" i="5" s="1"/>
  <c r="U29" i="5"/>
  <c r="CR29" i="5" s="1"/>
  <c r="E29" i="5"/>
  <c r="AC29" i="5" s="1"/>
  <c r="L29" i="5"/>
  <c r="AJ29" i="5" s="1"/>
  <c r="O29" i="5"/>
  <c r="CL29" i="5" s="1"/>
  <c r="Q29" i="5"/>
  <c r="CN29" i="5" s="1"/>
  <c r="X29" i="5"/>
  <c r="CU29" i="5" s="1"/>
  <c r="H29" i="5"/>
  <c r="AF29" i="5" s="1"/>
  <c r="K29" i="5"/>
  <c r="AI29" i="5" s="1"/>
  <c r="J29" i="5"/>
  <c r="AH29" i="5" s="1"/>
  <c r="D30" i="5"/>
  <c r="N29" i="5"/>
  <c r="CK29" i="5" s="1"/>
  <c r="M29" i="5"/>
  <c r="AK29" i="5" s="1"/>
  <c r="T29" i="5"/>
  <c r="CQ29" i="5" s="1"/>
  <c r="W29" i="5"/>
  <c r="CT29" i="5" s="1"/>
  <c r="G29" i="5"/>
  <c r="AE29" i="5" s="1"/>
  <c r="V29" i="5"/>
  <c r="CS29" i="5" s="1"/>
  <c r="AS27" i="5"/>
  <c r="AV27" i="5"/>
  <c r="AW27" i="5"/>
  <c r="AU27" i="5"/>
  <c r="AT27" i="5"/>
  <c r="AQ28" i="5"/>
  <c r="AO28" i="5"/>
  <c r="AM28" i="5"/>
  <c r="AP28" i="5"/>
  <c r="AN28" i="5"/>
  <c r="AY11" i="1"/>
  <c r="BA11" i="1"/>
  <c r="AW11" i="1"/>
  <c r="AS11" i="1"/>
  <c r="AT11" i="1"/>
  <c r="AU11" i="1"/>
  <c r="AV11" i="1"/>
  <c r="AZ11" i="1"/>
  <c r="AX11" i="1"/>
  <c r="EX11" i="1"/>
  <c r="EV11" i="1"/>
  <c r="ET11" i="1"/>
  <c r="EU11" i="1"/>
  <c r="EW11" i="1"/>
  <c r="BK26" i="5" l="1"/>
  <c r="BT26" i="5" s="1"/>
  <c r="CW22" i="5"/>
  <c r="CZ22" i="5" s="1"/>
  <c r="CE23" i="5"/>
  <c r="CF23" i="5"/>
  <c r="BY23" i="5"/>
  <c r="CA23" i="5"/>
  <c r="CG23" i="5"/>
  <c r="CC23" i="5"/>
  <c r="BZ23" i="5"/>
  <c r="CH23" i="5"/>
  <c r="CD23" i="5"/>
  <c r="BX24" i="5"/>
  <c r="CA24" i="5" s="1"/>
  <c r="BN25" i="5"/>
  <c r="BU25" i="5"/>
  <c r="BR25" i="5"/>
  <c r="BO25" i="5"/>
  <c r="BQ25" i="5"/>
  <c r="BM25" i="5"/>
  <c r="BS25" i="5"/>
  <c r="BP25" i="5"/>
  <c r="BT25" i="5"/>
  <c r="AW28" i="5"/>
  <c r="AT28" i="5"/>
  <c r="AS28" i="5"/>
  <c r="AU28" i="5"/>
  <c r="AV28" i="5"/>
  <c r="AP29" i="5"/>
  <c r="AQ29" i="5"/>
  <c r="AM29" i="5"/>
  <c r="AN29" i="5"/>
  <c r="AO29" i="5"/>
  <c r="BA27" i="5"/>
  <c r="BG27" i="5"/>
  <c r="BB27" i="5"/>
  <c r="BH27" i="5"/>
  <c r="BC27" i="5"/>
  <c r="BI27" i="5"/>
  <c r="BV27" i="5" s="1"/>
  <c r="CI27" i="5" s="1"/>
  <c r="CX27" i="5" s="1"/>
  <c r="BD27" i="5"/>
  <c r="AY27" i="5"/>
  <c r="BE27" i="5"/>
  <c r="AZ27" i="5"/>
  <c r="BF27" i="5"/>
  <c r="L30" i="5"/>
  <c r="AJ30" i="5" s="1"/>
  <c r="O30" i="5"/>
  <c r="CL30" i="5" s="1"/>
  <c r="R30" i="5"/>
  <c r="CO30" i="5" s="1"/>
  <c r="I30" i="5"/>
  <c r="AG30" i="5" s="1"/>
  <c r="M30" i="5"/>
  <c r="AK30" i="5" s="1"/>
  <c r="X30" i="5"/>
  <c r="CU30" i="5" s="1"/>
  <c r="H30" i="5"/>
  <c r="AF30" i="5" s="1"/>
  <c r="K30" i="5"/>
  <c r="AI30" i="5" s="1"/>
  <c r="N30" i="5"/>
  <c r="CK30" i="5" s="1"/>
  <c r="U30" i="5"/>
  <c r="CR30" i="5" s="1"/>
  <c r="P30" i="5"/>
  <c r="CM30" i="5" s="1"/>
  <c r="S30" i="5"/>
  <c r="CP30" i="5" s="1"/>
  <c r="V30" i="5"/>
  <c r="CS30" i="5" s="1"/>
  <c r="F30" i="5"/>
  <c r="AD30" i="5" s="1"/>
  <c r="Q30" i="5"/>
  <c r="CN30" i="5" s="1"/>
  <c r="T30" i="5"/>
  <c r="CQ30" i="5" s="1"/>
  <c r="W30" i="5"/>
  <c r="CT30" i="5" s="1"/>
  <c r="G30" i="5"/>
  <c r="AE30" i="5" s="1"/>
  <c r="J30" i="5"/>
  <c r="AH30" i="5" s="1"/>
  <c r="E30" i="5"/>
  <c r="AC30" i="5" s="1"/>
  <c r="D31" i="5"/>
  <c r="BB11" i="1"/>
  <c r="FG11" i="1"/>
  <c r="EZ11" i="1"/>
  <c r="FJ11" i="1"/>
  <c r="FW11" i="1" s="1"/>
  <c r="BO11" i="1" s="1"/>
  <c r="N11" i="1" s="1"/>
  <c r="FC11" i="1"/>
  <c r="FI11" i="1"/>
  <c r="FB11" i="1"/>
  <c r="FD11" i="1"/>
  <c r="FE11" i="1"/>
  <c r="FF11" i="1"/>
  <c r="FA11" i="1"/>
  <c r="FH11" i="1"/>
  <c r="BK27" i="5" l="1"/>
  <c r="BT27" i="5" s="1"/>
  <c r="CW23" i="5"/>
  <c r="CZ23" i="5" s="1"/>
  <c r="CE24" i="5"/>
  <c r="CC24" i="5"/>
  <c r="CB24" i="5"/>
  <c r="CH24" i="5"/>
  <c r="BZ24" i="5"/>
  <c r="CG24" i="5"/>
  <c r="CD24" i="5"/>
  <c r="BY24" i="5"/>
  <c r="CF24" i="5"/>
  <c r="BU26" i="5"/>
  <c r="BP26" i="5"/>
  <c r="BO26" i="5"/>
  <c r="BX25" i="5"/>
  <c r="BY25" i="5" s="1"/>
  <c r="BN26" i="5"/>
  <c r="BQ26" i="5"/>
  <c r="BL26" i="5"/>
  <c r="BM26" i="5"/>
  <c r="BR26" i="5"/>
  <c r="BS26" i="5"/>
  <c r="FL11" i="1"/>
  <c r="FN11" i="1" s="1"/>
  <c r="S31" i="5"/>
  <c r="CP31" i="5" s="1"/>
  <c r="V31" i="5"/>
  <c r="CS31" i="5" s="1"/>
  <c r="F31" i="5"/>
  <c r="AD31" i="5" s="1"/>
  <c r="I31" i="5"/>
  <c r="AG31" i="5" s="1"/>
  <c r="X31" i="5"/>
  <c r="CU31" i="5" s="1"/>
  <c r="D32" i="5"/>
  <c r="O31" i="5"/>
  <c r="CL31" i="5" s="1"/>
  <c r="R31" i="5"/>
  <c r="CO31" i="5" s="1"/>
  <c r="U31" i="5"/>
  <c r="CR31" i="5" s="1"/>
  <c r="E31" i="5"/>
  <c r="AC31" i="5" s="1"/>
  <c r="H31" i="5"/>
  <c r="AF31" i="5" s="1"/>
  <c r="K31" i="5"/>
  <c r="AI31" i="5" s="1"/>
  <c r="N31" i="5"/>
  <c r="CK31" i="5" s="1"/>
  <c r="Q31" i="5"/>
  <c r="CN31" i="5" s="1"/>
  <c r="P31" i="5"/>
  <c r="CM31" i="5" s="1"/>
  <c r="T31" i="5"/>
  <c r="CQ31" i="5" s="1"/>
  <c r="W31" i="5"/>
  <c r="CT31" i="5" s="1"/>
  <c r="G31" i="5"/>
  <c r="AE31" i="5" s="1"/>
  <c r="J31" i="5"/>
  <c r="AH31" i="5" s="1"/>
  <c r="M31" i="5"/>
  <c r="AK31" i="5" s="1"/>
  <c r="L31" i="5"/>
  <c r="AJ31" i="5" s="1"/>
  <c r="AS29" i="5"/>
  <c r="AU29" i="5"/>
  <c r="AV29" i="5"/>
  <c r="AW29" i="5"/>
  <c r="AT29" i="5"/>
  <c r="AO30" i="5"/>
  <c r="AM30" i="5"/>
  <c r="AN30" i="5"/>
  <c r="AP30" i="5"/>
  <c r="AQ30" i="5"/>
  <c r="AZ28" i="5"/>
  <c r="BF28" i="5"/>
  <c r="BE28" i="5"/>
  <c r="BG28" i="5"/>
  <c r="BB28" i="5"/>
  <c r="BH28" i="5"/>
  <c r="BC28" i="5"/>
  <c r="BA28" i="5"/>
  <c r="BD28" i="5"/>
  <c r="AY28" i="5"/>
  <c r="BI28" i="5"/>
  <c r="BV28" i="5" s="1"/>
  <c r="CI28" i="5" s="1"/>
  <c r="CX28" i="5" s="1"/>
  <c r="BK28" i="5" l="1"/>
  <c r="BQ28" i="5" s="1"/>
  <c r="CH25" i="5"/>
  <c r="CG25" i="5"/>
  <c r="BZ25" i="5"/>
  <c r="CD25" i="5"/>
  <c r="CB25" i="5"/>
  <c r="CC25" i="5"/>
  <c r="CE25" i="5"/>
  <c r="CF25" i="5"/>
  <c r="CA25" i="5"/>
  <c r="CW24" i="5"/>
  <c r="CZ24" i="5" s="1"/>
  <c r="BX26" i="5"/>
  <c r="CG26" i="5" s="1"/>
  <c r="BQ27" i="5"/>
  <c r="BM27" i="5"/>
  <c r="BU27" i="5"/>
  <c r="BN27" i="5"/>
  <c r="BO27" i="5"/>
  <c r="BS27" i="5"/>
  <c r="BP27" i="5"/>
  <c r="BL27" i="5"/>
  <c r="BR27" i="5"/>
  <c r="BD29" i="5"/>
  <c r="AY29" i="5"/>
  <c r="BA29" i="5"/>
  <c r="AZ29" i="5"/>
  <c r="BF29" i="5"/>
  <c r="BI29" i="5"/>
  <c r="BV29" i="5" s="1"/>
  <c r="CI29" i="5" s="1"/>
  <c r="CX29" i="5" s="1"/>
  <c r="BG29" i="5"/>
  <c r="BB29" i="5"/>
  <c r="BH29" i="5"/>
  <c r="BC29" i="5"/>
  <c r="BE29" i="5"/>
  <c r="AM31" i="5"/>
  <c r="AN31" i="5"/>
  <c r="AP31" i="5"/>
  <c r="AO31" i="5"/>
  <c r="AQ31" i="5"/>
  <c r="I32" i="5"/>
  <c r="AG32" i="5" s="1"/>
  <c r="P32" i="5"/>
  <c r="CM32" i="5" s="1"/>
  <c r="S32" i="5"/>
  <c r="CP32" i="5" s="1"/>
  <c r="V32" i="5"/>
  <c r="CS32" i="5" s="1"/>
  <c r="J32" i="5"/>
  <c r="AH32" i="5" s="1"/>
  <c r="G32" i="5"/>
  <c r="AE32" i="5" s="1"/>
  <c r="U32" i="5"/>
  <c r="CR32" i="5" s="1"/>
  <c r="E32" i="5"/>
  <c r="AC32" i="5" s="1"/>
  <c r="L32" i="5"/>
  <c r="AJ32" i="5" s="1"/>
  <c r="O32" i="5"/>
  <c r="CL32" i="5" s="1"/>
  <c r="F32" i="5"/>
  <c r="AD32" i="5" s="1"/>
  <c r="T32" i="5"/>
  <c r="CQ32" i="5" s="1"/>
  <c r="Q32" i="5"/>
  <c r="CN32" i="5" s="1"/>
  <c r="X32" i="5"/>
  <c r="CU32" i="5" s="1"/>
  <c r="H32" i="5"/>
  <c r="AF32" i="5" s="1"/>
  <c r="K32" i="5"/>
  <c r="AI32" i="5" s="1"/>
  <c r="R32" i="5"/>
  <c r="CO32" i="5" s="1"/>
  <c r="D33" i="5"/>
  <c r="M32" i="5"/>
  <c r="AK32" i="5" s="1"/>
  <c r="W32" i="5"/>
  <c r="CT32" i="5" s="1"/>
  <c r="N32" i="5"/>
  <c r="CK32" i="5" s="1"/>
  <c r="AT30" i="5"/>
  <c r="AU30" i="5"/>
  <c r="AV30" i="5"/>
  <c r="AW30" i="5"/>
  <c r="AS30" i="5"/>
  <c r="BF11" i="1"/>
  <c r="BS11" i="1" s="1"/>
  <c r="FQ11" i="1"/>
  <c r="FP11" i="1"/>
  <c r="FT11" i="1"/>
  <c r="FR11" i="1"/>
  <c r="FS11" i="1"/>
  <c r="FO11" i="1"/>
  <c r="FM11" i="1"/>
  <c r="FV11" i="1"/>
  <c r="BN11" i="1" s="1"/>
  <c r="CA11" i="1" s="1"/>
  <c r="FU11" i="1"/>
  <c r="BK29" i="5" l="1"/>
  <c r="BP29" i="5" s="1"/>
  <c r="CW25" i="5"/>
  <c r="CZ25" i="5" s="1"/>
  <c r="BZ26" i="5"/>
  <c r="CC26" i="5"/>
  <c r="CB26" i="5"/>
  <c r="CH26" i="5"/>
  <c r="CD26" i="5"/>
  <c r="CA26" i="5"/>
  <c r="CF26" i="5"/>
  <c r="CE26" i="5"/>
  <c r="BY26" i="5"/>
  <c r="BX27" i="5"/>
  <c r="CG27" i="5" s="1"/>
  <c r="BU28" i="5"/>
  <c r="BR28" i="5"/>
  <c r="BT28" i="5"/>
  <c r="BP28" i="5"/>
  <c r="BN28" i="5"/>
  <c r="BL28" i="5"/>
  <c r="BO28" i="5"/>
  <c r="BS28" i="5"/>
  <c r="BM28" i="5"/>
  <c r="BF30" i="5"/>
  <c r="BA30" i="5"/>
  <c r="BG30" i="5"/>
  <c r="BB30" i="5"/>
  <c r="BH30" i="5"/>
  <c r="BC30" i="5"/>
  <c r="BI30" i="5"/>
  <c r="BV30" i="5" s="1"/>
  <c r="CI30" i="5" s="1"/>
  <c r="CX30" i="5" s="1"/>
  <c r="BD30" i="5"/>
  <c r="AY30" i="5"/>
  <c r="BE30" i="5"/>
  <c r="AZ30" i="5"/>
  <c r="P33" i="5"/>
  <c r="CM33" i="5" s="1"/>
  <c r="O33" i="5"/>
  <c r="CL33" i="5" s="1"/>
  <c r="R33" i="5"/>
  <c r="CO33" i="5" s="1"/>
  <c r="M33" i="5"/>
  <c r="AK33" i="5" s="1"/>
  <c r="Q33" i="5"/>
  <c r="CN33" i="5" s="1"/>
  <c r="W33" i="5"/>
  <c r="CT33" i="5" s="1"/>
  <c r="L33" i="5"/>
  <c r="AJ33" i="5" s="1"/>
  <c r="K33" i="5"/>
  <c r="AI33" i="5" s="1"/>
  <c r="N33" i="5"/>
  <c r="CK33" i="5" s="1"/>
  <c r="I33" i="5"/>
  <c r="AG33" i="5" s="1"/>
  <c r="S33" i="5"/>
  <c r="CP33" i="5" s="1"/>
  <c r="H33" i="5"/>
  <c r="AF33" i="5" s="1"/>
  <c r="G33" i="5"/>
  <c r="AE33" i="5" s="1"/>
  <c r="J33" i="5"/>
  <c r="AH33" i="5" s="1"/>
  <c r="V33" i="5"/>
  <c r="CS33" i="5" s="1"/>
  <c r="D34" i="5"/>
  <c r="U33" i="5"/>
  <c r="CR33" i="5" s="1"/>
  <c r="T33" i="5"/>
  <c r="CQ33" i="5" s="1"/>
  <c r="X33" i="5"/>
  <c r="CU33" i="5" s="1"/>
  <c r="F33" i="5"/>
  <c r="AD33" i="5" s="1"/>
  <c r="E33" i="5"/>
  <c r="AC33" i="5" s="1"/>
  <c r="AP32" i="5"/>
  <c r="AO32" i="5"/>
  <c r="AQ32" i="5"/>
  <c r="AN32" i="5"/>
  <c r="AM32" i="5"/>
  <c r="AU31" i="5"/>
  <c r="AW31" i="5"/>
  <c r="AS31" i="5"/>
  <c r="AV31" i="5"/>
  <c r="AT31" i="5"/>
  <c r="BH11" i="1"/>
  <c r="BU11" i="1" s="1"/>
  <c r="BM11" i="1"/>
  <c r="BZ11" i="1" s="1"/>
  <c r="BK11" i="1"/>
  <c r="BX11" i="1" s="1"/>
  <c r="BI11" i="1"/>
  <c r="BV11" i="1" s="1"/>
  <c r="BG11" i="1"/>
  <c r="BT11" i="1" s="1"/>
  <c r="BJ11" i="1"/>
  <c r="BW11" i="1" s="1"/>
  <c r="BE11" i="1"/>
  <c r="BR11" i="1" s="1"/>
  <c r="BL11" i="1"/>
  <c r="BY11" i="1" s="1"/>
  <c r="BK30" i="5" l="1"/>
  <c r="BM30" i="5" s="1"/>
  <c r="CD27" i="5"/>
  <c r="CW26" i="5"/>
  <c r="CZ26" i="5" s="1"/>
  <c r="BZ27" i="5"/>
  <c r="CC27" i="5"/>
  <c r="CE27" i="5"/>
  <c r="CA27" i="5"/>
  <c r="CF27" i="5"/>
  <c r="BY27" i="5"/>
  <c r="CH27" i="5"/>
  <c r="CB27" i="5"/>
  <c r="BM29" i="5"/>
  <c r="BS29" i="5"/>
  <c r="BX28" i="5"/>
  <c r="CD28" i="5" s="1"/>
  <c r="BR29" i="5"/>
  <c r="BQ29" i="5"/>
  <c r="BT29" i="5"/>
  <c r="BO29" i="5"/>
  <c r="BU29" i="5"/>
  <c r="BL29" i="5"/>
  <c r="BN29" i="5"/>
  <c r="AN33" i="5"/>
  <c r="AP33" i="5"/>
  <c r="AM33" i="5"/>
  <c r="AO33" i="5"/>
  <c r="AQ33" i="5"/>
  <c r="S34" i="5"/>
  <c r="CP34" i="5" s="1"/>
  <c r="V34" i="5"/>
  <c r="CS34" i="5" s="1"/>
  <c r="F34" i="5"/>
  <c r="AD34" i="5" s="1"/>
  <c r="T34" i="5"/>
  <c r="CQ34" i="5" s="1"/>
  <c r="H34" i="5"/>
  <c r="AF34" i="5" s="1"/>
  <c r="K34" i="5"/>
  <c r="AI34" i="5" s="1"/>
  <c r="N34" i="5"/>
  <c r="CK34" i="5" s="1"/>
  <c r="M34" i="5"/>
  <c r="AK34" i="5" s="1"/>
  <c r="Q34" i="5"/>
  <c r="CN34" i="5" s="1"/>
  <c r="P34" i="5"/>
  <c r="CM34" i="5" s="1"/>
  <c r="D35" i="5"/>
  <c r="R34" i="5"/>
  <c r="CO34" i="5" s="1"/>
  <c r="L34" i="5"/>
  <c r="AJ34" i="5" s="1"/>
  <c r="X34" i="5"/>
  <c r="CU34" i="5" s="1"/>
  <c r="W34" i="5"/>
  <c r="CT34" i="5" s="1"/>
  <c r="J34" i="5"/>
  <c r="AH34" i="5" s="1"/>
  <c r="I34" i="5"/>
  <c r="AG34" i="5" s="1"/>
  <c r="O34" i="5"/>
  <c r="CL34" i="5" s="1"/>
  <c r="G34" i="5"/>
  <c r="AE34" i="5" s="1"/>
  <c r="E34" i="5"/>
  <c r="AC34" i="5" s="1"/>
  <c r="U34" i="5"/>
  <c r="CR34" i="5" s="1"/>
  <c r="BD31" i="5"/>
  <c r="AZ31" i="5"/>
  <c r="BC31" i="5"/>
  <c r="BG31" i="5"/>
  <c r="BH31" i="5"/>
  <c r="BB31" i="5"/>
  <c r="AY31" i="5"/>
  <c r="BA31" i="5"/>
  <c r="BE31" i="5"/>
  <c r="BI31" i="5"/>
  <c r="BV31" i="5" s="1"/>
  <c r="CI31" i="5" s="1"/>
  <c r="CX31" i="5" s="1"/>
  <c r="BF31" i="5"/>
  <c r="AU32" i="5"/>
  <c r="AV32" i="5"/>
  <c r="AW32" i="5"/>
  <c r="AT32" i="5"/>
  <c r="AS32" i="5"/>
  <c r="BQ11" i="1"/>
  <c r="CF11" i="1" s="1"/>
  <c r="DP11" i="1" s="1"/>
  <c r="BK31" i="5" l="1"/>
  <c r="BT31" i="5" s="1"/>
  <c r="CA28" i="5"/>
  <c r="BY28" i="5"/>
  <c r="CW27" i="5"/>
  <c r="CZ27" i="5" s="1"/>
  <c r="BZ28" i="5"/>
  <c r="CG28" i="5"/>
  <c r="CH28" i="5"/>
  <c r="CC28" i="5"/>
  <c r="CF28" i="5"/>
  <c r="CB28" i="5"/>
  <c r="CE28" i="5"/>
  <c r="BX29" i="5"/>
  <c r="CC29" i="5" s="1"/>
  <c r="BN30" i="5"/>
  <c r="BO30" i="5"/>
  <c r="BU30" i="5"/>
  <c r="BP30" i="5"/>
  <c r="BL30" i="5"/>
  <c r="BR30" i="5"/>
  <c r="BT30" i="5"/>
  <c r="BS30" i="5"/>
  <c r="BQ30" i="5"/>
  <c r="AO34" i="5"/>
  <c r="AM34" i="5"/>
  <c r="AQ34" i="5"/>
  <c r="AP34" i="5"/>
  <c r="AN34" i="5"/>
  <c r="AV33" i="5"/>
  <c r="AW33" i="5"/>
  <c r="AS33" i="5"/>
  <c r="AT33" i="5"/>
  <c r="AU33" i="5"/>
  <c r="J35" i="5"/>
  <c r="AH35" i="5" s="1"/>
  <c r="M35" i="5"/>
  <c r="AK35" i="5" s="1"/>
  <c r="L35" i="5"/>
  <c r="AJ35" i="5" s="1"/>
  <c r="P35" i="5"/>
  <c r="CM35" i="5" s="1"/>
  <c r="W35" i="5"/>
  <c r="CT35" i="5" s="1"/>
  <c r="N35" i="5"/>
  <c r="CK35" i="5" s="1"/>
  <c r="X35" i="5"/>
  <c r="CU35" i="5" s="1"/>
  <c r="D36" i="5"/>
  <c r="V35" i="5"/>
  <c r="CS35" i="5" s="1"/>
  <c r="F35" i="5"/>
  <c r="AD35" i="5" s="1"/>
  <c r="I35" i="5"/>
  <c r="AG35" i="5" s="1"/>
  <c r="S35" i="5"/>
  <c r="CP35" i="5" s="1"/>
  <c r="H35" i="5"/>
  <c r="AF35" i="5" s="1"/>
  <c r="R35" i="5"/>
  <c r="CO35" i="5" s="1"/>
  <c r="U35" i="5"/>
  <c r="CR35" i="5" s="1"/>
  <c r="E35" i="5"/>
  <c r="AC35" i="5" s="1"/>
  <c r="K35" i="5"/>
  <c r="AI35" i="5" s="1"/>
  <c r="O35" i="5"/>
  <c r="CL35" i="5" s="1"/>
  <c r="T35" i="5"/>
  <c r="CQ35" i="5" s="1"/>
  <c r="G35" i="5"/>
  <c r="AE35" i="5" s="1"/>
  <c r="Q35" i="5"/>
  <c r="CN35" i="5" s="1"/>
  <c r="AZ32" i="5"/>
  <c r="BB32" i="5"/>
  <c r="BH32" i="5"/>
  <c r="BG32" i="5"/>
  <c r="BE32" i="5"/>
  <c r="BF32" i="5"/>
  <c r="BD32" i="5"/>
  <c r="BC32" i="5"/>
  <c r="BA32" i="5"/>
  <c r="AY32" i="5"/>
  <c r="BI32" i="5"/>
  <c r="BV32" i="5" s="1"/>
  <c r="CI32" i="5" s="1"/>
  <c r="CX32" i="5" s="1"/>
  <c r="CM11" i="1"/>
  <c r="DW11" i="1" s="1"/>
  <c r="CD11" i="1"/>
  <c r="DN11" i="1" s="1"/>
  <c r="CL11" i="1"/>
  <c r="DV11" i="1" s="1"/>
  <c r="CE11" i="1"/>
  <c r="DO11" i="1" s="1"/>
  <c r="CH11" i="1"/>
  <c r="DR11" i="1" s="1"/>
  <c r="CJ11" i="1"/>
  <c r="DT11" i="1" s="1"/>
  <c r="CK11" i="1"/>
  <c r="DU11" i="1" s="1"/>
  <c r="CG11" i="1"/>
  <c r="DQ11" i="1" s="1"/>
  <c r="CI11" i="1"/>
  <c r="DS11" i="1" s="1"/>
  <c r="BK32" i="5" l="1"/>
  <c r="BP32" i="5" s="1"/>
  <c r="CW28" i="5"/>
  <c r="CZ28" i="5" s="1"/>
  <c r="CD29" i="5"/>
  <c r="CG29" i="5"/>
  <c r="BY29" i="5"/>
  <c r="CB29" i="5"/>
  <c r="CE29" i="5"/>
  <c r="CH29" i="5"/>
  <c r="BZ29" i="5"/>
  <c r="CF29" i="5"/>
  <c r="CA29" i="5"/>
  <c r="BR31" i="5"/>
  <c r="BX30" i="5"/>
  <c r="BZ30" i="5" s="1"/>
  <c r="BP31" i="5"/>
  <c r="BL31" i="5"/>
  <c r="BO31" i="5"/>
  <c r="BQ31" i="5"/>
  <c r="BN31" i="5"/>
  <c r="BS31" i="5"/>
  <c r="BU31" i="5"/>
  <c r="BM31" i="5"/>
  <c r="AM35" i="5"/>
  <c r="AN35" i="5"/>
  <c r="AO35" i="5"/>
  <c r="AP35" i="5"/>
  <c r="AQ35" i="5"/>
  <c r="AT34" i="5"/>
  <c r="AU34" i="5"/>
  <c r="AS34" i="5"/>
  <c r="AV34" i="5"/>
  <c r="AW34" i="5"/>
  <c r="U36" i="5"/>
  <c r="CR36" i="5" s="1"/>
  <c r="J36" i="5"/>
  <c r="AH36" i="5" s="1"/>
  <c r="I36" i="5"/>
  <c r="AG36" i="5" s="1"/>
  <c r="H36" i="5"/>
  <c r="AF36" i="5" s="1"/>
  <c r="X36" i="5"/>
  <c r="CU36" i="5" s="1"/>
  <c r="N36" i="5"/>
  <c r="CK36" i="5" s="1"/>
  <c r="M36" i="5"/>
  <c r="AK36" i="5" s="1"/>
  <c r="L36" i="5"/>
  <c r="AJ36" i="5" s="1"/>
  <c r="P36" i="5"/>
  <c r="CM36" i="5" s="1"/>
  <c r="S36" i="5"/>
  <c r="CP36" i="5" s="1"/>
  <c r="V36" i="5"/>
  <c r="CS36" i="5" s="1"/>
  <c r="T36" i="5"/>
  <c r="CQ36" i="5" s="1"/>
  <c r="O36" i="5"/>
  <c r="CL36" i="5" s="1"/>
  <c r="F36" i="5"/>
  <c r="AD36" i="5" s="1"/>
  <c r="W36" i="5"/>
  <c r="CT36" i="5" s="1"/>
  <c r="Q36" i="5"/>
  <c r="CN36" i="5" s="1"/>
  <c r="E36" i="5"/>
  <c r="AC36" i="5" s="1"/>
  <c r="K36" i="5"/>
  <c r="AI36" i="5" s="1"/>
  <c r="G36" i="5"/>
  <c r="AE36" i="5" s="1"/>
  <c r="R36" i="5"/>
  <c r="CO36" i="5" s="1"/>
  <c r="BB33" i="5"/>
  <c r="BD33" i="5"/>
  <c r="BC33" i="5"/>
  <c r="AZ33" i="5"/>
  <c r="BF33" i="5"/>
  <c r="BA33" i="5"/>
  <c r="BI33" i="5"/>
  <c r="BV33" i="5" s="1"/>
  <c r="CI33" i="5" s="1"/>
  <c r="CX33" i="5" s="1"/>
  <c r="AY33" i="5"/>
  <c r="BH33" i="5"/>
  <c r="BE33" i="5"/>
  <c r="BG33" i="5"/>
  <c r="DY11" i="1"/>
  <c r="E11" i="1" s="1"/>
  <c r="AI11" i="1" s="1"/>
  <c r="BK33" i="5" l="1"/>
  <c r="BL33" i="5" s="1"/>
  <c r="CW29" i="5"/>
  <c r="CZ29" i="5" s="1"/>
  <c r="CF30" i="5"/>
  <c r="CB30" i="5"/>
  <c r="CH30" i="5"/>
  <c r="CA30" i="5"/>
  <c r="CD30" i="5"/>
  <c r="BY30" i="5"/>
  <c r="CE30" i="5"/>
  <c r="CC30" i="5"/>
  <c r="CG30" i="5"/>
  <c r="BX31" i="5"/>
  <c r="CG31" i="5" s="1"/>
  <c r="BR32" i="5"/>
  <c r="BO32" i="5"/>
  <c r="BS32" i="5"/>
  <c r="BQ32" i="5"/>
  <c r="BM32" i="5"/>
  <c r="BL32" i="5"/>
  <c r="BU32" i="5"/>
  <c r="BN32" i="5"/>
  <c r="BT32" i="5"/>
  <c r="AW35" i="5"/>
  <c r="AS35" i="5"/>
  <c r="AT35" i="5"/>
  <c r="AU35" i="5"/>
  <c r="AV35" i="5"/>
  <c r="BI34" i="5"/>
  <c r="BV34" i="5" s="1"/>
  <c r="CI34" i="5" s="1"/>
  <c r="CX34" i="5" s="1"/>
  <c r="BE34" i="5"/>
  <c r="BA34" i="5"/>
  <c r="BD34" i="5"/>
  <c r="AZ34" i="5"/>
  <c r="BG34" i="5"/>
  <c r="AY34" i="5"/>
  <c r="BH34" i="5"/>
  <c r="BF34" i="5"/>
  <c r="BC34" i="5"/>
  <c r="BB34" i="5"/>
  <c r="AM36" i="5"/>
  <c r="AN36" i="5"/>
  <c r="AP36" i="5"/>
  <c r="AO36" i="5"/>
  <c r="AQ36" i="5"/>
  <c r="AH11" i="1"/>
  <c r="AM11" i="1"/>
  <c r="AL11" i="1"/>
  <c r="AJ11" i="1"/>
  <c r="AF11" i="1"/>
  <c r="AK11" i="1"/>
  <c r="AN11" i="1"/>
  <c r="M11" i="1"/>
  <c r="AG11" i="1"/>
  <c r="AO11" i="1" l="1"/>
  <c r="F11" i="1" s="1"/>
  <c r="BK34" i="5"/>
  <c r="BN34" i="5" s="1"/>
  <c r="BZ31" i="5"/>
  <c r="CF31" i="5"/>
  <c r="BO33" i="5"/>
  <c r="CW30" i="5"/>
  <c r="CZ30" i="5" s="1"/>
  <c r="CB31" i="5"/>
  <c r="CC31" i="5"/>
  <c r="CE31" i="5"/>
  <c r="CA31" i="5"/>
  <c r="CH31" i="5"/>
  <c r="BY31" i="5"/>
  <c r="CD31" i="5"/>
  <c r="BM33" i="5"/>
  <c r="BU33" i="5"/>
  <c r="BX32" i="5"/>
  <c r="CC32" i="5" s="1"/>
  <c r="BQ33" i="5"/>
  <c r="BP33" i="5"/>
  <c r="BN33" i="5"/>
  <c r="BT33" i="5"/>
  <c r="BS33" i="5"/>
  <c r="BR33" i="5"/>
  <c r="AE11" i="1"/>
  <c r="G11" i="1" s="1"/>
  <c r="BA35" i="5"/>
  <c r="BC35" i="5"/>
  <c r="BB35" i="5"/>
  <c r="AY35" i="5"/>
  <c r="BE35" i="5"/>
  <c r="BF35" i="5"/>
  <c r="BI35" i="5"/>
  <c r="BV35" i="5" s="1"/>
  <c r="CI35" i="5" s="1"/>
  <c r="CX35" i="5" s="1"/>
  <c r="BD35" i="5"/>
  <c r="AZ35" i="5"/>
  <c r="BG35" i="5"/>
  <c r="BH35" i="5"/>
  <c r="AT36" i="5"/>
  <c r="AS36" i="5"/>
  <c r="AW36" i="5"/>
  <c r="AV36" i="5"/>
  <c r="AU36" i="5"/>
  <c r="BK35" i="5" l="1"/>
  <c r="BT35" i="5" s="1"/>
  <c r="CW31" i="5"/>
  <c r="CZ31" i="5" s="1"/>
  <c r="CB32" i="5"/>
  <c r="CE32" i="5"/>
  <c r="CG32" i="5"/>
  <c r="CF32" i="5"/>
  <c r="BY32" i="5"/>
  <c r="CD32" i="5"/>
  <c r="CA32" i="5"/>
  <c r="CH32" i="5"/>
  <c r="BZ32" i="5"/>
  <c r="BX33" i="5"/>
  <c r="CG33" i="5" s="1"/>
  <c r="BQ34" i="5"/>
  <c r="BU34" i="5"/>
  <c r="BO34" i="5"/>
  <c r="BM34" i="5"/>
  <c r="BP34" i="5"/>
  <c r="BS34" i="5"/>
  <c r="BT34" i="5"/>
  <c r="BR34" i="5"/>
  <c r="BL34" i="5"/>
  <c r="BE36" i="5"/>
  <c r="BC36" i="5"/>
  <c r="BI36" i="5"/>
  <c r="BV36" i="5" s="1"/>
  <c r="CI36" i="5" s="1"/>
  <c r="CX36" i="5" s="1"/>
  <c r="BF36" i="5"/>
  <c r="BD36" i="5"/>
  <c r="BG36" i="5"/>
  <c r="AY36" i="5"/>
  <c r="BB36" i="5"/>
  <c r="BH36" i="5"/>
  <c r="AZ36" i="5"/>
  <c r="BA36" i="5"/>
  <c r="AP11" i="1"/>
  <c r="H11" i="1" s="1"/>
  <c r="BK36" i="5" l="1"/>
  <c r="BO36" i="5" s="1"/>
  <c r="CW32" i="5"/>
  <c r="CZ32" i="5" s="1"/>
  <c r="CH33" i="5"/>
  <c r="CC33" i="5"/>
  <c r="CF33" i="5"/>
  <c r="CB33" i="5"/>
  <c r="BY33" i="5"/>
  <c r="BZ33" i="5"/>
  <c r="CE33" i="5"/>
  <c r="CD33" i="5"/>
  <c r="CA33" i="5"/>
  <c r="BL35" i="5"/>
  <c r="BX34" i="5"/>
  <c r="CA34" i="5" s="1"/>
  <c r="BS35" i="5"/>
  <c r="BU35" i="5"/>
  <c r="BM35" i="5"/>
  <c r="BQ35" i="5"/>
  <c r="BO35" i="5"/>
  <c r="BN35" i="5"/>
  <c r="BP35" i="5"/>
  <c r="BR35" i="5"/>
  <c r="K11" i="1"/>
  <c r="D12" i="1" s="1"/>
  <c r="J12" i="1" s="1"/>
  <c r="CD34" i="5" l="1"/>
  <c r="CF34" i="5"/>
  <c r="CW33" i="5"/>
  <c r="CZ33" i="5" s="1"/>
  <c r="CC34" i="5"/>
  <c r="CE34" i="5"/>
  <c r="CG34" i="5"/>
  <c r="CB34" i="5"/>
  <c r="CH34" i="5"/>
  <c r="BZ34" i="5"/>
  <c r="BY34" i="5"/>
  <c r="BX35" i="5"/>
  <c r="CG35" i="5" s="1"/>
  <c r="BT36" i="5"/>
  <c r="BN36" i="5"/>
  <c r="BQ36" i="5"/>
  <c r="BU36" i="5"/>
  <c r="BP36" i="5"/>
  <c r="BM36" i="5"/>
  <c r="BR36" i="5"/>
  <c r="BL36" i="5"/>
  <c r="BS36" i="5"/>
  <c r="I12" i="1"/>
  <c r="O11" i="1"/>
  <c r="C12" i="1"/>
  <c r="CU12" i="1" s="1"/>
  <c r="B12" i="1"/>
  <c r="W12" i="1"/>
  <c r="S12" i="1"/>
  <c r="U12" i="1"/>
  <c r="T12" i="1"/>
  <c r="X12" i="1"/>
  <c r="Y12" i="1"/>
  <c r="V12" i="1"/>
  <c r="AA12" i="1"/>
  <c r="Z12" i="1"/>
  <c r="CW34" i="5" l="1"/>
  <c r="CZ34" i="5" s="1"/>
  <c r="CC35" i="5"/>
  <c r="CH35" i="5"/>
  <c r="CB35" i="5"/>
  <c r="BY35" i="5"/>
  <c r="CA35" i="5"/>
  <c r="CD35" i="5"/>
  <c r="CE35" i="5"/>
  <c r="CF35" i="5"/>
  <c r="BZ35" i="5"/>
  <c r="BX36" i="5"/>
  <c r="CB36" i="5" s="1"/>
  <c r="CW12" i="1"/>
  <c r="CV12" i="1"/>
  <c r="EK12" i="1"/>
  <c r="EG12" i="1"/>
  <c r="EE12" i="1"/>
  <c r="R12" i="1"/>
  <c r="CR12" i="1"/>
  <c r="CP12" i="1"/>
  <c r="CX12" i="1"/>
  <c r="EL12" i="1"/>
  <c r="CY12" i="1"/>
  <c r="EF12" i="1"/>
  <c r="CS12" i="1"/>
  <c r="EJ12" i="1"/>
  <c r="EI12" i="1"/>
  <c r="CT12" i="1"/>
  <c r="EH12" i="1"/>
  <c r="CQ12" i="1"/>
  <c r="ED12" i="1"/>
  <c r="AB12" i="1"/>
  <c r="AC12" i="1" s="1"/>
  <c r="CW35" i="5" l="1"/>
  <c r="CZ35" i="5" s="1"/>
  <c r="BZ36" i="5"/>
  <c r="CA36" i="5"/>
  <c r="CH36" i="5"/>
  <c r="CG36" i="5"/>
  <c r="CF36" i="5"/>
  <c r="CE36" i="5"/>
  <c r="CC36" i="5"/>
  <c r="CD36" i="5"/>
  <c r="BY36" i="5"/>
  <c r="EQ12" i="1"/>
  <c r="CO12" i="1"/>
  <c r="EN12" i="1"/>
  <c r="ER12" i="1"/>
  <c r="EO12" i="1"/>
  <c r="EP12" i="1"/>
  <c r="AU12" i="1"/>
  <c r="AV12" i="1"/>
  <c r="AS12" i="1"/>
  <c r="AT12" i="1"/>
  <c r="BA12" i="1"/>
  <c r="AW12" i="1"/>
  <c r="AX12" i="1"/>
  <c r="AZ12" i="1"/>
  <c r="AY12" i="1"/>
  <c r="CW36" i="5" l="1"/>
  <c r="CZ36" i="5" s="1"/>
  <c r="EU12" i="1"/>
  <c r="ET12" i="1"/>
  <c r="EX12" i="1"/>
  <c r="EW12" i="1"/>
  <c r="EV12" i="1"/>
  <c r="BB12" i="1"/>
  <c r="DA7" i="5" l="1"/>
  <c r="E3" i="4" s="1"/>
  <c r="FC12" i="1"/>
  <c r="FE12" i="1"/>
  <c r="FF12" i="1"/>
  <c r="FD12" i="1"/>
  <c r="FH12" i="1"/>
  <c r="FB12" i="1"/>
  <c r="EZ12" i="1"/>
  <c r="FJ12" i="1"/>
  <c r="FW12" i="1" s="1"/>
  <c r="BO12" i="1" s="1"/>
  <c r="N12" i="1" s="1"/>
  <c r="FI12" i="1"/>
  <c r="FA12" i="1"/>
  <c r="FG12" i="1"/>
  <c r="FL12" i="1" l="1"/>
  <c r="FR12" i="1" s="1"/>
  <c r="BJ12" i="1" s="1"/>
  <c r="BW12" i="1" s="1"/>
  <c r="FM12" i="1" l="1"/>
  <c r="BE12" i="1" s="1"/>
  <c r="BR12" i="1" s="1"/>
  <c r="FS12" i="1"/>
  <c r="BK12" i="1" s="1"/>
  <c r="BX12" i="1" s="1"/>
  <c r="FP12" i="1"/>
  <c r="BH12" i="1" s="1"/>
  <c r="BU12" i="1" s="1"/>
  <c r="FN12" i="1"/>
  <c r="BF12" i="1" s="1"/>
  <c r="BS12" i="1" s="1"/>
  <c r="FU12" i="1"/>
  <c r="BM12" i="1" s="1"/>
  <c r="BZ12" i="1" s="1"/>
  <c r="FO12" i="1"/>
  <c r="BG12" i="1" s="1"/>
  <c r="BT12" i="1" s="1"/>
  <c r="FT12" i="1"/>
  <c r="BL12" i="1" s="1"/>
  <c r="BY12" i="1" s="1"/>
  <c r="FQ12" i="1"/>
  <c r="BI12" i="1" s="1"/>
  <c r="BV12" i="1" s="1"/>
  <c r="FV12" i="1"/>
  <c r="BN12" i="1" s="1"/>
  <c r="CA12" i="1" s="1"/>
  <c r="BQ12" i="1" l="1"/>
  <c r="CE12" i="1" s="1"/>
  <c r="CI12" i="1" l="1"/>
  <c r="CL12" i="1"/>
  <c r="CH12" i="1"/>
  <c r="CK12" i="1"/>
  <c r="CG12" i="1"/>
  <c r="CD12" i="1"/>
  <c r="CF12" i="1"/>
  <c r="CM12" i="1"/>
  <c r="CJ12" i="1"/>
  <c r="L10" i="1" l="1"/>
  <c r="P10" i="1" s="1"/>
  <c r="DJ12" i="1" l="1"/>
  <c r="DV12" i="1" s="1"/>
  <c r="DI12" i="1" l="1"/>
  <c r="DU12" i="1" s="1"/>
  <c r="DH12" i="1" l="1"/>
  <c r="DT12" i="1" s="1"/>
  <c r="DG12" i="1" l="1"/>
  <c r="DS12" i="1" s="1"/>
  <c r="DE12" i="1" l="1"/>
  <c r="DQ12" i="1" s="1"/>
  <c r="DN12" i="1" l="1"/>
  <c r="DB12" i="1"/>
  <c r="DD12" i="1" l="1"/>
  <c r="DP12" i="1" s="1"/>
  <c r="DC12" i="1" l="1"/>
  <c r="DO12" i="1" s="1"/>
  <c r="L11" i="1" l="1"/>
  <c r="P11" i="1" l="1"/>
  <c r="DF12" i="1" l="1"/>
  <c r="DR12" i="1" s="1"/>
  <c r="DK12" i="1"/>
  <c r="DW12" i="1" s="1"/>
  <c r="DY12" i="1" l="1"/>
  <c r="E12" i="1" s="1"/>
  <c r="M12" i="1" l="1"/>
  <c r="AF12" i="1"/>
  <c r="AH12" i="1"/>
  <c r="AI12" i="1"/>
  <c r="AK12" i="1"/>
  <c r="AN12" i="1"/>
  <c r="AM12" i="1"/>
  <c r="AL12" i="1"/>
  <c r="AJ12" i="1"/>
  <c r="AG12" i="1"/>
  <c r="AO12" i="1" l="1"/>
  <c r="AE12" i="1"/>
  <c r="G12" i="1" s="1"/>
  <c r="F12" i="1" l="1"/>
  <c r="AP12" i="1"/>
  <c r="H12" i="1" s="1"/>
  <c r="K12" i="1" s="1"/>
  <c r="I13" i="1" l="1"/>
  <c r="O12" i="1"/>
  <c r="D13" i="1"/>
  <c r="B13" i="1"/>
  <c r="C13" i="1"/>
  <c r="L12" i="1"/>
  <c r="P12" i="1" l="1"/>
  <c r="U13" i="1"/>
  <c r="EF13" i="1" s="1"/>
  <c r="W13" i="1"/>
  <c r="EH13" i="1" s="1"/>
  <c r="Z13" i="1"/>
  <c r="EK13" i="1" s="1"/>
  <c r="S13" i="1"/>
  <c r="J13" i="1"/>
  <c r="X13" i="1"/>
  <c r="EI13" i="1" s="1"/>
  <c r="V13" i="1"/>
  <c r="EG13" i="1" s="1"/>
  <c r="AA13" i="1"/>
  <c r="EL13" i="1" s="1"/>
  <c r="Y13" i="1"/>
  <c r="EJ13" i="1" s="1"/>
  <c r="T13" i="1"/>
  <c r="EE13" i="1" s="1"/>
  <c r="CR13" i="1"/>
  <c r="DD13" i="1" s="1"/>
  <c r="CY13" i="1"/>
  <c r="CT13" i="1"/>
  <c r="DF13" i="1" s="1"/>
  <c r="CP13" i="1"/>
  <c r="CS13" i="1"/>
  <c r="DE13" i="1" s="1"/>
  <c r="CV13" i="1"/>
  <c r="DH13" i="1" s="1"/>
  <c r="CQ13" i="1"/>
  <c r="DC13" i="1" s="1"/>
  <c r="CW13" i="1"/>
  <c r="DI13" i="1" s="1"/>
  <c r="CX13" i="1"/>
  <c r="DJ13" i="1" s="1"/>
  <c r="CU13" i="1"/>
  <c r="DG13" i="1" s="1"/>
  <c r="DK13" i="1" l="1"/>
  <c r="AB13" i="1"/>
  <c r="AC13" i="1" s="1"/>
  <c r="R13" i="1"/>
  <c r="ED13" i="1"/>
  <c r="CO13" i="1"/>
  <c r="DB13" i="1"/>
  <c r="EO13" i="1" l="1"/>
  <c r="EQ13" i="1"/>
  <c r="EN13" i="1"/>
  <c r="ER13" i="1"/>
  <c r="EP13" i="1"/>
  <c r="AZ13" i="1"/>
  <c r="AT13" i="1"/>
  <c r="AS13" i="1"/>
  <c r="AV13" i="1"/>
  <c r="AY13" i="1"/>
  <c r="BA13" i="1"/>
  <c r="AW13" i="1"/>
  <c r="AX13" i="1"/>
  <c r="AU13" i="1"/>
  <c r="BB13" i="1" l="1"/>
  <c r="EV13" i="1"/>
  <c r="EU13" i="1"/>
  <c r="EW13" i="1"/>
  <c r="ET13" i="1"/>
  <c r="EX13" i="1"/>
  <c r="FG13" i="1" l="1"/>
  <c r="FA13" i="1"/>
  <c r="FF13" i="1"/>
  <c r="FJ13" i="1"/>
  <c r="FW13" i="1" s="1"/>
  <c r="BO13" i="1" s="1"/>
  <c r="N13" i="1" s="1"/>
  <c r="FE13" i="1"/>
  <c r="FB13" i="1"/>
  <c r="FH13" i="1"/>
  <c r="FC13" i="1"/>
  <c r="EZ13" i="1"/>
  <c r="FI13" i="1"/>
  <c r="FD13" i="1"/>
  <c r="FL13" i="1" l="1"/>
  <c r="FM13" i="1" s="1"/>
  <c r="BE13" i="1" s="1"/>
  <c r="BR13" i="1" s="1"/>
  <c r="FP13" i="1" l="1"/>
  <c r="BH13" i="1" s="1"/>
  <c r="BU13" i="1" s="1"/>
  <c r="FU13" i="1"/>
  <c r="BM13" i="1" s="1"/>
  <c r="BZ13" i="1" s="1"/>
  <c r="FO13" i="1"/>
  <c r="BG13" i="1" s="1"/>
  <c r="BT13" i="1" s="1"/>
  <c r="FS13" i="1"/>
  <c r="BK13" i="1" s="1"/>
  <c r="BX13" i="1" s="1"/>
  <c r="FN13" i="1"/>
  <c r="BF13" i="1" s="1"/>
  <c r="BS13" i="1" s="1"/>
  <c r="FR13" i="1"/>
  <c r="BJ13" i="1" s="1"/>
  <c r="BW13" i="1" s="1"/>
  <c r="FT13" i="1"/>
  <c r="BL13" i="1" s="1"/>
  <c r="BY13" i="1" s="1"/>
  <c r="FV13" i="1"/>
  <c r="BN13" i="1" s="1"/>
  <c r="CA13" i="1" s="1"/>
  <c r="FQ13" i="1"/>
  <c r="BI13" i="1" s="1"/>
  <c r="BV13" i="1" s="1"/>
  <c r="BQ13" i="1" l="1"/>
  <c r="CG13" i="1" s="1"/>
  <c r="DQ13" i="1" s="1"/>
  <c r="CL13" i="1" l="1"/>
  <c r="DV13" i="1" s="1"/>
  <c r="CJ13" i="1"/>
  <c r="DT13" i="1" s="1"/>
  <c r="CD13" i="1"/>
  <c r="DN13" i="1" s="1"/>
  <c r="CM13" i="1"/>
  <c r="DW13" i="1" s="1"/>
  <c r="CH13" i="1"/>
  <c r="DR13" i="1" s="1"/>
  <c r="CE13" i="1"/>
  <c r="DO13" i="1" s="1"/>
  <c r="CI13" i="1"/>
  <c r="DS13" i="1" s="1"/>
  <c r="CF13" i="1"/>
  <c r="DP13" i="1" s="1"/>
  <c r="CK13" i="1"/>
  <c r="DU13" i="1" s="1"/>
  <c r="DY13" i="1" l="1"/>
  <c r="E13" i="1" s="1"/>
  <c r="AF13" i="1" s="1"/>
  <c r="M13" i="1" l="1"/>
  <c r="AJ13" i="1"/>
  <c r="AN13" i="1"/>
  <c r="AH13" i="1"/>
  <c r="AL13" i="1"/>
  <c r="AG13" i="1"/>
  <c r="AM13" i="1"/>
  <c r="AI13" i="1"/>
  <c r="AK13" i="1"/>
  <c r="AE13" i="1" l="1"/>
  <c r="G13" i="1" s="1"/>
  <c r="AO13" i="1"/>
  <c r="AP13" i="1" s="1"/>
  <c r="H13" i="1" s="1"/>
  <c r="K13" i="1" s="1"/>
  <c r="B14" i="1" s="1"/>
  <c r="D14" i="1" l="1"/>
  <c r="X14" i="1" s="1"/>
  <c r="C14" i="1"/>
  <c r="I14" i="1"/>
  <c r="F13" i="1"/>
  <c r="O13" i="1" s="1"/>
  <c r="CT14" i="1" l="1"/>
  <c r="CU14" i="1"/>
  <c r="DG14" i="1" s="1"/>
  <c r="CX14" i="1"/>
  <c r="DJ14" i="1" s="1"/>
  <c r="W14" i="1"/>
  <c r="EH14" i="1" s="1"/>
  <c r="CW14" i="1"/>
  <c r="DI14" i="1" s="1"/>
  <c r="CV14" i="1"/>
  <c r="DH14" i="1" s="1"/>
  <c r="CS14" i="1"/>
  <c r="DE14" i="1" s="1"/>
  <c r="CR14" i="1"/>
  <c r="DD14" i="1" s="1"/>
  <c r="CY14" i="1"/>
  <c r="CQ14" i="1"/>
  <c r="DC14" i="1" s="1"/>
  <c r="CP14" i="1"/>
  <c r="DB14" i="1" s="1"/>
  <c r="V14" i="1"/>
  <c r="EG14" i="1" s="1"/>
  <c r="S14" i="1"/>
  <c r="ED14" i="1" s="1"/>
  <c r="J14" i="1"/>
  <c r="U14" i="1"/>
  <c r="EF14" i="1" s="1"/>
  <c r="T14" i="1"/>
  <c r="EE14" i="1" s="1"/>
  <c r="AA14" i="1"/>
  <c r="EL14" i="1" s="1"/>
  <c r="Y14" i="1"/>
  <c r="Z14" i="1"/>
  <c r="EK14" i="1" s="1"/>
  <c r="EI14" i="1"/>
  <c r="CO14" i="1" l="1"/>
  <c r="R14" i="1"/>
  <c r="AB14" i="1"/>
  <c r="AC14" i="1" s="1"/>
  <c r="AU14" i="1" s="1"/>
  <c r="EJ14" i="1"/>
  <c r="EO14" i="1" s="1"/>
  <c r="ER14" i="1" l="1"/>
  <c r="EQ14" i="1"/>
  <c r="AX14" i="1"/>
  <c r="AY14" i="1"/>
  <c r="AS14" i="1"/>
  <c r="AZ14" i="1"/>
  <c r="EN14" i="1"/>
  <c r="EP14" i="1"/>
  <c r="BA14" i="1"/>
  <c r="AT14" i="1"/>
  <c r="AV14" i="1"/>
  <c r="AW14" i="1"/>
  <c r="EV14" i="1" l="1"/>
  <c r="ET14" i="1"/>
  <c r="EU14" i="1"/>
  <c r="BB14" i="1"/>
  <c r="EX14" i="1"/>
  <c r="EW14" i="1"/>
  <c r="FE14" i="1" l="1"/>
  <c r="FF14" i="1"/>
  <c r="EZ14" i="1"/>
  <c r="FD14" i="1"/>
  <c r="FJ14" i="1"/>
  <c r="FW14" i="1" s="1"/>
  <c r="BO14" i="1" s="1"/>
  <c r="N14" i="1" s="1"/>
  <c r="FG14" i="1"/>
  <c r="FB14" i="1"/>
  <c r="FI14" i="1"/>
  <c r="FH14" i="1"/>
  <c r="FC14" i="1"/>
  <c r="FA14" i="1"/>
  <c r="FL14" i="1" l="1"/>
  <c r="FP14" i="1" s="1"/>
  <c r="BH14" i="1" s="1"/>
  <c r="BU14" i="1" s="1"/>
  <c r="L13" i="1"/>
  <c r="P13" i="1" s="1"/>
  <c r="FR14" i="1" l="1"/>
  <c r="BJ14" i="1" s="1"/>
  <c r="BW14" i="1" s="1"/>
  <c r="FT14" i="1"/>
  <c r="BL14" i="1" s="1"/>
  <c r="BY14" i="1" s="1"/>
  <c r="FM14" i="1"/>
  <c r="BE14" i="1" s="1"/>
  <c r="BR14" i="1" s="1"/>
  <c r="FS14" i="1"/>
  <c r="BK14" i="1" s="1"/>
  <c r="BX14" i="1" s="1"/>
  <c r="FU14" i="1"/>
  <c r="BM14" i="1" s="1"/>
  <c r="BZ14" i="1" s="1"/>
  <c r="FN14" i="1"/>
  <c r="BF14" i="1" s="1"/>
  <c r="BS14" i="1" s="1"/>
  <c r="FQ14" i="1"/>
  <c r="BI14" i="1" s="1"/>
  <c r="BV14" i="1" s="1"/>
  <c r="FV14" i="1"/>
  <c r="BN14" i="1" s="1"/>
  <c r="CA14" i="1" s="1"/>
  <c r="FO14" i="1"/>
  <c r="BG14" i="1" s="1"/>
  <c r="BT14" i="1" s="1"/>
  <c r="DF14" i="1"/>
  <c r="DK14" i="1"/>
  <c r="BQ14" i="1" l="1"/>
  <c r="CI14" i="1" s="1"/>
  <c r="DS14" i="1" s="1"/>
  <c r="CK14" i="1" l="1"/>
  <c r="DU14" i="1" s="1"/>
  <c r="CE14" i="1"/>
  <c r="DO14" i="1" s="1"/>
  <c r="CF14" i="1"/>
  <c r="DP14" i="1" s="1"/>
  <c r="CL14" i="1"/>
  <c r="DV14" i="1" s="1"/>
  <c r="CM14" i="1"/>
  <c r="DW14" i="1" s="1"/>
  <c r="CJ14" i="1"/>
  <c r="DT14" i="1" s="1"/>
  <c r="CH14" i="1"/>
  <c r="DR14" i="1" s="1"/>
  <c r="CG14" i="1"/>
  <c r="DQ14" i="1" s="1"/>
  <c r="CD14" i="1"/>
  <c r="DN14" i="1" s="1"/>
  <c r="DY14" i="1" l="1"/>
  <c r="E14" i="1" s="1"/>
  <c r="AI14" i="1" s="1"/>
  <c r="M14" i="1" l="1"/>
  <c r="AM14" i="1"/>
  <c r="AJ14" i="1"/>
  <c r="AK14" i="1"/>
  <c r="AH14" i="1"/>
  <c r="AG14" i="1"/>
  <c r="AF14" i="1"/>
  <c r="AL14" i="1"/>
  <c r="AN14" i="1"/>
  <c r="AO14" i="1" l="1"/>
  <c r="AP14" i="1" s="1"/>
  <c r="H14" i="1" s="1"/>
  <c r="K14" i="1" s="1"/>
  <c r="L14" i="1" s="1"/>
  <c r="AE14" i="1"/>
  <c r="G14" i="1" s="1"/>
  <c r="C15" i="1" l="1"/>
  <c r="B15" i="1"/>
  <c r="D15" i="1"/>
  <c r="AA15" i="1" s="1"/>
  <c r="I15" i="1"/>
  <c r="F14" i="1"/>
  <c r="O14" i="1" s="1"/>
  <c r="P14" i="1" s="1"/>
  <c r="CU15" i="1" l="1"/>
  <c r="DG15" i="1" s="1"/>
  <c r="CX15" i="1"/>
  <c r="DJ15" i="1" s="1"/>
  <c r="CR15" i="1"/>
  <c r="DD15" i="1" s="1"/>
  <c r="CP15" i="1"/>
  <c r="DB15" i="1" s="1"/>
  <c r="W15" i="1"/>
  <c r="EH15" i="1" s="1"/>
  <c r="CY15" i="1"/>
  <c r="DK15" i="1" s="1"/>
  <c r="V15" i="1"/>
  <c r="EG15" i="1" s="1"/>
  <c r="CV15" i="1"/>
  <c r="DH15" i="1" s="1"/>
  <c r="CT15" i="1"/>
  <c r="DF15" i="1" s="1"/>
  <c r="CW15" i="1"/>
  <c r="DI15" i="1" s="1"/>
  <c r="X15" i="1"/>
  <c r="EI15" i="1" s="1"/>
  <c r="CQ15" i="1"/>
  <c r="DC15" i="1" s="1"/>
  <c r="T15" i="1"/>
  <c r="EE15" i="1" s="1"/>
  <c r="J15" i="1"/>
  <c r="CS15" i="1"/>
  <c r="DE15" i="1" s="1"/>
  <c r="U15" i="1"/>
  <c r="EF15" i="1" s="1"/>
  <c r="Z15" i="1"/>
  <c r="EK15" i="1" s="1"/>
  <c r="S15" i="1"/>
  <c r="ED15" i="1" s="1"/>
  <c r="Y15" i="1"/>
  <c r="EJ15" i="1" s="1"/>
  <c r="EL15" i="1"/>
  <c r="R15" i="1" l="1"/>
  <c r="AB15" i="1"/>
  <c r="AC15" i="1" s="1"/>
  <c r="AS15" i="1" s="1"/>
  <c r="CO15" i="1"/>
  <c r="EN15" i="1"/>
  <c r="EP15" i="1"/>
  <c r="EQ15" i="1"/>
  <c r="EO15" i="1"/>
  <c r="ER15" i="1"/>
  <c r="AX15" i="1" l="1"/>
  <c r="AU15" i="1"/>
  <c r="AY15" i="1"/>
  <c r="BA15" i="1"/>
  <c r="AT15" i="1"/>
  <c r="AW15" i="1"/>
  <c r="AV15" i="1"/>
  <c r="AZ15" i="1"/>
  <c r="ET15" i="1"/>
  <c r="EU15" i="1"/>
  <c r="EV15" i="1"/>
  <c r="EW15" i="1"/>
  <c r="EX15" i="1"/>
  <c r="BB15" i="1" l="1"/>
  <c r="FA15" i="1"/>
  <c r="FJ15" i="1"/>
  <c r="FW15" i="1" s="1"/>
  <c r="BO15" i="1" s="1"/>
  <c r="N15" i="1" s="1"/>
  <c r="FI15" i="1"/>
  <c r="FH15" i="1"/>
  <c r="EZ15" i="1"/>
  <c r="FE15" i="1"/>
  <c r="FF15" i="1"/>
  <c r="FD15" i="1"/>
  <c r="FB15" i="1"/>
  <c r="FC15" i="1"/>
  <c r="FG15" i="1"/>
  <c r="FL15" i="1" l="1"/>
  <c r="FT15" i="1" s="1"/>
  <c r="BL15" i="1" s="1"/>
  <c r="BY15" i="1" s="1"/>
  <c r="FV15" i="1" l="1"/>
  <c r="BN15" i="1" s="1"/>
  <c r="CA15" i="1" s="1"/>
  <c r="FO15" i="1"/>
  <c r="BG15" i="1" s="1"/>
  <c r="BT15" i="1" s="1"/>
  <c r="FU15" i="1"/>
  <c r="BM15" i="1" s="1"/>
  <c r="BZ15" i="1" s="1"/>
  <c r="FS15" i="1"/>
  <c r="BK15" i="1" s="1"/>
  <c r="BX15" i="1" s="1"/>
  <c r="FN15" i="1"/>
  <c r="BF15" i="1" s="1"/>
  <c r="BS15" i="1" s="1"/>
  <c r="FR15" i="1"/>
  <c r="BJ15" i="1" s="1"/>
  <c r="BW15" i="1" s="1"/>
  <c r="FM15" i="1"/>
  <c r="BE15" i="1" s="1"/>
  <c r="BR15" i="1" s="1"/>
  <c r="FP15" i="1"/>
  <c r="BH15" i="1" s="1"/>
  <c r="BU15" i="1" s="1"/>
  <c r="FQ15" i="1"/>
  <c r="BI15" i="1" s="1"/>
  <c r="BV15" i="1" s="1"/>
  <c r="BQ15" i="1" l="1"/>
  <c r="CK15" i="1" s="1"/>
  <c r="DU15" i="1" s="1"/>
  <c r="CH15" i="1" l="1"/>
  <c r="DR15" i="1" s="1"/>
  <c r="CF15" i="1"/>
  <c r="DP15" i="1" s="1"/>
  <c r="CI15" i="1"/>
  <c r="DS15" i="1" s="1"/>
  <c r="CM15" i="1"/>
  <c r="DW15" i="1" s="1"/>
  <c r="CL15" i="1"/>
  <c r="DV15" i="1" s="1"/>
  <c r="CJ15" i="1"/>
  <c r="DT15" i="1" s="1"/>
  <c r="CE15" i="1"/>
  <c r="DO15" i="1" s="1"/>
  <c r="CD15" i="1"/>
  <c r="DN15" i="1" s="1"/>
  <c r="CG15" i="1"/>
  <c r="DQ15" i="1" s="1"/>
  <c r="DY15" i="1" l="1"/>
  <c r="E15" i="1" s="1"/>
  <c r="AI15" i="1" l="1"/>
  <c r="AH15" i="1"/>
  <c r="AG15" i="1"/>
  <c r="AJ15" i="1"/>
  <c r="AM15" i="1"/>
  <c r="AK15" i="1"/>
  <c r="AL15" i="1"/>
  <c r="AF15" i="1"/>
  <c r="AN15" i="1"/>
  <c r="M15" i="1"/>
  <c r="AO15" i="1" l="1"/>
  <c r="AE15" i="1"/>
  <c r="G15" i="1" s="1"/>
  <c r="F15" i="1" l="1"/>
  <c r="AP15" i="1"/>
  <c r="H15" i="1" s="1"/>
  <c r="K15" i="1" s="1"/>
  <c r="D16" i="1" l="1"/>
  <c r="B16" i="1"/>
  <c r="C16" i="1"/>
  <c r="O15" i="1"/>
  <c r="I16" i="1"/>
  <c r="CU16" i="1" l="1"/>
  <c r="DG16" i="1" s="1"/>
  <c r="CR16" i="1"/>
  <c r="DD16" i="1" s="1"/>
  <c r="CQ16" i="1"/>
  <c r="DC16" i="1" s="1"/>
  <c r="CS16" i="1"/>
  <c r="DE16" i="1" s="1"/>
  <c r="CP16" i="1"/>
  <c r="CV16" i="1"/>
  <c r="DH16" i="1" s="1"/>
  <c r="CX16" i="1"/>
  <c r="DJ16" i="1" s="1"/>
  <c r="CW16" i="1"/>
  <c r="DI16" i="1" s="1"/>
  <c r="CT16" i="1"/>
  <c r="CY16" i="1"/>
  <c r="W16" i="1"/>
  <c r="U16" i="1"/>
  <c r="X16" i="1"/>
  <c r="V16" i="1"/>
  <c r="AA16" i="1"/>
  <c r="Y16" i="1"/>
  <c r="J16" i="1"/>
  <c r="S16" i="1"/>
  <c r="Z16" i="1"/>
  <c r="EK16" i="1" s="1"/>
  <c r="T16" i="1"/>
  <c r="R16" i="1" l="1"/>
  <c r="ED16" i="1"/>
  <c r="AB16" i="1"/>
  <c r="AC16" i="1" s="1"/>
  <c r="AZ16" i="1" s="1"/>
  <c r="EG16" i="1"/>
  <c r="EE16" i="1"/>
  <c r="EF16" i="1"/>
  <c r="EI16" i="1"/>
  <c r="EJ16" i="1"/>
  <c r="EL16" i="1"/>
  <c r="EH16" i="1"/>
  <c r="DB16" i="1"/>
  <c r="CO16" i="1"/>
  <c r="AT16" i="1" l="1"/>
  <c r="AS16" i="1"/>
  <c r="BA16" i="1"/>
  <c r="AX16" i="1"/>
  <c r="AW16" i="1"/>
  <c r="AY16" i="1"/>
  <c r="AU16" i="1"/>
  <c r="AV16" i="1"/>
  <c r="EQ16" i="1"/>
  <c r="ER16" i="1"/>
  <c r="EO16" i="1"/>
  <c r="EP16" i="1"/>
  <c r="EN16" i="1"/>
  <c r="BB16" i="1" l="1"/>
  <c r="EU16" i="1"/>
  <c r="EV16" i="1"/>
  <c r="EW16" i="1"/>
  <c r="EX16" i="1"/>
  <c r="ET16" i="1"/>
  <c r="FA16" i="1" l="1"/>
  <c r="FG16" i="1"/>
  <c r="FF16" i="1"/>
  <c r="EZ16" i="1"/>
  <c r="FH16" i="1"/>
  <c r="FI16" i="1"/>
  <c r="FE16" i="1"/>
  <c r="FD16" i="1"/>
  <c r="FC16" i="1"/>
  <c r="FB16" i="1"/>
  <c r="FJ16" i="1"/>
  <c r="FW16" i="1" s="1"/>
  <c r="BO16" i="1" s="1"/>
  <c r="N16" i="1" s="1"/>
  <c r="FL16" i="1" l="1"/>
  <c r="FS16" i="1" s="1"/>
  <c r="BK16" i="1" s="1"/>
  <c r="BX16" i="1" s="1"/>
  <c r="L15" i="1"/>
  <c r="P15" i="1" s="1"/>
  <c r="FN16" i="1" l="1"/>
  <c r="BF16" i="1" s="1"/>
  <c r="BS16" i="1" s="1"/>
  <c r="FP16" i="1"/>
  <c r="BH16" i="1" s="1"/>
  <c r="BU16" i="1" s="1"/>
  <c r="FT16" i="1"/>
  <c r="BL16" i="1" s="1"/>
  <c r="BY16" i="1" s="1"/>
  <c r="FV16" i="1"/>
  <c r="BN16" i="1" s="1"/>
  <c r="CA16" i="1" s="1"/>
  <c r="FR16" i="1"/>
  <c r="BJ16" i="1" s="1"/>
  <c r="BW16" i="1" s="1"/>
  <c r="FM16" i="1"/>
  <c r="BE16" i="1" s="1"/>
  <c r="BR16" i="1" s="1"/>
  <c r="DF16" i="1"/>
  <c r="DK16" i="1"/>
  <c r="FU16" i="1"/>
  <c r="BM16" i="1" s="1"/>
  <c r="BZ16" i="1" s="1"/>
  <c r="FO16" i="1"/>
  <c r="BG16" i="1" s="1"/>
  <c r="BT16" i="1" s="1"/>
  <c r="FQ16" i="1"/>
  <c r="BI16" i="1" s="1"/>
  <c r="BV16" i="1" s="1"/>
  <c r="BQ16" i="1" l="1"/>
  <c r="CD16" i="1" s="1"/>
  <c r="DN16" i="1" s="1"/>
  <c r="CL16" i="1" l="1"/>
  <c r="DV16" i="1" s="1"/>
  <c r="CH16" i="1"/>
  <c r="DR16" i="1" s="1"/>
  <c r="CK16" i="1"/>
  <c r="DU16" i="1" s="1"/>
  <c r="CE16" i="1"/>
  <c r="DO16" i="1" s="1"/>
  <c r="CG16" i="1"/>
  <c r="DQ16" i="1" s="1"/>
  <c r="CF16" i="1"/>
  <c r="DP16" i="1" s="1"/>
  <c r="CJ16" i="1"/>
  <c r="DT16" i="1" s="1"/>
  <c r="CI16" i="1"/>
  <c r="DS16" i="1" s="1"/>
  <c r="CM16" i="1"/>
  <c r="DW16" i="1" s="1"/>
  <c r="DY16" i="1" l="1"/>
  <c r="E16" i="1" s="1"/>
  <c r="AH16" i="1" s="1"/>
  <c r="AN16" i="1" l="1"/>
  <c r="AG16" i="1"/>
  <c r="AI16" i="1"/>
  <c r="AM16" i="1"/>
  <c r="AL16" i="1"/>
  <c r="AF16" i="1"/>
  <c r="M16" i="1"/>
  <c r="AJ16" i="1"/>
  <c r="AK16" i="1"/>
  <c r="AE16" i="1" l="1"/>
  <c r="G16" i="1" s="1"/>
  <c r="AO16" i="1"/>
  <c r="AP16" i="1" s="1"/>
  <c r="H16" i="1" s="1"/>
  <c r="K16" i="1" s="1"/>
  <c r="F16" i="1" l="1"/>
  <c r="O16" i="1" s="1"/>
  <c r="I17" i="1"/>
  <c r="L16" i="1"/>
  <c r="B17" i="1"/>
  <c r="D17" i="1"/>
  <c r="C17" i="1"/>
  <c r="P16" i="1" l="1"/>
  <c r="W17" i="1"/>
  <c r="U17" i="1"/>
  <c r="X17" i="1"/>
  <c r="J17" i="1"/>
  <c r="AA17" i="1"/>
  <c r="Z17" i="1"/>
  <c r="T17" i="1"/>
  <c r="S17" i="1"/>
  <c r="Y17" i="1"/>
  <c r="V17" i="1"/>
  <c r="EG17" i="1" s="1"/>
  <c r="CU17" i="1"/>
  <c r="DG17" i="1" s="1"/>
  <c r="CS17" i="1"/>
  <c r="DE17" i="1" s="1"/>
  <c r="CY17" i="1"/>
  <c r="CT17" i="1"/>
  <c r="DF17" i="1" s="1"/>
  <c r="CW17" i="1"/>
  <c r="DI17" i="1" s="1"/>
  <c r="CR17" i="1"/>
  <c r="DD17" i="1" s="1"/>
  <c r="CP17" i="1"/>
  <c r="CQ17" i="1"/>
  <c r="DC17" i="1" s="1"/>
  <c r="CX17" i="1"/>
  <c r="DJ17" i="1" s="1"/>
  <c r="CV17" i="1"/>
  <c r="DH17" i="1" s="1"/>
  <c r="DK17" i="1" l="1"/>
  <c r="AB17" i="1"/>
  <c r="AC17" i="1" s="1"/>
  <c r="AV17" i="1" s="1"/>
  <c r="ED17" i="1"/>
  <c r="R17" i="1"/>
  <c r="EE17" i="1"/>
  <c r="EI17" i="1"/>
  <c r="EK17" i="1"/>
  <c r="EF17" i="1"/>
  <c r="DB17" i="1"/>
  <c r="CO17" i="1"/>
  <c r="EJ17" i="1"/>
  <c r="EL17" i="1"/>
  <c r="EH17" i="1"/>
  <c r="AW17" i="1" l="1"/>
  <c r="AY17" i="1"/>
  <c r="AU17" i="1"/>
  <c r="AX17" i="1"/>
  <c r="AS17" i="1"/>
  <c r="BA17" i="1"/>
  <c r="AZ17" i="1"/>
  <c r="AT17" i="1"/>
  <c r="EN17" i="1"/>
  <c r="EQ17" i="1"/>
  <c r="EP17" i="1"/>
  <c r="ER17" i="1"/>
  <c r="EO17" i="1"/>
  <c r="EW17" i="1" l="1"/>
  <c r="EU17" i="1"/>
  <c r="ET17" i="1"/>
  <c r="EV17" i="1"/>
  <c r="EX17" i="1"/>
  <c r="BB17" i="1"/>
  <c r="FI17" i="1" l="1"/>
  <c r="FB17" i="1"/>
  <c r="FC17" i="1"/>
  <c r="FH17" i="1"/>
  <c r="FJ17" i="1"/>
  <c r="FW17" i="1" s="1"/>
  <c r="BO17" i="1" s="1"/>
  <c r="N17" i="1" s="1"/>
  <c r="FE17" i="1"/>
  <c r="FF17" i="1"/>
  <c r="FG17" i="1"/>
  <c r="FA17" i="1"/>
  <c r="EZ17" i="1"/>
  <c r="FD17" i="1"/>
  <c r="FL17" i="1" l="1"/>
  <c r="FU17" i="1" s="1"/>
  <c r="BM17" i="1" s="1"/>
  <c r="BZ17" i="1" s="1"/>
  <c r="FR17" i="1" l="1"/>
  <c r="BJ17" i="1" s="1"/>
  <c r="BW17" i="1" s="1"/>
  <c r="FM17" i="1"/>
  <c r="BE17" i="1" s="1"/>
  <c r="BR17" i="1" s="1"/>
  <c r="FS17" i="1"/>
  <c r="BK17" i="1" s="1"/>
  <c r="BX17" i="1" s="1"/>
  <c r="FQ17" i="1"/>
  <c r="BI17" i="1" s="1"/>
  <c r="BV17" i="1" s="1"/>
  <c r="FV17" i="1"/>
  <c r="BN17" i="1" s="1"/>
  <c r="CA17" i="1" s="1"/>
  <c r="FT17" i="1"/>
  <c r="BL17" i="1" s="1"/>
  <c r="BY17" i="1" s="1"/>
  <c r="FO17" i="1"/>
  <c r="BG17" i="1" s="1"/>
  <c r="BT17" i="1" s="1"/>
  <c r="FP17" i="1"/>
  <c r="BH17" i="1" s="1"/>
  <c r="BU17" i="1" s="1"/>
  <c r="FN17" i="1"/>
  <c r="BF17" i="1" s="1"/>
  <c r="BS17" i="1" s="1"/>
  <c r="BQ17" i="1" l="1"/>
  <c r="CE17" i="1" s="1"/>
  <c r="DO17" i="1" s="1"/>
  <c r="CF17" i="1" l="1"/>
  <c r="DP17" i="1" s="1"/>
  <c r="CM17" i="1"/>
  <c r="DW17" i="1" s="1"/>
  <c r="CG17" i="1"/>
  <c r="DQ17" i="1" s="1"/>
  <c r="CH17" i="1"/>
  <c r="DR17" i="1" s="1"/>
  <c r="CJ17" i="1"/>
  <c r="DT17" i="1" s="1"/>
  <c r="CD17" i="1"/>
  <c r="DN17" i="1" s="1"/>
  <c r="CL17" i="1"/>
  <c r="DV17" i="1" s="1"/>
  <c r="CI17" i="1"/>
  <c r="DS17" i="1" s="1"/>
  <c r="CK17" i="1"/>
  <c r="DU17" i="1" s="1"/>
  <c r="DY17" i="1" l="1"/>
  <c r="E17" i="1" s="1"/>
  <c r="AG17" i="1" s="1"/>
  <c r="AJ17" i="1" l="1"/>
  <c r="AL17" i="1"/>
  <c r="AN17" i="1"/>
  <c r="AH17" i="1"/>
  <c r="M17" i="1"/>
  <c r="AI17" i="1"/>
  <c r="AK17" i="1"/>
  <c r="AF17" i="1"/>
  <c r="AM17" i="1"/>
  <c r="AE17" i="1" l="1"/>
  <c r="G17" i="1" s="1"/>
  <c r="AO17" i="1"/>
  <c r="AP17" i="1" s="1"/>
  <c r="H17" i="1" s="1"/>
  <c r="K17" i="1" s="1"/>
  <c r="F17" i="1" l="1"/>
  <c r="O17" i="1" s="1"/>
  <c r="I18" i="1"/>
  <c r="D18" i="1"/>
  <c r="C18" i="1"/>
  <c r="B18" i="1"/>
  <c r="CX18" i="1" l="1"/>
  <c r="DJ18" i="1" s="1"/>
  <c r="CV18" i="1"/>
  <c r="DH18" i="1" s="1"/>
  <c r="CY18" i="1"/>
  <c r="CS18" i="1"/>
  <c r="DE18" i="1" s="1"/>
  <c r="CW18" i="1"/>
  <c r="DI18" i="1" s="1"/>
  <c r="CR18" i="1"/>
  <c r="DD18" i="1" s="1"/>
  <c r="CT18" i="1"/>
  <c r="CP18" i="1"/>
  <c r="CU18" i="1"/>
  <c r="DG18" i="1" s="1"/>
  <c r="CQ18" i="1"/>
  <c r="DC18" i="1" s="1"/>
  <c r="Y18" i="1"/>
  <c r="T18" i="1"/>
  <c r="AA18" i="1"/>
  <c r="X18" i="1"/>
  <c r="Z18" i="1"/>
  <c r="J18" i="1"/>
  <c r="U18" i="1"/>
  <c r="S18" i="1"/>
  <c r="W18" i="1"/>
  <c r="V18" i="1"/>
  <c r="EG18" i="1" l="1"/>
  <c r="EE18" i="1"/>
  <c r="DB18" i="1"/>
  <c r="CO18" i="1"/>
  <c r="EJ18" i="1"/>
  <c r="EK18" i="1"/>
  <c r="ED18" i="1"/>
  <c r="AB18" i="1"/>
  <c r="AC18" i="1" s="1"/>
  <c r="AS18" i="1" s="1"/>
  <c r="R18" i="1"/>
  <c r="EI18" i="1"/>
  <c r="EH18" i="1"/>
  <c r="EF18" i="1"/>
  <c r="EL18" i="1"/>
  <c r="BA18" i="1" l="1"/>
  <c r="AW18" i="1"/>
  <c r="AZ18" i="1"/>
  <c r="AV18" i="1"/>
  <c r="AU18" i="1"/>
  <c r="AX18" i="1"/>
  <c r="EQ18" i="1"/>
  <c r="EN18" i="1"/>
  <c r="EP18" i="1"/>
  <c r="ER18" i="1"/>
  <c r="EO18" i="1"/>
  <c r="AY18" i="1"/>
  <c r="AT18" i="1"/>
  <c r="BB18" i="1" l="1"/>
  <c r="EW18" i="1"/>
  <c r="EU18" i="1"/>
  <c r="EV18" i="1"/>
  <c r="EX18" i="1"/>
  <c r="ET18" i="1"/>
  <c r="FG18" i="1" l="1"/>
  <c r="FJ18" i="1"/>
  <c r="FW18" i="1" s="1"/>
  <c r="BO18" i="1" s="1"/>
  <c r="N18" i="1" s="1"/>
  <c r="FB18" i="1"/>
  <c r="FF18" i="1"/>
  <c r="EZ18" i="1"/>
  <c r="FH18" i="1"/>
  <c r="FE18" i="1"/>
  <c r="FI18" i="1"/>
  <c r="FD18" i="1"/>
  <c r="FC18" i="1"/>
  <c r="FA18" i="1"/>
  <c r="FL18" i="1" l="1"/>
  <c r="FS18" i="1" s="1"/>
  <c r="BK18" i="1" s="1"/>
  <c r="BX18" i="1" s="1"/>
  <c r="L17" i="1"/>
  <c r="P17" i="1" s="1"/>
  <c r="DF18" i="1" l="1"/>
  <c r="DK18" i="1"/>
  <c r="FO18" i="1"/>
  <c r="BG18" i="1" s="1"/>
  <c r="BT18" i="1" s="1"/>
  <c r="FQ18" i="1"/>
  <c r="BI18" i="1" s="1"/>
  <c r="BV18" i="1" s="1"/>
  <c r="FR18" i="1"/>
  <c r="BJ18" i="1" s="1"/>
  <c r="BW18" i="1" s="1"/>
  <c r="FU18" i="1"/>
  <c r="BM18" i="1" s="1"/>
  <c r="BZ18" i="1" s="1"/>
  <c r="FT18" i="1"/>
  <c r="BL18" i="1" s="1"/>
  <c r="BY18" i="1" s="1"/>
  <c r="FN18" i="1"/>
  <c r="BF18" i="1" s="1"/>
  <c r="BS18" i="1" s="1"/>
  <c r="FM18" i="1"/>
  <c r="BE18" i="1" s="1"/>
  <c r="BR18" i="1" s="1"/>
  <c r="FP18" i="1"/>
  <c r="BH18" i="1" s="1"/>
  <c r="BU18" i="1" s="1"/>
  <c r="FV18" i="1"/>
  <c r="BN18" i="1" s="1"/>
  <c r="CA18" i="1" s="1"/>
  <c r="BQ18" i="1" l="1"/>
  <c r="CJ18" i="1" s="1"/>
  <c r="DT18" i="1" s="1"/>
  <c r="CM18" i="1" l="1"/>
  <c r="DW18" i="1" s="1"/>
  <c r="CH18" i="1"/>
  <c r="DR18" i="1" s="1"/>
  <c r="CD18" i="1"/>
  <c r="DN18" i="1" s="1"/>
  <c r="CF18" i="1"/>
  <c r="DP18" i="1" s="1"/>
  <c r="CE18" i="1"/>
  <c r="DO18" i="1" s="1"/>
  <c r="CL18" i="1"/>
  <c r="DV18" i="1" s="1"/>
  <c r="CK18" i="1"/>
  <c r="DU18" i="1" s="1"/>
  <c r="CI18" i="1"/>
  <c r="DS18" i="1" s="1"/>
  <c r="CG18" i="1"/>
  <c r="DQ18" i="1" s="1"/>
  <c r="DY18" i="1" l="1"/>
  <c r="E18" i="1" s="1"/>
  <c r="AF18" i="1" s="1"/>
  <c r="AI18" i="1" l="1"/>
  <c r="AH18" i="1"/>
  <c r="M18" i="1"/>
  <c r="AG18" i="1"/>
  <c r="AL18" i="1"/>
  <c r="AM18" i="1"/>
  <c r="AJ18" i="1"/>
  <c r="AK18" i="1"/>
  <c r="AN18" i="1"/>
  <c r="AE18" i="1" l="1"/>
  <c r="G18" i="1" s="1"/>
  <c r="AO18" i="1"/>
  <c r="AP18" i="1" s="1"/>
  <c r="H18" i="1" s="1"/>
  <c r="K18" i="1" s="1"/>
  <c r="F18" i="1" l="1"/>
  <c r="O18" i="1" s="1"/>
  <c r="I19" i="1"/>
  <c r="B19" i="1"/>
  <c r="C19" i="1"/>
  <c r="D19" i="1"/>
  <c r="L18" i="1"/>
  <c r="P18" i="1" l="1"/>
  <c r="CW19" i="1"/>
  <c r="DI19" i="1" s="1"/>
  <c r="CT19" i="1"/>
  <c r="DF19" i="1" s="1"/>
  <c r="CU19" i="1"/>
  <c r="DG19" i="1" s="1"/>
  <c r="CQ19" i="1"/>
  <c r="DC19" i="1" s="1"/>
  <c r="CX19" i="1"/>
  <c r="DJ19" i="1" s="1"/>
  <c r="CS19" i="1"/>
  <c r="DE19" i="1" s="1"/>
  <c r="CR19" i="1"/>
  <c r="DD19" i="1" s="1"/>
  <c r="CY19" i="1"/>
  <c r="DK19" i="1" s="1"/>
  <c r="CP19" i="1"/>
  <c r="CV19" i="1"/>
  <c r="DH19" i="1" s="1"/>
  <c r="T19" i="1"/>
  <c r="V19" i="1"/>
  <c r="S19" i="1"/>
  <c r="Z19" i="1"/>
  <c r="AA19" i="1"/>
  <c r="J19" i="1"/>
  <c r="X19" i="1"/>
  <c r="U19" i="1"/>
  <c r="W19" i="1"/>
  <c r="EH19" i="1" s="1"/>
  <c r="Y19" i="1"/>
  <c r="EG19" i="1" l="1"/>
  <c r="EK19" i="1"/>
  <c r="EJ19" i="1"/>
  <c r="EL19" i="1"/>
  <c r="EE19" i="1"/>
  <c r="EF19" i="1"/>
  <c r="EI19" i="1"/>
  <c r="ED19" i="1"/>
  <c r="R19" i="1"/>
  <c r="AB19" i="1"/>
  <c r="AC19" i="1" s="1"/>
  <c r="AW19" i="1" s="1"/>
  <c r="DB19" i="1"/>
  <c r="CO19" i="1"/>
  <c r="AU19" i="1" l="1"/>
  <c r="BA19" i="1"/>
  <c r="AZ19" i="1"/>
  <c r="EQ19" i="1"/>
  <c r="EO19" i="1"/>
  <c r="ER19" i="1"/>
  <c r="EP19" i="1"/>
  <c r="EN19" i="1"/>
  <c r="AS19" i="1"/>
  <c r="AX19" i="1"/>
  <c r="AT19" i="1"/>
  <c r="AY19" i="1"/>
  <c r="AV19" i="1"/>
  <c r="EW19" i="1" l="1"/>
  <c r="EU19" i="1"/>
  <c r="EV19" i="1"/>
  <c r="ET19" i="1"/>
  <c r="EX19" i="1"/>
  <c r="BB19" i="1"/>
  <c r="FF19" i="1" l="1"/>
  <c r="FA19" i="1"/>
  <c r="FJ19" i="1"/>
  <c r="FW19" i="1" s="1"/>
  <c r="BO19" i="1" s="1"/>
  <c r="N19" i="1" s="1"/>
  <c r="EZ19" i="1"/>
  <c r="FI19" i="1"/>
  <c r="FD19" i="1"/>
  <c r="FG19" i="1"/>
  <c r="FE19" i="1"/>
  <c r="FH19" i="1"/>
  <c r="FB19" i="1"/>
  <c r="FC19" i="1"/>
  <c r="FL19" i="1" l="1"/>
  <c r="FT19" i="1" s="1"/>
  <c r="BL19" i="1" s="1"/>
  <c r="BY19" i="1" s="1"/>
  <c r="FU19" i="1" l="1"/>
  <c r="BM19" i="1" s="1"/>
  <c r="BZ19" i="1" s="1"/>
  <c r="FO19" i="1"/>
  <c r="BG19" i="1" s="1"/>
  <c r="BT19" i="1" s="1"/>
  <c r="FP19" i="1"/>
  <c r="BH19" i="1" s="1"/>
  <c r="BU19" i="1" s="1"/>
  <c r="FM19" i="1"/>
  <c r="BE19" i="1" s="1"/>
  <c r="BR19" i="1" s="1"/>
  <c r="FS19" i="1"/>
  <c r="BK19" i="1" s="1"/>
  <c r="BX19" i="1" s="1"/>
  <c r="FN19" i="1"/>
  <c r="BF19" i="1" s="1"/>
  <c r="BS19" i="1" s="1"/>
  <c r="FV19" i="1"/>
  <c r="BN19" i="1" s="1"/>
  <c r="CA19" i="1" s="1"/>
  <c r="FQ19" i="1"/>
  <c r="BI19" i="1" s="1"/>
  <c r="BV19" i="1" s="1"/>
  <c r="FR19" i="1"/>
  <c r="BJ19" i="1" s="1"/>
  <c r="BW19" i="1" s="1"/>
  <c r="BQ19" i="1" l="1"/>
  <c r="CD19" i="1" s="1"/>
  <c r="DN19" i="1" s="1"/>
  <c r="CJ19" i="1" l="1"/>
  <c r="DT19" i="1" s="1"/>
  <c r="CE19" i="1"/>
  <c r="DO19" i="1" s="1"/>
  <c r="CH19" i="1"/>
  <c r="DR19" i="1" s="1"/>
  <c r="CG19" i="1"/>
  <c r="DQ19" i="1" s="1"/>
  <c r="CL19" i="1"/>
  <c r="DV19" i="1" s="1"/>
  <c r="CF19" i="1"/>
  <c r="DP19" i="1" s="1"/>
  <c r="CK19" i="1"/>
  <c r="DU19" i="1" s="1"/>
  <c r="CI19" i="1"/>
  <c r="DS19" i="1" s="1"/>
  <c r="CM19" i="1"/>
  <c r="DW19" i="1" s="1"/>
  <c r="DY19" i="1" l="1"/>
  <c r="E19" i="1" s="1"/>
  <c r="AN19" i="1" s="1"/>
  <c r="AJ19" i="1" l="1"/>
  <c r="AI19" i="1"/>
  <c r="AG19" i="1"/>
  <c r="AK19" i="1"/>
  <c r="M19" i="1"/>
  <c r="AF19" i="1"/>
  <c r="AL19" i="1"/>
  <c r="AH19" i="1"/>
  <c r="AM19" i="1"/>
  <c r="AE19" i="1" l="1"/>
  <c r="G19" i="1" s="1"/>
  <c r="AO19" i="1"/>
  <c r="F19" i="1" s="1"/>
  <c r="AP19" i="1" l="1"/>
  <c r="H19" i="1" s="1"/>
  <c r="K19" i="1" s="1"/>
  <c r="D20" i="1" s="1"/>
  <c r="C20" i="1" l="1"/>
  <c r="CX20" i="1" s="1"/>
  <c r="DJ20" i="1" s="1"/>
  <c r="I20" i="1"/>
  <c r="O19" i="1"/>
  <c r="B20" i="1"/>
  <c r="CP20" i="1"/>
  <c r="S20" i="1"/>
  <c r="T20" i="1"/>
  <c r="V20" i="1"/>
  <c r="Z20" i="1"/>
  <c r="U20" i="1"/>
  <c r="EF20" i="1" s="1"/>
  <c r="J20" i="1"/>
  <c r="W20" i="1"/>
  <c r="X20" i="1"/>
  <c r="AA20" i="1"/>
  <c r="Y20" i="1"/>
  <c r="CU20" i="1" l="1"/>
  <c r="DG20" i="1" s="1"/>
  <c r="CS20" i="1"/>
  <c r="DE20" i="1" s="1"/>
  <c r="CR20" i="1"/>
  <c r="DD20" i="1" s="1"/>
  <c r="CW20" i="1"/>
  <c r="DI20" i="1" s="1"/>
  <c r="CQ20" i="1"/>
  <c r="DC20" i="1" s="1"/>
  <c r="CY20" i="1"/>
  <c r="CV20" i="1"/>
  <c r="DH20" i="1" s="1"/>
  <c r="CT20" i="1"/>
  <c r="EI20" i="1"/>
  <c r="EK20" i="1"/>
  <c r="EH20" i="1"/>
  <c r="EG20" i="1"/>
  <c r="EJ20" i="1"/>
  <c r="EE20" i="1"/>
  <c r="EL20" i="1"/>
  <c r="AB20" i="1"/>
  <c r="AC20" i="1" s="1"/>
  <c r="AU20" i="1" s="1"/>
  <c r="R20" i="1"/>
  <c r="ED20" i="1"/>
  <c r="DB20" i="1"/>
  <c r="CO20" i="1" l="1"/>
  <c r="AT20" i="1"/>
  <c r="AZ20" i="1"/>
  <c r="BA20" i="1"/>
  <c r="AW20" i="1"/>
  <c r="AX20" i="1"/>
  <c r="AV20" i="1"/>
  <c r="AS20" i="1"/>
  <c r="AY20" i="1"/>
  <c r="EO20" i="1"/>
  <c r="EQ20" i="1"/>
  <c r="EN20" i="1"/>
  <c r="ER20" i="1"/>
  <c r="EP20" i="1"/>
  <c r="EW20" i="1" l="1"/>
  <c r="ET20" i="1"/>
  <c r="EV20" i="1"/>
  <c r="EU20" i="1"/>
  <c r="EX20" i="1"/>
  <c r="BB20" i="1"/>
  <c r="FJ20" i="1" l="1"/>
  <c r="FW20" i="1" s="1"/>
  <c r="BO20" i="1" s="1"/>
  <c r="N20" i="1" s="1"/>
  <c r="FA20" i="1"/>
  <c r="FE20" i="1"/>
  <c r="FI20" i="1"/>
  <c r="FD20" i="1"/>
  <c r="FC20" i="1"/>
  <c r="FH20" i="1"/>
  <c r="FG20" i="1"/>
  <c r="FB20" i="1"/>
  <c r="FF20" i="1"/>
  <c r="EZ20" i="1"/>
  <c r="FL20" i="1" l="1"/>
  <c r="FU20" i="1" s="1"/>
  <c r="BM20" i="1" s="1"/>
  <c r="BZ20" i="1" s="1"/>
  <c r="FN20" i="1" l="1"/>
  <c r="BF20" i="1" s="1"/>
  <c r="BS20" i="1" s="1"/>
  <c r="FM20" i="1"/>
  <c r="BE20" i="1" s="1"/>
  <c r="BR20" i="1" s="1"/>
  <c r="FP20" i="1"/>
  <c r="BH20" i="1" s="1"/>
  <c r="BU20" i="1" s="1"/>
  <c r="FS20" i="1"/>
  <c r="BK20" i="1" s="1"/>
  <c r="BX20" i="1" s="1"/>
  <c r="FQ20" i="1"/>
  <c r="BI20" i="1" s="1"/>
  <c r="BV20" i="1" s="1"/>
  <c r="FV20" i="1"/>
  <c r="BN20" i="1" s="1"/>
  <c r="CA20" i="1" s="1"/>
  <c r="FO20" i="1"/>
  <c r="BG20" i="1" s="1"/>
  <c r="BT20" i="1" s="1"/>
  <c r="FR20" i="1"/>
  <c r="BJ20" i="1" s="1"/>
  <c r="BW20" i="1" s="1"/>
  <c r="FT20" i="1"/>
  <c r="BL20" i="1" s="1"/>
  <c r="BY20" i="1" s="1"/>
  <c r="L19" i="1"/>
  <c r="BQ20" i="1" l="1"/>
  <c r="CL20" i="1" s="1"/>
  <c r="DV20" i="1" s="1"/>
  <c r="CD20" i="1" l="1"/>
  <c r="DN20" i="1" s="1"/>
  <c r="CG20" i="1"/>
  <c r="DQ20" i="1" s="1"/>
  <c r="CK20" i="1"/>
  <c r="DU20" i="1" s="1"/>
  <c r="CF20" i="1"/>
  <c r="DP20" i="1" s="1"/>
  <c r="CJ20" i="1"/>
  <c r="DT20" i="1" s="1"/>
  <c r="CE20" i="1"/>
  <c r="DO20" i="1" s="1"/>
  <c r="CH20" i="1"/>
  <c r="CM20" i="1"/>
  <c r="CI20" i="1"/>
  <c r="DS20" i="1" s="1"/>
  <c r="P19" i="1"/>
  <c r="DK20" i="1" s="1"/>
  <c r="DF20" i="1"/>
  <c r="DR20" i="1" s="1"/>
  <c r="DW20" i="1" l="1"/>
  <c r="DY20" i="1" s="1"/>
  <c r="E20" i="1" s="1"/>
  <c r="AH20" i="1" s="1"/>
  <c r="AG20" i="1" l="1"/>
  <c r="AN20" i="1"/>
  <c r="AM20" i="1"/>
  <c r="AJ20" i="1"/>
  <c r="AI20" i="1"/>
  <c r="AK20" i="1"/>
  <c r="AF20" i="1"/>
  <c r="AL20" i="1"/>
  <c r="M20" i="1"/>
  <c r="AE20" i="1" l="1"/>
  <c r="G20" i="1" s="1"/>
  <c r="AO20" i="1"/>
  <c r="AP20" i="1" s="1"/>
  <c r="H20" i="1" s="1"/>
  <c r="K20" i="1" s="1"/>
  <c r="F20" i="1" l="1"/>
  <c r="O20" i="1" s="1"/>
  <c r="C21" i="1"/>
  <c r="I21" i="1"/>
  <c r="B21" i="1"/>
  <c r="D21" i="1"/>
  <c r="S21" i="1" l="1"/>
  <c r="W21" i="1"/>
  <c r="AA21" i="1"/>
  <c r="T21" i="1"/>
  <c r="X21" i="1"/>
  <c r="U21" i="1"/>
  <c r="Y21" i="1"/>
  <c r="V21" i="1"/>
  <c r="Z21" i="1"/>
  <c r="J21" i="1"/>
  <c r="CP21" i="1"/>
  <c r="CU21" i="1"/>
  <c r="DG21" i="1" s="1"/>
  <c r="CQ21" i="1"/>
  <c r="DC21" i="1" s="1"/>
  <c r="CX21" i="1"/>
  <c r="DJ21" i="1" s="1"/>
  <c r="CV21" i="1"/>
  <c r="DH21" i="1" s="1"/>
  <c r="CS21" i="1"/>
  <c r="DE21" i="1" s="1"/>
  <c r="CW21" i="1"/>
  <c r="DI21" i="1" s="1"/>
  <c r="CT21" i="1"/>
  <c r="DF21" i="1" s="1"/>
  <c r="CR21" i="1"/>
  <c r="DD21" i="1" s="1"/>
  <c r="CY21" i="1"/>
  <c r="DB21" i="1" l="1"/>
  <c r="CO21" i="1"/>
  <c r="EJ21" i="1"/>
  <c r="EE21" i="1"/>
  <c r="EF21" i="1"/>
  <c r="EL21" i="1"/>
  <c r="EK21" i="1"/>
  <c r="EH21" i="1"/>
  <c r="EG21" i="1"/>
  <c r="EI21" i="1"/>
  <c r="AB21" i="1"/>
  <c r="AC21" i="1" s="1"/>
  <c r="AT21" i="1" s="1"/>
  <c r="DO21" i="1" s="1"/>
  <c r="R21" i="1"/>
  <c r="ED21" i="1"/>
  <c r="AS21" i="1" l="1"/>
  <c r="AZ21" i="1"/>
  <c r="AU21" i="1"/>
  <c r="DP21" i="1" s="1"/>
  <c r="AY21" i="1"/>
  <c r="AV21" i="1"/>
  <c r="DQ21" i="1" s="1"/>
  <c r="EN21" i="1"/>
  <c r="EQ21" i="1"/>
  <c r="EO21" i="1"/>
  <c r="ER21" i="1"/>
  <c r="EP21" i="1"/>
  <c r="AW21" i="1"/>
  <c r="AX21" i="1"/>
  <c r="DS21" i="1" s="1"/>
  <c r="BA21" i="1"/>
  <c r="DV21" i="1" s="1"/>
  <c r="EX21" i="1" l="1"/>
  <c r="EW21" i="1"/>
  <c r="EU21" i="1"/>
  <c r="ET21" i="1"/>
  <c r="EV21" i="1"/>
  <c r="DN21" i="1"/>
  <c r="BB21" i="1"/>
  <c r="FJ21" i="1" l="1"/>
  <c r="FW21" i="1" s="1"/>
  <c r="BO21" i="1" s="1"/>
  <c r="N21" i="1" s="1"/>
  <c r="EZ21" i="1"/>
  <c r="FE21" i="1"/>
  <c r="FI21" i="1"/>
  <c r="FA21" i="1"/>
  <c r="FF21" i="1"/>
  <c r="FD21" i="1"/>
  <c r="FC21" i="1"/>
  <c r="FH21" i="1"/>
  <c r="FB21" i="1"/>
  <c r="FG21" i="1"/>
  <c r="FL21" i="1" l="1"/>
  <c r="FU21" i="1" s="1"/>
  <c r="BM21" i="1" s="1"/>
  <c r="BZ21" i="1" s="1"/>
  <c r="FS21" i="1" l="1"/>
  <c r="BK21" i="1" s="1"/>
  <c r="BX21" i="1" s="1"/>
  <c r="FP21" i="1"/>
  <c r="BH21" i="1" s="1"/>
  <c r="BU21" i="1" s="1"/>
  <c r="FT21" i="1"/>
  <c r="BL21" i="1" s="1"/>
  <c r="BY21" i="1" s="1"/>
  <c r="FN21" i="1"/>
  <c r="BF21" i="1" s="1"/>
  <c r="BS21" i="1" s="1"/>
  <c r="FO21" i="1"/>
  <c r="BG21" i="1" s="1"/>
  <c r="BT21" i="1" s="1"/>
  <c r="FV21" i="1"/>
  <c r="BN21" i="1" s="1"/>
  <c r="CA21" i="1" s="1"/>
  <c r="FR21" i="1"/>
  <c r="BJ21" i="1" s="1"/>
  <c r="BW21" i="1" s="1"/>
  <c r="FM21" i="1"/>
  <c r="BE21" i="1" s="1"/>
  <c r="BR21" i="1" s="1"/>
  <c r="FQ21" i="1"/>
  <c r="BI21" i="1" s="1"/>
  <c r="BV21" i="1" s="1"/>
  <c r="BQ21" i="1" l="1"/>
  <c r="CL21" i="1" s="1"/>
  <c r="CH21" i="1" l="1"/>
  <c r="DR21" i="1" s="1"/>
  <c r="CF21" i="1"/>
  <c r="CI21" i="1"/>
  <c r="CE21" i="1"/>
  <c r="CM21" i="1"/>
  <c r="CG21" i="1"/>
  <c r="CD21" i="1"/>
  <c r="CJ21" i="1"/>
  <c r="DT21" i="1" s="1"/>
  <c r="CK21" i="1"/>
  <c r="DU21" i="1" s="1"/>
  <c r="L20" i="1" l="1"/>
  <c r="P20" i="1" s="1"/>
  <c r="DK21" i="1" s="1"/>
  <c r="DW21" i="1" s="1"/>
  <c r="DY21" i="1" s="1"/>
  <c r="E21" i="1" s="1"/>
  <c r="AH21" i="1" l="1"/>
  <c r="M21" i="1"/>
  <c r="AM21" i="1"/>
  <c r="AK21" i="1"/>
  <c r="AF21" i="1"/>
  <c r="AL21" i="1"/>
  <c r="AJ21" i="1"/>
  <c r="AN21" i="1"/>
  <c r="AI21" i="1"/>
  <c r="AG21" i="1"/>
  <c r="AO21" i="1" l="1"/>
  <c r="AP21" i="1" s="1"/>
  <c r="H21" i="1" s="1"/>
  <c r="K21" i="1" s="1"/>
  <c r="AE21" i="1"/>
  <c r="G21" i="1" s="1"/>
  <c r="F21" i="1" l="1"/>
  <c r="O21" i="1" s="1"/>
  <c r="C22" i="1"/>
  <c r="L21" i="1"/>
  <c r="I22" i="1"/>
  <c r="B22" i="1"/>
  <c r="D22" i="1"/>
  <c r="P21" i="1" l="1"/>
  <c r="V22" i="1"/>
  <c r="S22" i="1"/>
  <c r="T22" i="1"/>
  <c r="U22" i="1"/>
  <c r="J22" i="1"/>
  <c r="W22" i="1"/>
  <c r="X22" i="1"/>
  <c r="Y22" i="1"/>
  <c r="EJ22" i="1" s="1"/>
  <c r="AA22" i="1"/>
  <c r="Z22" i="1"/>
  <c r="CT22" i="1"/>
  <c r="DF22" i="1" s="1"/>
  <c r="CQ22" i="1"/>
  <c r="DC22" i="1" s="1"/>
  <c r="CX22" i="1"/>
  <c r="DJ22" i="1" s="1"/>
  <c r="CW22" i="1"/>
  <c r="DI22" i="1" s="1"/>
  <c r="CU22" i="1"/>
  <c r="DG22" i="1" s="1"/>
  <c r="CS22" i="1"/>
  <c r="DE22" i="1" s="1"/>
  <c r="CV22" i="1"/>
  <c r="DH22" i="1" s="1"/>
  <c r="CR22" i="1"/>
  <c r="DD22" i="1" s="1"/>
  <c r="CP22" i="1"/>
  <c r="CY22" i="1"/>
  <c r="DK22" i="1" s="1"/>
  <c r="EF22" i="1" l="1"/>
  <c r="DB22" i="1"/>
  <c r="CO22" i="1"/>
  <c r="EI22" i="1"/>
  <c r="EE22" i="1"/>
  <c r="EK22" i="1"/>
  <c r="EH22" i="1"/>
  <c r="ED22" i="1"/>
  <c r="AB22" i="1"/>
  <c r="AC22" i="1" s="1"/>
  <c r="AY22" i="1" s="1"/>
  <c r="R22" i="1"/>
  <c r="EL22" i="1"/>
  <c r="EG22" i="1"/>
  <c r="AV22" i="1" l="1"/>
  <c r="DQ22" i="1" s="1"/>
  <c r="AS22" i="1"/>
  <c r="AW22" i="1"/>
  <c r="AT22" i="1"/>
  <c r="DO22" i="1" s="1"/>
  <c r="AZ22" i="1"/>
  <c r="AX22" i="1"/>
  <c r="DS22" i="1" s="1"/>
  <c r="AU22" i="1"/>
  <c r="DP22" i="1" s="1"/>
  <c r="BA22" i="1"/>
  <c r="DV22" i="1" s="1"/>
  <c r="EQ22" i="1"/>
  <c r="EP22" i="1"/>
  <c r="EO22" i="1"/>
  <c r="EN22" i="1"/>
  <c r="ER22" i="1"/>
  <c r="ET22" i="1" l="1"/>
  <c r="EV22" i="1"/>
  <c r="EX22" i="1"/>
  <c r="EW22" i="1"/>
  <c r="EU22" i="1"/>
  <c r="DN22" i="1"/>
  <c r="BB22" i="1"/>
  <c r="FA22" i="1" l="1"/>
  <c r="FG22" i="1"/>
  <c r="FI22" i="1"/>
  <c r="FF22" i="1"/>
  <c r="FJ22" i="1"/>
  <c r="FW22" i="1" s="1"/>
  <c r="BO22" i="1" s="1"/>
  <c r="N22" i="1" s="1"/>
  <c r="FC22" i="1"/>
  <c r="FD22" i="1"/>
  <c r="EZ22" i="1"/>
  <c r="FH22" i="1"/>
  <c r="FE22" i="1"/>
  <c r="FB22" i="1"/>
  <c r="FL22" i="1" l="1"/>
  <c r="FR22" i="1" s="1"/>
  <c r="BJ22" i="1" s="1"/>
  <c r="BW22" i="1" s="1"/>
  <c r="FP22" i="1" l="1"/>
  <c r="BH22" i="1" s="1"/>
  <c r="BU22" i="1" s="1"/>
  <c r="FU22" i="1"/>
  <c r="BM22" i="1" s="1"/>
  <c r="BZ22" i="1" s="1"/>
  <c r="FN22" i="1"/>
  <c r="BF22" i="1" s="1"/>
  <c r="BS22" i="1" s="1"/>
  <c r="FQ22" i="1"/>
  <c r="BI22" i="1" s="1"/>
  <c r="BV22" i="1" s="1"/>
  <c r="FV22" i="1"/>
  <c r="BN22" i="1" s="1"/>
  <c r="CA22" i="1" s="1"/>
  <c r="FS22" i="1"/>
  <c r="BK22" i="1" s="1"/>
  <c r="BX22" i="1" s="1"/>
  <c r="FM22" i="1"/>
  <c r="BE22" i="1" s="1"/>
  <c r="BR22" i="1" s="1"/>
  <c r="FT22" i="1"/>
  <c r="BL22" i="1" s="1"/>
  <c r="BY22" i="1" s="1"/>
  <c r="FO22" i="1"/>
  <c r="BG22" i="1" s="1"/>
  <c r="BT22" i="1" s="1"/>
  <c r="BQ22" i="1" l="1"/>
  <c r="CI22" i="1" s="1"/>
  <c r="CL22" i="1" l="1"/>
  <c r="CJ22" i="1"/>
  <c r="DT22" i="1" s="1"/>
  <c r="CH22" i="1"/>
  <c r="DR22" i="1" s="1"/>
  <c r="CG22" i="1"/>
  <c r="CE22" i="1"/>
  <c r="CK22" i="1"/>
  <c r="DU22" i="1" s="1"/>
  <c r="CM22" i="1"/>
  <c r="DW22" i="1" s="1"/>
  <c r="CD22" i="1"/>
  <c r="CF22" i="1"/>
  <c r="DY22" i="1" l="1"/>
  <c r="E22" i="1" s="1"/>
  <c r="AJ22" i="1" l="1"/>
  <c r="AI22" i="1"/>
  <c r="AN22" i="1"/>
  <c r="AL22" i="1"/>
  <c r="AM22" i="1"/>
  <c r="AH22" i="1"/>
  <c r="M22" i="1"/>
  <c r="AK22" i="1"/>
  <c r="AF22" i="1"/>
  <c r="AG22" i="1"/>
  <c r="AE22" i="1" l="1"/>
  <c r="G22" i="1" s="1"/>
  <c r="AO22" i="1"/>
  <c r="F22" i="1" l="1"/>
  <c r="AP22" i="1"/>
  <c r="H22" i="1" s="1"/>
  <c r="K22" i="1" s="1"/>
  <c r="D23" i="1" l="1"/>
  <c r="B23" i="1"/>
  <c r="I23" i="1"/>
  <c r="C23" i="1"/>
  <c r="O22" i="1"/>
  <c r="CS23" i="1" l="1"/>
  <c r="DE23" i="1" s="1"/>
  <c r="CX23" i="1"/>
  <c r="DJ23" i="1" s="1"/>
  <c r="CV23" i="1"/>
  <c r="DH23" i="1" s="1"/>
  <c r="CP23" i="1"/>
  <c r="CQ23" i="1"/>
  <c r="DC23" i="1" s="1"/>
  <c r="CY23" i="1"/>
  <c r="CU23" i="1"/>
  <c r="DG23" i="1" s="1"/>
  <c r="CW23" i="1"/>
  <c r="DI23" i="1" s="1"/>
  <c r="CR23" i="1"/>
  <c r="DD23" i="1" s="1"/>
  <c r="CT23" i="1"/>
  <c r="DF23" i="1" s="1"/>
  <c r="V23" i="1"/>
  <c r="AA23" i="1"/>
  <c r="Y23" i="1"/>
  <c r="EJ23" i="1" s="1"/>
  <c r="S23" i="1"/>
  <c r="Z23" i="1"/>
  <c r="U23" i="1"/>
  <c r="T23" i="1"/>
  <c r="J23" i="1"/>
  <c r="W23" i="1"/>
  <c r="X23" i="1"/>
  <c r="EE23" i="1" l="1"/>
  <c r="EI23" i="1"/>
  <c r="EF23" i="1"/>
  <c r="EL23" i="1"/>
  <c r="CO23" i="1"/>
  <c r="DB23" i="1"/>
  <c r="AB23" i="1"/>
  <c r="AC23" i="1" s="1"/>
  <c r="AY23" i="1" s="1"/>
  <c r="R23" i="1"/>
  <c r="ED23" i="1"/>
  <c r="EH23" i="1"/>
  <c r="EK23" i="1"/>
  <c r="EG23" i="1"/>
  <c r="BA23" i="1" l="1"/>
  <c r="DV23" i="1" s="1"/>
  <c r="AX23" i="1"/>
  <c r="DS23" i="1" s="1"/>
  <c r="AV23" i="1"/>
  <c r="DQ23" i="1" s="1"/>
  <c r="AW23" i="1"/>
  <c r="AZ23" i="1"/>
  <c r="AS23" i="1"/>
  <c r="AU23" i="1"/>
  <c r="DP23" i="1" s="1"/>
  <c r="AT23" i="1"/>
  <c r="DO23" i="1" s="1"/>
  <c r="EN23" i="1"/>
  <c r="ER23" i="1"/>
  <c r="EP23" i="1"/>
  <c r="EO23" i="1"/>
  <c r="EQ23" i="1"/>
  <c r="DN23" i="1" l="1"/>
  <c r="BB23" i="1"/>
  <c r="EU23" i="1"/>
  <c r="EX23" i="1"/>
  <c r="ET23" i="1"/>
  <c r="EW23" i="1"/>
  <c r="EV23" i="1"/>
  <c r="FI23" i="1" l="1"/>
  <c r="FG23" i="1"/>
  <c r="FH23" i="1"/>
  <c r="FE23" i="1"/>
  <c r="FC23" i="1"/>
  <c r="FD23" i="1"/>
  <c r="FB23" i="1"/>
  <c r="FJ23" i="1"/>
  <c r="FW23" i="1" s="1"/>
  <c r="BO23" i="1" s="1"/>
  <c r="N23" i="1" s="1"/>
  <c r="FA23" i="1"/>
  <c r="FF23" i="1"/>
  <c r="EZ23" i="1"/>
  <c r="FL23" i="1" l="1"/>
  <c r="FU23" i="1" s="1"/>
  <c r="BM23" i="1" s="1"/>
  <c r="BZ23" i="1" s="1"/>
  <c r="FQ23" i="1" l="1"/>
  <c r="BI23" i="1" s="1"/>
  <c r="BV23" i="1" s="1"/>
  <c r="FP23" i="1"/>
  <c r="BH23" i="1" s="1"/>
  <c r="BU23" i="1" s="1"/>
  <c r="FT23" i="1"/>
  <c r="BL23" i="1" s="1"/>
  <c r="BY23" i="1" s="1"/>
  <c r="FR23" i="1"/>
  <c r="BJ23" i="1" s="1"/>
  <c r="BW23" i="1" s="1"/>
  <c r="FV23" i="1"/>
  <c r="BN23" i="1" s="1"/>
  <c r="CA23" i="1" s="1"/>
  <c r="FS23" i="1"/>
  <c r="BK23" i="1" s="1"/>
  <c r="BX23" i="1" s="1"/>
  <c r="FN23" i="1"/>
  <c r="BF23" i="1" s="1"/>
  <c r="BS23" i="1" s="1"/>
  <c r="FO23" i="1"/>
  <c r="BG23" i="1" s="1"/>
  <c r="BT23" i="1" s="1"/>
  <c r="FM23" i="1"/>
  <c r="BE23" i="1" s="1"/>
  <c r="BR23" i="1" s="1"/>
  <c r="BQ23" i="1" l="1"/>
  <c r="CL23" i="1" l="1"/>
  <c r="CG23" i="1"/>
  <c r="CI23" i="1"/>
  <c r="CH23" i="1"/>
  <c r="DR23" i="1" s="1"/>
  <c r="CJ23" i="1"/>
  <c r="DT23" i="1" s="1"/>
  <c r="CK23" i="1"/>
  <c r="DU23" i="1" s="1"/>
  <c r="CE23" i="1"/>
  <c r="CF23" i="1"/>
  <c r="CM23" i="1"/>
  <c r="CD23" i="1"/>
  <c r="L22" i="1"/>
  <c r="P22" i="1" s="1"/>
  <c r="DK23" i="1" s="1"/>
  <c r="DW23" i="1" s="1"/>
  <c r="DY23" i="1" l="1"/>
  <c r="E23" i="1" s="1"/>
  <c r="AF23" i="1" s="1"/>
  <c r="M23" i="1" l="1"/>
  <c r="AH23" i="1"/>
  <c r="AM23" i="1"/>
  <c r="AG23" i="1"/>
  <c r="AL23" i="1"/>
  <c r="AN23" i="1"/>
  <c r="AJ23" i="1"/>
  <c r="AI23" i="1"/>
  <c r="AK23" i="1"/>
  <c r="AO23" i="1" l="1"/>
  <c r="F23" i="1" s="1"/>
  <c r="AE23" i="1"/>
  <c r="G23" i="1" s="1"/>
  <c r="AP23" i="1" l="1"/>
  <c r="H23" i="1" s="1"/>
  <c r="K23" i="1" s="1"/>
  <c r="C24" i="1" s="1"/>
  <c r="L23" i="1" l="1"/>
  <c r="D24" i="1"/>
  <c r="U24" i="1" s="1"/>
  <c r="O23" i="1"/>
  <c r="B24" i="1"/>
  <c r="I24" i="1"/>
  <c r="CW24" i="1" l="1"/>
  <c r="DI24" i="1" s="1"/>
  <c r="CS24" i="1"/>
  <c r="DE24" i="1" s="1"/>
  <c r="CX24" i="1"/>
  <c r="DJ24" i="1" s="1"/>
  <c r="S24" i="1"/>
  <c r="ED24" i="1" s="1"/>
  <c r="CT24" i="1"/>
  <c r="DF24" i="1" s="1"/>
  <c r="X24" i="1"/>
  <c r="EI24" i="1" s="1"/>
  <c r="T24" i="1"/>
  <c r="EE24" i="1" s="1"/>
  <c r="W24" i="1"/>
  <c r="EH24" i="1" s="1"/>
  <c r="CU24" i="1"/>
  <c r="DG24" i="1" s="1"/>
  <c r="CP24" i="1"/>
  <c r="DB24" i="1" s="1"/>
  <c r="CV24" i="1"/>
  <c r="DH24" i="1" s="1"/>
  <c r="J24" i="1"/>
  <c r="Z24" i="1"/>
  <c r="EK24" i="1" s="1"/>
  <c r="CQ24" i="1"/>
  <c r="DC24" i="1" s="1"/>
  <c r="CY24" i="1"/>
  <c r="CR24" i="1"/>
  <c r="DD24" i="1" s="1"/>
  <c r="AA24" i="1"/>
  <c r="EL24" i="1" s="1"/>
  <c r="P23" i="1"/>
  <c r="V24" i="1"/>
  <c r="EG24" i="1" s="1"/>
  <c r="Y24" i="1"/>
  <c r="EJ24" i="1" s="1"/>
  <c r="EF24" i="1"/>
  <c r="DK24" i="1" l="1"/>
  <c r="CO24" i="1"/>
  <c r="R24" i="1"/>
  <c r="AB24" i="1"/>
  <c r="AC24" i="1" s="1"/>
  <c r="AX24" i="1" s="1"/>
  <c r="DS24" i="1" s="1"/>
  <c r="EP24" i="1"/>
  <c r="EQ24" i="1"/>
  <c r="ER24" i="1"/>
  <c r="EO24" i="1"/>
  <c r="EN24" i="1"/>
  <c r="AW24" i="1" l="1"/>
  <c r="DR24" i="1" s="1"/>
  <c r="AS24" i="1"/>
  <c r="AU24" i="1"/>
  <c r="DP24" i="1" s="1"/>
  <c r="AV24" i="1"/>
  <c r="DQ24" i="1" s="1"/>
  <c r="BA24" i="1"/>
  <c r="DV24" i="1" s="1"/>
  <c r="AY24" i="1"/>
  <c r="DT24" i="1" s="1"/>
  <c r="AZ24" i="1"/>
  <c r="DU24" i="1" s="1"/>
  <c r="AT24" i="1"/>
  <c r="DO24" i="1" s="1"/>
  <c r="EV24" i="1"/>
  <c r="EX24" i="1"/>
  <c r="EU24" i="1"/>
  <c r="EW24" i="1"/>
  <c r="ET24" i="1"/>
  <c r="DN24" i="1"/>
  <c r="BB24" i="1" l="1"/>
  <c r="FA24" i="1"/>
  <c r="FE24" i="1"/>
  <c r="FI24" i="1"/>
  <c r="FB24" i="1"/>
  <c r="FF24" i="1"/>
  <c r="FC24" i="1"/>
  <c r="FG24" i="1"/>
  <c r="FH24" i="1"/>
  <c r="FJ24" i="1"/>
  <c r="FW24" i="1" s="1"/>
  <c r="BO24" i="1" s="1"/>
  <c r="N24" i="1" s="1"/>
  <c r="FD24" i="1"/>
  <c r="EZ24" i="1"/>
  <c r="FL24" i="1" l="1"/>
  <c r="FQ24" i="1" s="1"/>
  <c r="BI24" i="1" s="1"/>
  <c r="BV24" i="1" s="1"/>
  <c r="FR24" i="1" l="1"/>
  <c r="BJ24" i="1" s="1"/>
  <c r="BW24" i="1" s="1"/>
  <c r="FP24" i="1"/>
  <c r="BH24" i="1" s="1"/>
  <c r="BU24" i="1" s="1"/>
  <c r="FS24" i="1"/>
  <c r="BK24" i="1" s="1"/>
  <c r="BX24" i="1" s="1"/>
  <c r="FV24" i="1"/>
  <c r="BN24" i="1" s="1"/>
  <c r="CA24" i="1" s="1"/>
  <c r="FO24" i="1"/>
  <c r="BG24" i="1" s="1"/>
  <c r="BT24" i="1" s="1"/>
  <c r="FT24" i="1"/>
  <c r="BL24" i="1" s="1"/>
  <c r="BY24" i="1" s="1"/>
  <c r="FU24" i="1"/>
  <c r="BM24" i="1" s="1"/>
  <c r="BZ24" i="1" s="1"/>
  <c r="FM24" i="1"/>
  <c r="BE24" i="1" s="1"/>
  <c r="BR24" i="1" s="1"/>
  <c r="FN24" i="1"/>
  <c r="BF24" i="1" s="1"/>
  <c r="BS24" i="1" s="1"/>
  <c r="BQ24" i="1" l="1"/>
  <c r="CH24" i="1" s="1"/>
  <c r="CG24" i="1" l="1"/>
  <c r="CI24" i="1"/>
  <c r="CJ24" i="1"/>
  <c r="CK24" i="1"/>
  <c r="CE24" i="1"/>
  <c r="CM24" i="1"/>
  <c r="DW24" i="1" s="1"/>
  <c r="DY24" i="1" s="1"/>
  <c r="E24" i="1" s="1"/>
  <c r="CD24" i="1"/>
  <c r="CF24" i="1"/>
  <c r="CL24" i="1"/>
  <c r="AI24" i="1" l="1"/>
  <c r="AM24" i="1"/>
  <c r="AF24" i="1"/>
  <c r="AJ24" i="1"/>
  <c r="AN24" i="1"/>
  <c r="AG24" i="1"/>
  <c r="AK24" i="1"/>
  <c r="AL24" i="1"/>
  <c r="AH24" i="1"/>
  <c r="M24" i="1"/>
  <c r="AE24" i="1" l="1"/>
  <c r="G24" i="1" s="1"/>
  <c r="AO24" i="1"/>
  <c r="F24" i="1" l="1"/>
  <c r="AP24" i="1"/>
  <c r="H24" i="1" s="1"/>
  <c r="K24" i="1" s="1"/>
  <c r="L24" i="1" l="1"/>
  <c r="B25" i="1"/>
  <c r="C25" i="1"/>
  <c r="I25" i="1"/>
  <c r="D25" i="1"/>
  <c r="O24" i="1"/>
  <c r="P24" i="1" l="1"/>
  <c r="T25" i="1"/>
  <c r="X25" i="1"/>
  <c r="U25" i="1"/>
  <c r="Y25" i="1"/>
  <c r="V25" i="1"/>
  <c r="Z25" i="1"/>
  <c r="J25" i="1"/>
  <c r="S25" i="1"/>
  <c r="AA25" i="1"/>
  <c r="W25" i="1"/>
  <c r="CS25" i="1"/>
  <c r="DE25" i="1" s="1"/>
  <c r="CW25" i="1"/>
  <c r="DI25" i="1" s="1"/>
  <c r="CP25" i="1"/>
  <c r="CT25" i="1"/>
  <c r="DF25" i="1" s="1"/>
  <c r="CX25" i="1"/>
  <c r="DJ25" i="1" s="1"/>
  <c r="CQ25" i="1"/>
  <c r="DC25" i="1" s="1"/>
  <c r="CU25" i="1"/>
  <c r="DG25" i="1" s="1"/>
  <c r="CY25" i="1"/>
  <c r="CR25" i="1"/>
  <c r="DD25" i="1" s="1"/>
  <c r="CV25" i="1"/>
  <c r="DH25" i="1" s="1"/>
  <c r="DK25" i="1" l="1"/>
  <c r="EJ25" i="1"/>
  <c r="EH25" i="1"/>
  <c r="EF25" i="1"/>
  <c r="CO25" i="1"/>
  <c r="DB25" i="1"/>
  <c r="EL25" i="1"/>
  <c r="EK25" i="1"/>
  <c r="EI25" i="1"/>
  <c r="AB25" i="1"/>
  <c r="AC25" i="1" s="1"/>
  <c r="BA25" i="1" s="1"/>
  <c r="DV25" i="1" s="1"/>
  <c r="R25" i="1"/>
  <c r="ED25" i="1"/>
  <c r="EG25" i="1"/>
  <c r="EE25" i="1"/>
  <c r="AW25" i="1" l="1"/>
  <c r="DR25" i="1" s="1"/>
  <c r="AY25" i="1"/>
  <c r="DT25" i="1" s="1"/>
  <c r="AV25" i="1"/>
  <c r="DQ25" i="1" s="1"/>
  <c r="AZ25" i="1"/>
  <c r="DU25" i="1" s="1"/>
  <c r="EO25" i="1"/>
  <c r="ER25" i="1"/>
  <c r="EP25" i="1"/>
  <c r="EN25" i="1"/>
  <c r="EQ25" i="1"/>
  <c r="AU25" i="1"/>
  <c r="DP25" i="1" s="1"/>
  <c r="AT25" i="1"/>
  <c r="DO25" i="1" s="1"/>
  <c r="AS25" i="1"/>
  <c r="AX25" i="1"/>
  <c r="DS25" i="1" s="1"/>
  <c r="BB25" i="1" l="1"/>
  <c r="DN25" i="1"/>
  <c r="EX25" i="1"/>
  <c r="EU25" i="1"/>
  <c r="ET25" i="1"/>
  <c r="EW25" i="1"/>
  <c r="EV25" i="1"/>
  <c r="FB25" i="1" l="1"/>
  <c r="FF25" i="1"/>
  <c r="FC25" i="1"/>
  <c r="FG25" i="1"/>
  <c r="FJ25" i="1"/>
  <c r="FW25" i="1" s="1"/>
  <c r="BO25" i="1" s="1"/>
  <c r="N25" i="1" s="1"/>
  <c r="EZ25" i="1"/>
  <c r="FD25" i="1"/>
  <c r="FH25" i="1"/>
  <c r="FA25" i="1"/>
  <c r="FI25" i="1"/>
  <c r="FE25" i="1"/>
  <c r="FL25" i="1" l="1"/>
  <c r="FQ25" i="1" s="1"/>
  <c r="BI25" i="1" s="1"/>
  <c r="BV25" i="1" s="1"/>
  <c r="FO25" i="1" l="1"/>
  <c r="BG25" i="1" s="1"/>
  <c r="BT25" i="1" s="1"/>
  <c r="FR25" i="1"/>
  <c r="BJ25" i="1" s="1"/>
  <c r="BW25" i="1" s="1"/>
  <c r="FT25" i="1"/>
  <c r="BL25" i="1" s="1"/>
  <c r="BY25" i="1" s="1"/>
  <c r="FV25" i="1"/>
  <c r="BN25" i="1" s="1"/>
  <c r="CA25" i="1" s="1"/>
  <c r="FU25" i="1"/>
  <c r="BM25" i="1" s="1"/>
  <c r="BZ25" i="1" s="1"/>
  <c r="FS25" i="1"/>
  <c r="BK25" i="1" s="1"/>
  <c r="BX25" i="1" s="1"/>
  <c r="FP25" i="1"/>
  <c r="BH25" i="1" s="1"/>
  <c r="BU25" i="1" s="1"/>
  <c r="FN25" i="1"/>
  <c r="BF25" i="1" s="1"/>
  <c r="BS25" i="1" s="1"/>
  <c r="FM25" i="1"/>
  <c r="BE25" i="1" s="1"/>
  <c r="BR25" i="1" s="1"/>
  <c r="BQ25" i="1" l="1"/>
  <c r="CH25" i="1" s="1"/>
  <c r="CK25" i="1" l="1"/>
  <c r="CI25" i="1"/>
  <c r="CL25" i="1"/>
  <c r="CD25" i="1"/>
  <c r="CM25" i="1"/>
  <c r="DW25" i="1" s="1"/>
  <c r="DY25" i="1" s="1"/>
  <c r="E25" i="1" s="1"/>
  <c r="CG25" i="1"/>
  <c r="CE25" i="1"/>
  <c r="CF25" i="1"/>
  <c r="CJ25" i="1"/>
  <c r="AF25" i="1" l="1"/>
  <c r="AG25" i="1"/>
  <c r="AK25" i="1"/>
  <c r="AH25" i="1"/>
  <c r="AL25" i="1"/>
  <c r="AN25" i="1"/>
  <c r="AI25" i="1"/>
  <c r="AM25" i="1"/>
  <c r="AJ25" i="1"/>
  <c r="M25" i="1"/>
  <c r="AO25" i="1" l="1"/>
  <c r="AE25" i="1"/>
  <c r="G25" i="1" s="1"/>
  <c r="AP25" i="1" l="1"/>
  <c r="H25" i="1" s="1"/>
  <c r="K25" i="1" s="1"/>
  <c r="F25" i="1"/>
  <c r="D26" i="1" l="1"/>
  <c r="O25" i="1"/>
  <c r="C26" i="1"/>
  <c r="I26" i="1"/>
  <c r="L25" i="1"/>
  <c r="B26" i="1"/>
  <c r="P25" i="1" l="1"/>
  <c r="CQ26" i="1"/>
  <c r="DC26" i="1" s="1"/>
  <c r="CU26" i="1"/>
  <c r="DG26" i="1" s="1"/>
  <c r="CY26" i="1"/>
  <c r="CR26" i="1"/>
  <c r="DD26" i="1" s="1"/>
  <c r="CV26" i="1"/>
  <c r="DH26" i="1" s="1"/>
  <c r="CP26" i="1"/>
  <c r="CT26" i="1"/>
  <c r="DF26" i="1" s="1"/>
  <c r="CX26" i="1"/>
  <c r="DJ26" i="1" s="1"/>
  <c r="CS26" i="1"/>
  <c r="DE26" i="1" s="1"/>
  <c r="CW26" i="1"/>
  <c r="DI26" i="1" s="1"/>
  <c r="V26" i="1"/>
  <c r="Z26" i="1"/>
  <c r="S26" i="1"/>
  <c r="W26" i="1"/>
  <c r="AA26" i="1"/>
  <c r="U26" i="1"/>
  <c r="J26" i="1"/>
  <c r="X26" i="1"/>
  <c r="T26" i="1"/>
  <c r="Y26" i="1"/>
  <c r="DK26" i="1" l="1"/>
  <c r="R26" i="1"/>
  <c r="ED26" i="1"/>
  <c r="AB26" i="1"/>
  <c r="AC26" i="1" s="1"/>
  <c r="AS26" i="1" s="1"/>
  <c r="EF26" i="1"/>
  <c r="EK26" i="1"/>
  <c r="EE26" i="1"/>
  <c r="EL26" i="1"/>
  <c r="EG26" i="1"/>
  <c r="EH26" i="1"/>
  <c r="EI26" i="1"/>
  <c r="CO26" i="1"/>
  <c r="DB26" i="1"/>
  <c r="EJ26" i="1"/>
  <c r="DN26" i="1" l="1"/>
  <c r="AZ26" i="1"/>
  <c r="DU26" i="1" s="1"/>
  <c r="AW26" i="1"/>
  <c r="DR26" i="1" s="1"/>
  <c r="BA26" i="1"/>
  <c r="DV26" i="1" s="1"/>
  <c r="EP26" i="1"/>
  <c r="EQ26" i="1"/>
  <c r="ER26" i="1"/>
  <c r="EN26" i="1"/>
  <c r="EO26" i="1"/>
  <c r="AX26" i="1"/>
  <c r="DS26" i="1" s="1"/>
  <c r="AV26" i="1"/>
  <c r="DQ26" i="1" s="1"/>
  <c r="AY26" i="1"/>
  <c r="DT26" i="1" s="1"/>
  <c r="AT26" i="1"/>
  <c r="DO26" i="1" s="1"/>
  <c r="AU26" i="1"/>
  <c r="DP26" i="1" s="1"/>
  <c r="BB26" i="1" l="1"/>
  <c r="EU26" i="1"/>
  <c r="ET26" i="1"/>
  <c r="EV26" i="1"/>
  <c r="EX26" i="1"/>
  <c r="EW26" i="1"/>
  <c r="FJ26" i="1" l="1"/>
  <c r="FW26" i="1" s="1"/>
  <c r="BO26" i="1" s="1"/>
  <c r="N26" i="1" s="1"/>
  <c r="EZ26" i="1"/>
  <c r="FD26" i="1"/>
  <c r="FH26" i="1"/>
  <c r="FA26" i="1"/>
  <c r="FE26" i="1"/>
  <c r="FI26" i="1"/>
  <c r="FC26" i="1"/>
  <c r="FG26" i="1"/>
  <c r="FB26" i="1"/>
  <c r="FF26" i="1"/>
  <c r="FL26" i="1" l="1"/>
  <c r="FT26" i="1" s="1"/>
  <c r="BL26" i="1" s="1"/>
  <c r="BY26" i="1" s="1"/>
  <c r="FR26" i="1" l="1"/>
  <c r="BJ26" i="1" s="1"/>
  <c r="BW26" i="1" s="1"/>
  <c r="FS26" i="1"/>
  <c r="BK26" i="1" s="1"/>
  <c r="BX26" i="1" s="1"/>
  <c r="FU26" i="1"/>
  <c r="BM26" i="1" s="1"/>
  <c r="BZ26" i="1" s="1"/>
  <c r="FN26" i="1"/>
  <c r="BF26" i="1" s="1"/>
  <c r="BS26" i="1" s="1"/>
  <c r="FO26" i="1"/>
  <c r="BG26" i="1" s="1"/>
  <c r="BT26" i="1" s="1"/>
  <c r="FM26" i="1"/>
  <c r="BE26" i="1" s="1"/>
  <c r="BR26" i="1" s="1"/>
  <c r="FQ26" i="1"/>
  <c r="BI26" i="1" s="1"/>
  <c r="BV26" i="1" s="1"/>
  <c r="FP26" i="1"/>
  <c r="BH26" i="1" s="1"/>
  <c r="BU26" i="1" s="1"/>
  <c r="FV26" i="1"/>
  <c r="BN26" i="1" s="1"/>
  <c r="CA26" i="1" s="1"/>
  <c r="BQ26" i="1" l="1"/>
  <c r="CK26" i="1" s="1"/>
  <c r="CJ26" i="1" l="1"/>
  <c r="CL26" i="1"/>
  <c r="CI26" i="1"/>
  <c r="CF26" i="1"/>
  <c r="CE26" i="1"/>
  <c r="CM26" i="1"/>
  <c r="DW26" i="1" s="1"/>
  <c r="DY26" i="1" s="1"/>
  <c r="E26" i="1" s="1"/>
  <c r="CG26" i="1"/>
  <c r="CD26" i="1"/>
  <c r="CH26" i="1"/>
  <c r="AH26" i="1" l="1"/>
  <c r="AL26" i="1"/>
  <c r="AI26" i="1"/>
  <c r="AM26" i="1"/>
  <c r="AG26" i="1"/>
  <c r="AK26" i="1"/>
  <c r="AJ26" i="1"/>
  <c r="AN26" i="1"/>
  <c r="AF26" i="1"/>
  <c r="M26" i="1"/>
  <c r="AO26" i="1" l="1"/>
  <c r="AE26" i="1"/>
  <c r="G26" i="1" s="1"/>
  <c r="AP26" i="1" l="1"/>
  <c r="H26" i="1" s="1"/>
  <c r="K26" i="1" s="1"/>
  <c r="F26" i="1"/>
  <c r="L26" i="1" l="1"/>
  <c r="B27" i="1"/>
  <c r="D27" i="1"/>
  <c r="O26" i="1"/>
  <c r="I27" i="1"/>
  <c r="C27" i="1"/>
  <c r="P26" i="1" l="1"/>
  <c r="S27" i="1"/>
  <c r="W27" i="1"/>
  <c r="AA27" i="1"/>
  <c r="T27" i="1"/>
  <c r="X27" i="1"/>
  <c r="V27" i="1"/>
  <c r="Z27" i="1"/>
  <c r="J27" i="1"/>
  <c r="Y27" i="1"/>
  <c r="U27" i="1"/>
  <c r="CY27" i="1"/>
  <c r="CR27" i="1"/>
  <c r="DD27" i="1" s="1"/>
  <c r="CV27" i="1"/>
  <c r="DH27" i="1" s="1"/>
  <c r="CP27" i="1"/>
  <c r="CS27" i="1"/>
  <c r="DE27" i="1" s="1"/>
  <c r="CW27" i="1"/>
  <c r="DI27" i="1" s="1"/>
  <c r="CQ27" i="1"/>
  <c r="DC27" i="1" s="1"/>
  <c r="CU27" i="1"/>
  <c r="DG27" i="1" s="1"/>
  <c r="CX27" i="1"/>
  <c r="DJ27" i="1" s="1"/>
  <c r="CT27" i="1"/>
  <c r="DF27" i="1" s="1"/>
  <c r="DK27" i="1" l="1"/>
  <c r="EE27" i="1"/>
  <c r="CO27" i="1"/>
  <c r="DB27" i="1"/>
  <c r="EF27" i="1"/>
  <c r="EK27" i="1"/>
  <c r="EL27" i="1"/>
  <c r="EG27" i="1"/>
  <c r="EH27" i="1"/>
  <c r="EJ27" i="1"/>
  <c r="EI27" i="1"/>
  <c r="ED27" i="1"/>
  <c r="AB27" i="1"/>
  <c r="AC27" i="1" s="1"/>
  <c r="AZ27" i="1" s="1"/>
  <c r="DU27" i="1" s="1"/>
  <c r="R27" i="1"/>
  <c r="AY27" i="1" l="1"/>
  <c r="DT27" i="1" s="1"/>
  <c r="EQ27" i="1"/>
  <c r="ER27" i="1"/>
  <c r="EO27" i="1"/>
  <c r="EP27" i="1"/>
  <c r="EN27" i="1"/>
  <c r="AS27" i="1"/>
  <c r="AW27" i="1"/>
  <c r="DR27" i="1" s="1"/>
  <c r="AX27" i="1"/>
  <c r="DS27" i="1" s="1"/>
  <c r="BA27" i="1"/>
  <c r="DV27" i="1" s="1"/>
  <c r="AU27" i="1"/>
  <c r="DP27" i="1" s="1"/>
  <c r="AT27" i="1"/>
  <c r="DO27" i="1" s="1"/>
  <c r="AV27" i="1"/>
  <c r="DQ27" i="1" s="1"/>
  <c r="DN27" i="1" l="1"/>
  <c r="BB27" i="1"/>
  <c r="ET27" i="1"/>
  <c r="EV27" i="1"/>
  <c r="EW27" i="1"/>
  <c r="EU27" i="1"/>
  <c r="EX27" i="1"/>
  <c r="FA27" i="1" l="1"/>
  <c r="FE27" i="1"/>
  <c r="FI27" i="1"/>
  <c r="FJ27" i="1"/>
  <c r="FW27" i="1" s="1"/>
  <c r="BO27" i="1" s="1"/>
  <c r="N27" i="1" s="1"/>
  <c r="FB27" i="1"/>
  <c r="FG27" i="1"/>
  <c r="FC27" i="1"/>
  <c r="FH27" i="1"/>
  <c r="FD27" i="1"/>
  <c r="EZ27" i="1"/>
  <c r="FF27" i="1"/>
  <c r="FL27" i="1" l="1"/>
  <c r="FU27" i="1" s="1"/>
  <c r="BM27" i="1" s="1"/>
  <c r="BZ27" i="1" s="1"/>
  <c r="FV27" i="1" l="1"/>
  <c r="BN27" i="1" s="1"/>
  <c r="CA27" i="1" s="1"/>
  <c r="FT27" i="1"/>
  <c r="BL27" i="1" s="1"/>
  <c r="BY27" i="1" s="1"/>
  <c r="FP27" i="1"/>
  <c r="BH27" i="1" s="1"/>
  <c r="BU27" i="1" s="1"/>
  <c r="FS27" i="1"/>
  <c r="BK27" i="1" s="1"/>
  <c r="BX27" i="1" s="1"/>
  <c r="FR27" i="1"/>
  <c r="BJ27" i="1" s="1"/>
  <c r="BW27" i="1" s="1"/>
  <c r="FN27" i="1"/>
  <c r="BF27" i="1" s="1"/>
  <c r="BS27" i="1" s="1"/>
  <c r="FO27" i="1"/>
  <c r="BG27" i="1" s="1"/>
  <c r="BT27" i="1" s="1"/>
  <c r="FQ27" i="1"/>
  <c r="BI27" i="1" s="1"/>
  <c r="BV27" i="1" s="1"/>
  <c r="FM27" i="1"/>
  <c r="BE27" i="1" s="1"/>
  <c r="BR27" i="1" s="1"/>
  <c r="BQ27" i="1" l="1"/>
  <c r="CL27" i="1" s="1"/>
  <c r="CI27" i="1" l="1"/>
  <c r="CG27" i="1"/>
  <c r="CM27" i="1"/>
  <c r="DW27" i="1" s="1"/>
  <c r="DY27" i="1" s="1"/>
  <c r="E27" i="1" s="1"/>
  <c r="CK27" i="1"/>
  <c r="CE27" i="1"/>
  <c r="CJ27" i="1"/>
  <c r="CH27" i="1"/>
  <c r="CD27" i="1"/>
  <c r="CF27" i="1"/>
  <c r="AF27" i="1" l="1"/>
  <c r="AJ27" i="1"/>
  <c r="AN27" i="1"/>
  <c r="AG27" i="1"/>
  <c r="AK27" i="1"/>
  <c r="AH27" i="1"/>
  <c r="AL27" i="1"/>
  <c r="AI27" i="1"/>
  <c r="AM27" i="1"/>
  <c r="M27" i="1"/>
  <c r="AE27" i="1" l="1"/>
  <c r="G27" i="1" s="1"/>
  <c r="AO27" i="1"/>
  <c r="F27" i="1" l="1"/>
  <c r="AP27" i="1"/>
  <c r="H27" i="1" s="1"/>
  <c r="K27" i="1" s="1"/>
  <c r="C28" i="1" l="1"/>
  <c r="I28" i="1"/>
  <c r="D28" i="1"/>
  <c r="O27" i="1"/>
  <c r="L27" i="1"/>
  <c r="B28" i="1"/>
  <c r="P27" i="1" l="1"/>
  <c r="U28" i="1"/>
  <c r="Y28" i="1"/>
  <c r="V28" i="1"/>
  <c r="Z28" i="1"/>
  <c r="J28" i="1"/>
  <c r="S28" i="1"/>
  <c r="W28" i="1"/>
  <c r="AA28" i="1"/>
  <c r="T28" i="1"/>
  <c r="X28" i="1"/>
  <c r="CQ28" i="1"/>
  <c r="DC28" i="1" s="1"/>
  <c r="CU28" i="1"/>
  <c r="DG28" i="1" s="1"/>
  <c r="CR28" i="1"/>
  <c r="DD28" i="1" s="1"/>
  <c r="CV28" i="1"/>
  <c r="DH28" i="1" s="1"/>
  <c r="CY28" i="1"/>
  <c r="CS28" i="1"/>
  <c r="DE28" i="1" s="1"/>
  <c r="CW28" i="1"/>
  <c r="DI28" i="1" s="1"/>
  <c r="CP28" i="1"/>
  <c r="CT28" i="1"/>
  <c r="DF28" i="1" s="1"/>
  <c r="CX28" i="1"/>
  <c r="DJ28" i="1" s="1"/>
  <c r="DK28" i="1" l="1"/>
  <c r="EL28" i="1"/>
  <c r="EK28" i="1"/>
  <c r="CO28" i="1"/>
  <c r="DB28" i="1"/>
  <c r="EH28" i="1"/>
  <c r="EG28" i="1"/>
  <c r="EI28" i="1"/>
  <c r="R28" i="1"/>
  <c r="AB28" i="1"/>
  <c r="AC28" i="1" s="1"/>
  <c r="AW28" i="1" s="1"/>
  <c r="DR28" i="1" s="1"/>
  <c r="ED28" i="1"/>
  <c r="EJ28" i="1"/>
  <c r="EE28" i="1"/>
  <c r="EF28" i="1"/>
  <c r="AZ28" i="1" l="1"/>
  <c r="DU28" i="1" s="1"/>
  <c r="BA28" i="1"/>
  <c r="DV28" i="1" s="1"/>
  <c r="AV28" i="1"/>
  <c r="DQ28" i="1" s="1"/>
  <c r="AU28" i="1"/>
  <c r="DP28" i="1" s="1"/>
  <c r="AY28" i="1"/>
  <c r="DT28" i="1" s="1"/>
  <c r="AS28" i="1"/>
  <c r="AT28" i="1"/>
  <c r="DO28" i="1" s="1"/>
  <c r="EQ28" i="1"/>
  <c r="EO28" i="1"/>
  <c r="EP28" i="1"/>
  <c r="ER28" i="1"/>
  <c r="EN28" i="1"/>
  <c r="AX28" i="1"/>
  <c r="DS28" i="1" s="1"/>
  <c r="EX28" i="1" l="1"/>
  <c r="ET28" i="1"/>
  <c r="EV28" i="1"/>
  <c r="EW28" i="1"/>
  <c r="EU28" i="1"/>
  <c r="DN28" i="1"/>
  <c r="BB28" i="1"/>
  <c r="FC28" i="1" l="1"/>
  <c r="FG28" i="1"/>
  <c r="FJ28" i="1"/>
  <c r="FW28" i="1" s="1"/>
  <c r="BO28" i="1" s="1"/>
  <c r="N28" i="1" s="1"/>
  <c r="EZ28" i="1"/>
  <c r="FD28" i="1"/>
  <c r="FH28" i="1"/>
  <c r="FA28" i="1"/>
  <c r="FE28" i="1"/>
  <c r="FI28" i="1"/>
  <c r="FB28" i="1"/>
  <c r="FF28" i="1"/>
  <c r="FL28" i="1" l="1"/>
  <c r="FN28" i="1" s="1"/>
  <c r="BF28" i="1" s="1"/>
  <c r="BS28" i="1" s="1"/>
  <c r="FS28" i="1" l="1"/>
  <c r="BK28" i="1" s="1"/>
  <c r="BX28" i="1" s="1"/>
  <c r="FV28" i="1"/>
  <c r="BN28" i="1" s="1"/>
  <c r="CA28" i="1" s="1"/>
  <c r="FT28" i="1"/>
  <c r="BL28" i="1" s="1"/>
  <c r="BY28" i="1" s="1"/>
  <c r="FM28" i="1"/>
  <c r="BE28" i="1" s="1"/>
  <c r="BR28" i="1" s="1"/>
  <c r="FP28" i="1"/>
  <c r="BH28" i="1" s="1"/>
  <c r="BU28" i="1" s="1"/>
  <c r="FU28" i="1"/>
  <c r="BM28" i="1" s="1"/>
  <c r="BZ28" i="1" s="1"/>
  <c r="FQ28" i="1"/>
  <c r="BI28" i="1" s="1"/>
  <c r="BV28" i="1" s="1"/>
  <c r="FR28" i="1"/>
  <c r="BJ28" i="1" s="1"/>
  <c r="BW28" i="1" s="1"/>
  <c r="FO28" i="1"/>
  <c r="BG28" i="1" s="1"/>
  <c r="BT28" i="1" s="1"/>
  <c r="BQ28" i="1" l="1"/>
  <c r="CE28" i="1" s="1"/>
  <c r="CI28" i="1" l="1"/>
  <c r="CL28" i="1"/>
  <c r="CF28" i="1"/>
  <c r="CM28" i="1"/>
  <c r="DW28" i="1" s="1"/>
  <c r="DY28" i="1" s="1"/>
  <c r="E28" i="1" s="1"/>
  <c r="CD28" i="1"/>
  <c r="CJ28" i="1"/>
  <c r="CK28" i="1"/>
  <c r="CG28" i="1"/>
  <c r="CH28" i="1"/>
  <c r="AG28" i="1" l="1"/>
  <c r="AK28" i="1"/>
  <c r="AH28" i="1"/>
  <c r="AL28" i="1"/>
  <c r="AI28" i="1"/>
  <c r="AJ28" i="1"/>
  <c r="AM28" i="1"/>
  <c r="AF28" i="1"/>
  <c r="AN28" i="1"/>
  <c r="M28" i="1"/>
  <c r="AO28" i="1" l="1"/>
  <c r="AE28" i="1"/>
  <c r="G28" i="1" s="1"/>
  <c r="AP28" i="1" l="1"/>
  <c r="H28" i="1" s="1"/>
  <c r="K28" i="1" s="1"/>
  <c r="F28" i="1"/>
  <c r="L28" i="1" l="1"/>
  <c r="I29" i="1"/>
  <c r="B29" i="1"/>
  <c r="C29" i="1"/>
  <c r="O28" i="1"/>
  <c r="D29" i="1"/>
  <c r="P28" i="1" l="1"/>
  <c r="CY29" i="1"/>
  <c r="CQ29" i="1"/>
  <c r="DC29" i="1" s="1"/>
  <c r="CU29" i="1"/>
  <c r="DG29" i="1" s="1"/>
  <c r="CR29" i="1"/>
  <c r="DD29" i="1" s="1"/>
  <c r="CV29" i="1"/>
  <c r="DH29" i="1" s="1"/>
  <c r="CS29" i="1"/>
  <c r="DE29" i="1" s="1"/>
  <c r="CW29" i="1"/>
  <c r="DI29" i="1" s="1"/>
  <c r="CP29" i="1"/>
  <c r="CT29" i="1"/>
  <c r="DF29" i="1" s="1"/>
  <c r="CX29" i="1"/>
  <c r="DJ29" i="1" s="1"/>
  <c r="S29" i="1"/>
  <c r="W29" i="1"/>
  <c r="AA29" i="1"/>
  <c r="T29" i="1"/>
  <c r="Y29" i="1"/>
  <c r="U29" i="1"/>
  <c r="Z29" i="1"/>
  <c r="V29" i="1"/>
  <c r="X29" i="1"/>
  <c r="J29" i="1"/>
  <c r="DK29" i="1" l="1"/>
  <c r="EI29" i="1"/>
  <c r="EF29" i="1"/>
  <c r="EH29" i="1"/>
  <c r="DB29" i="1"/>
  <c r="CO29" i="1"/>
  <c r="EK29" i="1"/>
  <c r="EL29" i="1"/>
  <c r="EG29" i="1"/>
  <c r="EJ29" i="1"/>
  <c r="R29" i="1"/>
  <c r="ED29" i="1"/>
  <c r="AB29" i="1"/>
  <c r="AC29" i="1" s="1"/>
  <c r="AU29" i="1" s="1"/>
  <c r="DP29" i="1" s="1"/>
  <c r="EE29" i="1"/>
  <c r="EO29" i="1" l="1"/>
  <c r="ER29" i="1"/>
  <c r="EN29" i="1"/>
  <c r="EP29" i="1"/>
  <c r="EQ29" i="1"/>
  <c r="AY29" i="1"/>
  <c r="DT29" i="1" s="1"/>
  <c r="BA29" i="1"/>
  <c r="DV29" i="1" s="1"/>
  <c r="AT29" i="1"/>
  <c r="DO29" i="1" s="1"/>
  <c r="AS29" i="1"/>
  <c r="AZ29" i="1"/>
  <c r="DU29" i="1" s="1"/>
  <c r="AW29" i="1"/>
  <c r="DR29" i="1" s="1"/>
  <c r="AX29" i="1"/>
  <c r="DS29" i="1" s="1"/>
  <c r="AV29" i="1"/>
  <c r="DQ29" i="1" s="1"/>
  <c r="ET29" i="1" l="1"/>
  <c r="EU29" i="1"/>
  <c r="EV29" i="1"/>
  <c r="EW29" i="1"/>
  <c r="EX29" i="1"/>
  <c r="DN29" i="1"/>
  <c r="BB29" i="1"/>
  <c r="FB29" i="1" l="1"/>
  <c r="FF29" i="1"/>
  <c r="FC29" i="1"/>
  <c r="FG29" i="1"/>
  <c r="FJ29" i="1"/>
  <c r="FW29" i="1" s="1"/>
  <c r="BO29" i="1" s="1"/>
  <c r="N29" i="1" s="1"/>
  <c r="EZ29" i="1"/>
  <c r="FD29" i="1"/>
  <c r="FH29" i="1"/>
  <c r="FA29" i="1"/>
  <c r="FE29" i="1"/>
  <c r="FI29" i="1"/>
  <c r="FL29" i="1" l="1"/>
  <c r="FR29" i="1" s="1"/>
  <c r="BJ29" i="1" s="1"/>
  <c r="BW29" i="1" s="1"/>
  <c r="FN29" i="1" l="1"/>
  <c r="BF29" i="1" s="1"/>
  <c r="BS29" i="1" s="1"/>
  <c r="FS29" i="1"/>
  <c r="BK29" i="1" s="1"/>
  <c r="BX29" i="1" s="1"/>
  <c r="FP29" i="1"/>
  <c r="BH29" i="1" s="1"/>
  <c r="BU29" i="1" s="1"/>
  <c r="FT29" i="1"/>
  <c r="BL29" i="1" s="1"/>
  <c r="BY29" i="1" s="1"/>
  <c r="FM29" i="1"/>
  <c r="BE29" i="1" s="1"/>
  <c r="BR29" i="1" s="1"/>
  <c r="FQ29" i="1"/>
  <c r="BI29" i="1" s="1"/>
  <c r="BV29" i="1" s="1"/>
  <c r="FU29" i="1"/>
  <c r="BM29" i="1" s="1"/>
  <c r="BZ29" i="1" s="1"/>
  <c r="FV29" i="1"/>
  <c r="BN29" i="1" s="1"/>
  <c r="CA29" i="1" s="1"/>
  <c r="FO29" i="1"/>
  <c r="BG29" i="1" s="1"/>
  <c r="BT29" i="1" s="1"/>
  <c r="BQ29" i="1" l="1"/>
  <c r="CI29" i="1" s="1"/>
  <c r="CG29" i="1" l="1"/>
  <c r="CE29" i="1"/>
  <c r="CJ29" i="1"/>
  <c r="CH29" i="1"/>
  <c r="CK29" i="1"/>
  <c r="CD29" i="1"/>
  <c r="CM29" i="1"/>
  <c r="DW29" i="1" s="1"/>
  <c r="DY29" i="1" s="1"/>
  <c r="E29" i="1" s="1"/>
  <c r="CF29" i="1"/>
  <c r="CL29" i="1"/>
  <c r="AF29" i="1" l="1"/>
  <c r="AJ29" i="1"/>
  <c r="AN29" i="1"/>
  <c r="AG29" i="1"/>
  <c r="AK29" i="1"/>
  <c r="AH29" i="1"/>
  <c r="AL29" i="1"/>
  <c r="AI29" i="1"/>
  <c r="AM29" i="1"/>
  <c r="M29" i="1"/>
  <c r="AE29" i="1" l="1"/>
  <c r="G29" i="1" s="1"/>
  <c r="AO29" i="1"/>
  <c r="F29" i="1" l="1"/>
  <c r="AP29" i="1"/>
  <c r="H29" i="1" s="1"/>
  <c r="K29" i="1" s="1"/>
  <c r="C30" i="1" l="1"/>
  <c r="I30" i="1"/>
  <c r="D30" i="1"/>
  <c r="O29" i="1"/>
  <c r="L29" i="1"/>
  <c r="B30" i="1"/>
  <c r="P29" i="1" l="1"/>
  <c r="U30" i="1"/>
  <c r="Y30" i="1"/>
  <c r="V30" i="1"/>
  <c r="Z30" i="1"/>
  <c r="J30" i="1"/>
  <c r="S30" i="1"/>
  <c r="W30" i="1"/>
  <c r="AA30" i="1"/>
  <c r="T30" i="1"/>
  <c r="X30" i="1"/>
  <c r="CQ30" i="1"/>
  <c r="DC30" i="1" s="1"/>
  <c r="CU30" i="1"/>
  <c r="DG30" i="1" s="1"/>
  <c r="CR30" i="1"/>
  <c r="DD30" i="1" s="1"/>
  <c r="CV30" i="1"/>
  <c r="DH30" i="1" s="1"/>
  <c r="CY30" i="1"/>
  <c r="CP30" i="1"/>
  <c r="CS30" i="1"/>
  <c r="DE30" i="1" s="1"/>
  <c r="CW30" i="1"/>
  <c r="DI30" i="1" s="1"/>
  <c r="CT30" i="1"/>
  <c r="DF30" i="1" s="1"/>
  <c r="CX30" i="1"/>
  <c r="DJ30" i="1" s="1"/>
  <c r="DK30" i="1" l="1"/>
  <c r="EH30" i="1"/>
  <c r="EG30" i="1"/>
  <c r="EI30" i="1"/>
  <c r="ED30" i="1"/>
  <c r="AB30" i="1"/>
  <c r="AC30" i="1" s="1"/>
  <c r="AV30" i="1" s="1"/>
  <c r="DQ30" i="1" s="1"/>
  <c r="R30" i="1"/>
  <c r="EE30" i="1"/>
  <c r="EJ30" i="1"/>
  <c r="CO30" i="1"/>
  <c r="DB30" i="1"/>
  <c r="EL30" i="1"/>
  <c r="EK30" i="1"/>
  <c r="EF30" i="1"/>
  <c r="EP30" i="1" l="1"/>
  <c r="EO30" i="1"/>
  <c r="ER30" i="1"/>
  <c r="EQ30" i="1"/>
  <c r="EN30" i="1"/>
  <c r="AX30" i="1"/>
  <c r="DS30" i="1" s="1"/>
  <c r="AW30" i="1"/>
  <c r="DR30" i="1" s="1"/>
  <c r="AU30" i="1"/>
  <c r="DP30" i="1" s="1"/>
  <c r="BA30" i="1"/>
  <c r="DV30" i="1" s="1"/>
  <c r="AY30" i="1"/>
  <c r="DT30" i="1" s="1"/>
  <c r="AZ30" i="1"/>
  <c r="DU30" i="1" s="1"/>
  <c r="AT30" i="1"/>
  <c r="DO30" i="1" s="1"/>
  <c r="AS30" i="1"/>
  <c r="DN30" i="1" l="1"/>
  <c r="BB30" i="1"/>
  <c r="EW30" i="1"/>
  <c r="EU30" i="1"/>
  <c r="ET30" i="1"/>
  <c r="EX30" i="1"/>
  <c r="EV30" i="1"/>
  <c r="FC30" i="1" l="1"/>
  <c r="FG30" i="1"/>
  <c r="FJ30" i="1"/>
  <c r="FW30" i="1" s="1"/>
  <c r="BO30" i="1" s="1"/>
  <c r="N30" i="1" s="1"/>
  <c r="EZ30" i="1"/>
  <c r="FD30" i="1"/>
  <c r="FH30" i="1"/>
  <c r="FA30" i="1"/>
  <c r="FE30" i="1"/>
  <c r="FI30" i="1"/>
  <c r="FB30" i="1"/>
  <c r="FF30" i="1"/>
  <c r="FL30" i="1" l="1"/>
  <c r="FN30" i="1" s="1"/>
  <c r="BF30" i="1" s="1"/>
  <c r="BS30" i="1" s="1"/>
  <c r="FT30" i="1" l="1"/>
  <c r="BL30" i="1" s="1"/>
  <c r="BY30" i="1" s="1"/>
  <c r="FP30" i="1"/>
  <c r="BH30" i="1" s="1"/>
  <c r="BU30" i="1" s="1"/>
  <c r="FU30" i="1"/>
  <c r="BM30" i="1" s="1"/>
  <c r="BZ30" i="1" s="1"/>
  <c r="FQ30" i="1"/>
  <c r="BI30" i="1" s="1"/>
  <c r="BV30" i="1" s="1"/>
  <c r="FO30" i="1"/>
  <c r="BG30" i="1" s="1"/>
  <c r="BT30" i="1" s="1"/>
  <c r="FS30" i="1"/>
  <c r="BK30" i="1" s="1"/>
  <c r="BX30" i="1" s="1"/>
  <c r="FM30" i="1"/>
  <c r="BE30" i="1" s="1"/>
  <c r="BR30" i="1" s="1"/>
  <c r="FR30" i="1"/>
  <c r="BJ30" i="1" s="1"/>
  <c r="BW30" i="1" s="1"/>
  <c r="FV30" i="1"/>
  <c r="BN30" i="1" s="1"/>
  <c r="CA30" i="1" s="1"/>
  <c r="BQ30" i="1" l="1"/>
  <c r="CE30" i="1" s="1"/>
  <c r="CM30" i="1" l="1"/>
  <c r="DW30" i="1" s="1"/>
  <c r="DY30" i="1" s="1"/>
  <c r="E30" i="1" s="1"/>
  <c r="AK30" i="1" s="1"/>
  <c r="CK30" i="1"/>
  <c r="CJ30" i="1"/>
  <c r="CL30" i="1"/>
  <c r="CH30" i="1"/>
  <c r="CF30" i="1"/>
  <c r="CI30" i="1"/>
  <c r="CG30" i="1"/>
  <c r="CD30" i="1"/>
  <c r="AN30" i="1" l="1"/>
  <c r="AI30" i="1"/>
  <c r="AG30" i="1"/>
  <c r="AJ30" i="1"/>
  <c r="AL30" i="1"/>
  <c r="AF30" i="1"/>
  <c r="AH30" i="1"/>
  <c r="M30" i="1"/>
  <c r="AM30" i="1"/>
  <c r="AE30" i="1" l="1"/>
  <c r="G30" i="1" s="1"/>
  <c r="AO30" i="1"/>
  <c r="AP30" i="1" s="1"/>
  <c r="H30" i="1" s="1"/>
  <c r="K30" i="1" s="1"/>
  <c r="F30" i="1" l="1"/>
  <c r="O30" i="1" s="1"/>
  <c r="D31" i="1"/>
  <c r="L30" i="1"/>
  <c r="C31" i="1"/>
  <c r="B31" i="1"/>
  <c r="I31" i="1"/>
  <c r="P30" i="1" l="1"/>
  <c r="CS31" i="1"/>
  <c r="DE31" i="1" s="1"/>
  <c r="CW31" i="1"/>
  <c r="DI31" i="1" s="1"/>
  <c r="CY31" i="1"/>
  <c r="CP31" i="1"/>
  <c r="CT31" i="1"/>
  <c r="DF31" i="1" s="1"/>
  <c r="CX31" i="1"/>
  <c r="DJ31" i="1" s="1"/>
  <c r="CU31" i="1"/>
  <c r="DG31" i="1" s="1"/>
  <c r="CV31" i="1"/>
  <c r="DH31" i="1" s="1"/>
  <c r="CQ31" i="1"/>
  <c r="DC31" i="1" s="1"/>
  <c r="CR31" i="1"/>
  <c r="DD31" i="1" s="1"/>
  <c r="V31" i="1"/>
  <c r="Z31" i="1"/>
  <c r="J31" i="1"/>
  <c r="S31" i="1"/>
  <c r="W31" i="1"/>
  <c r="AA31" i="1"/>
  <c r="T31" i="1"/>
  <c r="X31" i="1"/>
  <c r="U31" i="1"/>
  <c r="Y31" i="1"/>
  <c r="DK31" i="1" l="1"/>
  <c r="EJ31" i="1"/>
  <c r="EL31" i="1"/>
  <c r="EK31" i="1"/>
  <c r="CO31" i="1"/>
  <c r="DB31" i="1"/>
  <c r="EH31" i="1"/>
  <c r="EG31" i="1"/>
  <c r="EI31" i="1"/>
  <c r="R31" i="1"/>
  <c r="AB31" i="1"/>
  <c r="AC31" i="1" s="1"/>
  <c r="AY31" i="1" s="1"/>
  <c r="DT31" i="1" s="1"/>
  <c r="ED31" i="1"/>
  <c r="EF31" i="1"/>
  <c r="EE31" i="1"/>
  <c r="AS31" i="1" l="1"/>
  <c r="AV31" i="1"/>
  <c r="DQ31" i="1" s="1"/>
  <c r="BA31" i="1"/>
  <c r="DV31" i="1" s="1"/>
  <c r="AU31" i="1"/>
  <c r="DP31" i="1" s="1"/>
  <c r="AT31" i="1"/>
  <c r="DO31" i="1" s="1"/>
  <c r="ER31" i="1"/>
  <c r="EO31" i="1"/>
  <c r="EN31" i="1"/>
  <c r="EQ31" i="1"/>
  <c r="EP31" i="1"/>
  <c r="AX31" i="1"/>
  <c r="DS31" i="1" s="1"/>
  <c r="AW31" i="1"/>
  <c r="DR31" i="1" s="1"/>
  <c r="AZ31" i="1"/>
  <c r="DU31" i="1" s="1"/>
  <c r="EU31" i="1" l="1"/>
  <c r="EX31" i="1"/>
  <c r="ET31" i="1"/>
  <c r="EV31" i="1"/>
  <c r="EW31" i="1"/>
  <c r="DN31" i="1"/>
  <c r="BB31" i="1"/>
  <c r="FB31" i="1" l="1"/>
  <c r="FF31" i="1"/>
  <c r="FC31" i="1"/>
  <c r="FG31" i="1"/>
  <c r="FJ31" i="1"/>
  <c r="FW31" i="1" s="1"/>
  <c r="BO31" i="1" s="1"/>
  <c r="N31" i="1" s="1"/>
  <c r="EZ31" i="1"/>
  <c r="FD31" i="1"/>
  <c r="FH31" i="1"/>
  <c r="FA31" i="1"/>
  <c r="FE31" i="1"/>
  <c r="FI31" i="1"/>
  <c r="FL31" i="1" l="1"/>
  <c r="FQ31" i="1" s="1"/>
  <c r="BI31" i="1" s="1"/>
  <c r="BV31" i="1" s="1"/>
  <c r="FT31" i="1" l="1"/>
  <c r="BL31" i="1" s="1"/>
  <c r="BY31" i="1" s="1"/>
  <c r="FU31" i="1"/>
  <c r="BM31" i="1" s="1"/>
  <c r="BZ31" i="1" s="1"/>
  <c r="FP31" i="1"/>
  <c r="BH31" i="1" s="1"/>
  <c r="BU31" i="1" s="1"/>
  <c r="FO31" i="1"/>
  <c r="BG31" i="1" s="1"/>
  <c r="BT31" i="1" s="1"/>
  <c r="FR31" i="1"/>
  <c r="BJ31" i="1" s="1"/>
  <c r="BW31" i="1" s="1"/>
  <c r="FV31" i="1"/>
  <c r="BN31" i="1" s="1"/>
  <c r="CA31" i="1" s="1"/>
  <c r="FS31" i="1"/>
  <c r="BK31" i="1" s="1"/>
  <c r="BX31" i="1" s="1"/>
  <c r="FN31" i="1"/>
  <c r="BF31" i="1" s="1"/>
  <c r="BS31" i="1" s="1"/>
  <c r="FM31" i="1"/>
  <c r="BE31" i="1" s="1"/>
  <c r="BR31" i="1" s="1"/>
  <c r="BQ31" i="1" l="1"/>
  <c r="CH31" i="1" s="1"/>
  <c r="CL31" i="1" l="1"/>
  <c r="CM31" i="1"/>
  <c r="DW31" i="1" s="1"/>
  <c r="DY31" i="1" s="1"/>
  <c r="E31" i="1" s="1"/>
  <c r="CD31" i="1"/>
  <c r="CF31" i="1"/>
  <c r="CK31" i="1"/>
  <c r="CG31" i="1"/>
  <c r="CE31" i="1"/>
  <c r="CI31" i="1"/>
  <c r="CJ31" i="1"/>
  <c r="AF31" i="1" l="1"/>
  <c r="AJ31" i="1"/>
  <c r="AN31" i="1"/>
  <c r="AG31" i="1"/>
  <c r="AK31" i="1"/>
  <c r="AH31" i="1"/>
  <c r="AL31" i="1"/>
  <c r="AI31" i="1"/>
  <c r="AM31" i="1"/>
  <c r="M31" i="1"/>
  <c r="AE31" i="1" l="1"/>
  <c r="G31" i="1" s="1"/>
  <c r="AO31" i="1"/>
  <c r="F31" i="1" l="1"/>
  <c r="AP31" i="1"/>
  <c r="H31" i="1" s="1"/>
  <c r="K31" i="1" s="1"/>
  <c r="C32" i="1" l="1"/>
  <c r="I32" i="1"/>
  <c r="D32" i="1"/>
  <c r="O31" i="1"/>
  <c r="L31" i="1"/>
  <c r="B32" i="1"/>
  <c r="P31" i="1" l="1"/>
  <c r="U32" i="1"/>
  <c r="Y32" i="1"/>
  <c r="V32" i="1"/>
  <c r="Z32" i="1"/>
  <c r="J32" i="1"/>
  <c r="S32" i="1"/>
  <c r="W32" i="1"/>
  <c r="AA32" i="1"/>
  <c r="T32" i="1"/>
  <c r="X32" i="1"/>
  <c r="CR32" i="1"/>
  <c r="DD32" i="1" s="1"/>
  <c r="CV32" i="1"/>
  <c r="DH32" i="1" s="1"/>
  <c r="CP32" i="1"/>
  <c r="CS32" i="1"/>
  <c r="DE32" i="1" s="1"/>
  <c r="CW32" i="1"/>
  <c r="DI32" i="1" s="1"/>
  <c r="CY32" i="1"/>
  <c r="DK32" i="1" s="1"/>
  <c r="CT32" i="1"/>
  <c r="DF32" i="1" s="1"/>
  <c r="CX32" i="1"/>
  <c r="DJ32" i="1" s="1"/>
  <c r="CQ32" i="1"/>
  <c r="DC32" i="1" s="1"/>
  <c r="CU32" i="1"/>
  <c r="DG32" i="1" s="1"/>
  <c r="EH32" i="1" l="1"/>
  <c r="EG32" i="1"/>
  <c r="EI32" i="1"/>
  <c r="R32" i="1"/>
  <c r="ED32" i="1"/>
  <c r="AB32" i="1"/>
  <c r="AC32" i="1" s="1"/>
  <c r="AU32" i="1" s="1"/>
  <c r="DP32" i="1" s="1"/>
  <c r="DB32" i="1"/>
  <c r="CO32" i="1"/>
  <c r="EE32" i="1"/>
  <c r="EJ32" i="1"/>
  <c r="EL32" i="1"/>
  <c r="EK32" i="1"/>
  <c r="EF32" i="1"/>
  <c r="AZ32" i="1" l="1"/>
  <c r="DU32" i="1" s="1"/>
  <c r="AY32" i="1"/>
  <c r="DT32" i="1" s="1"/>
  <c r="AS32" i="1"/>
  <c r="AV32" i="1"/>
  <c r="DQ32" i="1" s="1"/>
  <c r="BA32" i="1"/>
  <c r="DV32" i="1" s="1"/>
  <c r="AT32" i="1"/>
  <c r="DO32" i="1" s="1"/>
  <c r="AX32" i="1"/>
  <c r="DS32" i="1" s="1"/>
  <c r="AW32" i="1"/>
  <c r="DR32" i="1" s="1"/>
  <c r="EP32" i="1"/>
  <c r="EQ32" i="1"/>
  <c r="ER32" i="1"/>
  <c r="EO32" i="1"/>
  <c r="EN32" i="1"/>
  <c r="DN32" i="1" l="1"/>
  <c r="BB32" i="1"/>
  <c r="EV32" i="1"/>
  <c r="ET32" i="1"/>
  <c r="EU32" i="1"/>
  <c r="EW32" i="1"/>
  <c r="EX32" i="1"/>
  <c r="FC32" i="1" l="1"/>
  <c r="FG32" i="1"/>
  <c r="FJ32" i="1"/>
  <c r="FW32" i="1" s="1"/>
  <c r="BO32" i="1" s="1"/>
  <c r="N32" i="1" s="1"/>
  <c r="EZ32" i="1"/>
  <c r="FD32" i="1"/>
  <c r="FH32" i="1"/>
  <c r="FA32" i="1"/>
  <c r="FE32" i="1"/>
  <c r="FI32" i="1"/>
  <c r="FB32" i="1"/>
  <c r="FF32" i="1"/>
  <c r="FL32" i="1" l="1"/>
  <c r="FS32" i="1" s="1"/>
  <c r="BK32" i="1" s="1"/>
  <c r="BX32" i="1" s="1"/>
  <c r="FT32" i="1" l="1"/>
  <c r="BL32" i="1" s="1"/>
  <c r="BY32" i="1" s="1"/>
  <c r="FR32" i="1"/>
  <c r="BJ32" i="1" s="1"/>
  <c r="BW32" i="1" s="1"/>
  <c r="FM32" i="1"/>
  <c r="BE32" i="1" s="1"/>
  <c r="BR32" i="1" s="1"/>
  <c r="FP32" i="1"/>
  <c r="BH32" i="1" s="1"/>
  <c r="BU32" i="1" s="1"/>
  <c r="FU32" i="1"/>
  <c r="BM32" i="1" s="1"/>
  <c r="BZ32" i="1" s="1"/>
  <c r="FQ32" i="1"/>
  <c r="BI32" i="1" s="1"/>
  <c r="BV32" i="1" s="1"/>
  <c r="FO32" i="1"/>
  <c r="BG32" i="1" s="1"/>
  <c r="BT32" i="1" s="1"/>
  <c r="FV32" i="1"/>
  <c r="BN32" i="1" s="1"/>
  <c r="CA32" i="1" s="1"/>
  <c r="FN32" i="1"/>
  <c r="BF32" i="1" s="1"/>
  <c r="BS32" i="1" s="1"/>
  <c r="BQ32" i="1" l="1"/>
  <c r="CJ32" i="1" s="1"/>
  <c r="CH32" i="1" l="1"/>
  <c r="CI32" i="1"/>
  <c r="CK32" i="1"/>
  <c r="CD32" i="1"/>
  <c r="CG32" i="1"/>
  <c r="CL32" i="1"/>
  <c r="CM32" i="1"/>
  <c r="DW32" i="1" s="1"/>
  <c r="DY32" i="1" s="1"/>
  <c r="E32" i="1" s="1"/>
  <c r="CE32" i="1"/>
  <c r="CF32" i="1"/>
  <c r="AG32" i="1" l="1"/>
  <c r="AK32" i="1"/>
  <c r="AH32" i="1"/>
  <c r="AL32" i="1"/>
  <c r="AI32" i="1"/>
  <c r="AM32" i="1"/>
  <c r="AF32" i="1"/>
  <c r="AJ32" i="1"/>
  <c r="AN32" i="1"/>
  <c r="M32" i="1"/>
  <c r="AO32" i="1" l="1"/>
  <c r="AE32" i="1"/>
  <c r="G32" i="1" s="1"/>
  <c r="AP32" i="1" l="1"/>
  <c r="H32" i="1" s="1"/>
  <c r="K32" i="1" s="1"/>
  <c r="F32" i="1"/>
  <c r="D33" i="1" l="1"/>
  <c r="O32" i="1"/>
  <c r="L32" i="1"/>
  <c r="P32" i="1" s="1"/>
  <c r="B33" i="1"/>
  <c r="C33" i="1"/>
  <c r="I33" i="1"/>
  <c r="CQ33" i="1" l="1"/>
  <c r="DC33" i="1" s="1"/>
  <c r="CU33" i="1"/>
  <c r="DG33" i="1" s="1"/>
  <c r="CY33" i="1"/>
  <c r="DK33" i="1" s="1"/>
  <c r="CR33" i="1"/>
  <c r="DD33" i="1" s="1"/>
  <c r="CV33" i="1"/>
  <c r="DH33" i="1" s="1"/>
  <c r="CS33" i="1"/>
  <c r="DE33" i="1" s="1"/>
  <c r="CW33" i="1"/>
  <c r="DI33" i="1" s="1"/>
  <c r="CP33" i="1"/>
  <c r="CT33" i="1"/>
  <c r="DF33" i="1" s="1"/>
  <c r="CX33" i="1"/>
  <c r="DJ33" i="1" s="1"/>
  <c r="V33" i="1"/>
  <c r="Z33" i="1"/>
  <c r="J33" i="1"/>
  <c r="S33" i="1"/>
  <c r="W33" i="1"/>
  <c r="AA33" i="1"/>
  <c r="T33" i="1"/>
  <c r="X33" i="1"/>
  <c r="U33" i="1"/>
  <c r="Y33" i="1"/>
  <c r="EJ33" i="1" l="1"/>
  <c r="EL33" i="1"/>
  <c r="EK33" i="1"/>
  <c r="CO33" i="1"/>
  <c r="DB33" i="1"/>
  <c r="EF33" i="1"/>
  <c r="EH33" i="1"/>
  <c r="EG33" i="1"/>
  <c r="EI33" i="1"/>
  <c r="R33" i="1"/>
  <c r="AB33" i="1"/>
  <c r="AC33" i="1" s="1"/>
  <c r="AZ33" i="1" s="1"/>
  <c r="DU33" i="1" s="1"/>
  <c r="ED33" i="1"/>
  <c r="EE33" i="1"/>
  <c r="BA33" i="1" l="1"/>
  <c r="DV33" i="1" s="1"/>
  <c r="AT33" i="1"/>
  <c r="DO33" i="1" s="1"/>
  <c r="AX33" i="1"/>
  <c r="DS33" i="1" s="1"/>
  <c r="AW33" i="1"/>
  <c r="DR33" i="1" s="1"/>
  <c r="AV33" i="1"/>
  <c r="DQ33" i="1" s="1"/>
  <c r="AS33" i="1"/>
  <c r="AU33" i="1"/>
  <c r="DP33" i="1" s="1"/>
  <c r="AY33" i="1"/>
  <c r="DT33" i="1" s="1"/>
  <c r="EN33" i="1"/>
  <c r="EQ33" i="1"/>
  <c r="EO33" i="1"/>
  <c r="EP33" i="1"/>
  <c r="ER33" i="1"/>
  <c r="DN33" i="1" l="1"/>
  <c r="BB33" i="1"/>
  <c r="EX33" i="1"/>
  <c r="EU33" i="1"/>
  <c r="EV33" i="1"/>
  <c r="ET33" i="1"/>
  <c r="EW33" i="1"/>
  <c r="FJ33" i="1" l="1"/>
  <c r="FW33" i="1" s="1"/>
  <c r="BO33" i="1" s="1"/>
  <c r="N33" i="1" s="1"/>
  <c r="EZ33" i="1"/>
  <c r="FD33" i="1"/>
  <c r="FH33" i="1"/>
  <c r="FA33" i="1"/>
  <c r="FE33" i="1"/>
  <c r="FI33" i="1"/>
  <c r="FB33" i="1"/>
  <c r="FF33" i="1"/>
  <c r="FC33" i="1"/>
  <c r="FG33" i="1"/>
  <c r="FL33" i="1" l="1"/>
  <c r="FO33" i="1" s="1"/>
  <c r="BG33" i="1" s="1"/>
  <c r="BT33" i="1" s="1"/>
  <c r="FR33" i="1" l="1"/>
  <c r="BJ33" i="1" s="1"/>
  <c r="BW33" i="1" s="1"/>
  <c r="FU33" i="1"/>
  <c r="BM33" i="1" s="1"/>
  <c r="BZ33" i="1" s="1"/>
  <c r="FQ33" i="1"/>
  <c r="BI33" i="1" s="1"/>
  <c r="BV33" i="1" s="1"/>
  <c r="FN33" i="1"/>
  <c r="BF33" i="1" s="1"/>
  <c r="BS33" i="1" s="1"/>
  <c r="FV33" i="1"/>
  <c r="BN33" i="1" s="1"/>
  <c r="CA33" i="1" s="1"/>
  <c r="FS33" i="1"/>
  <c r="BK33" i="1" s="1"/>
  <c r="BX33" i="1" s="1"/>
  <c r="FP33" i="1"/>
  <c r="BH33" i="1" s="1"/>
  <c r="BU33" i="1" s="1"/>
  <c r="FM33" i="1"/>
  <c r="BE33" i="1" s="1"/>
  <c r="BR33" i="1" s="1"/>
  <c r="FT33" i="1"/>
  <c r="BL33" i="1" s="1"/>
  <c r="BY33" i="1" s="1"/>
  <c r="BQ33" i="1" l="1"/>
  <c r="CF33" i="1" s="1"/>
  <c r="CL33" i="1" l="1"/>
  <c r="CH33" i="1"/>
  <c r="CM33" i="1"/>
  <c r="DW33" i="1" s="1"/>
  <c r="DY33" i="1" s="1"/>
  <c r="E33" i="1" s="1"/>
  <c r="CJ33" i="1"/>
  <c r="CE33" i="1"/>
  <c r="CI33" i="1"/>
  <c r="CD33" i="1"/>
  <c r="CK33" i="1"/>
  <c r="CG33" i="1"/>
  <c r="AH33" i="1" l="1"/>
  <c r="AL33" i="1"/>
  <c r="AI33" i="1"/>
  <c r="AM33" i="1"/>
  <c r="AF33" i="1"/>
  <c r="AJ33" i="1"/>
  <c r="AN33" i="1"/>
  <c r="AG33" i="1"/>
  <c r="AK33" i="1"/>
  <c r="M33" i="1"/>
  <c r="AE33" i="1" l="1"/>
  <c r="G33" i="1" s="1"/>
  <c r="AO33" i="1"/>
  <c r="AP33" i="1" l="1"/>
  <c r="H33" i="1" s="1"/>
  <c r="K33" i="1" s="1"/>
  <c r="F33" i="1"/>
  <c r="L33" i="1" l="1"/>
  <c r="B34" i="1"/>
  <c r="C34" i="1"/>
  <c r="I34" i="1"/>
  <c r="D34" i="1"/>
  <c r="O33" i="1"/>
  <c r="P33" i="1" l="1"/>
  <c r="S34" i="1"/>
  <c r="W34" i="1"/>
  <c r="AA34" i="1"/>
  <c r="T34" i="1"/>
  <c r="X34" i="1"/>
  <c r="U34" i="1"/>
  <c r="Y34" i="1"/>
  <c r="V34" i="1"/>
  <c r="Z34" i="1"/>
  <c r="J34" i="1"/>
  <c r="CY34" i="1"/>
  <c r="CR34" i="1"/>
  <c r="DD34" i="1" s="1"/>
  <c r="CV34" i="1"/>
  <c r="DH34" i="1" s="1"/>
  <c r="CP34" i="1"/>
  <c r="CS34" i="1"/>
  <c r="DE34" i="1" s="1"/>
  <c r="CW34" i="1"/>
  <c r="DI34" i="1" s="1"/>
  <c r="CT34" i="1"/>
  <c r="DF34" i="1" s="1"/>
  <c r="CX34" i="1"/>
  <c r="DJ34" i="1" s="1"/>
  <c r="CQ34" i="1"/>
  <c r="DC34" i="1" s="1"/>
  <c r="CU34" i="1"/>
  <c r="DG34" i="1" s="1"/>
  <c r="DK34" i="1" l="1"/>
  <c r="EE34" i="1"/>
  <c r="DB34" i="1"/>
  <c r="CO34" i="1"/>
  <c r="EJ34" i="1"/>
  <c r="EL34" i="1"/>
  <c r="EK34" i="1"/>
  <c r="EF34" i="1"/>
  <c r="EH34" i="1"/>
  <c r="EG34" i="1"/>
  <c r="EI34" i="1"/>
  <c r="ED34" i="1"/>
  <c r="AB34" i="1"/>
  <c r="AC34" i="1" s="1"/>
  <c r="AU34" i="1" s="1"/>
  <c r="DP34" i="1" s="1"/>
  <c r="R34" i="1"/>
  <c r="EQ34" i="1" l="1"/>
  <c r="EN34" i="1"/>
  <c r="EO34" i="1"/>
  <c r="ER34" i="1"/>
  <c r="EP34" i="1"/>
  <c r="BA34" i="1"/>
  <c r="DV34" i="1" s="1"/>
  <c r="AS34" i="1"/>
  <c r="AW34" i="1"/>
  <c r="DR34" i="1" s="1"/>
  <c r="AT34" i="1"/>
  <c r="DO34" i="1" s="1"/>
  <c r="AX34" i="1"/>
  <c r="DS34" i="1" s="1"/>
  <c r="AZ34" i="1"/>
  <c r="DU34" i="1" s="1"/>
  <c r="AY34" i="1"/>
  <c r="DT34" i="1" s="1"/>
  <c r="AV34" i="1"/>
  <c r="DQ34" i="1" s="1"/>
  <c r="DN34" i="1" l="1"/>
  <c r="BB34" i="1"/>
  <c r="EU34" i="1"/>
  <c r="EW34" i="1"/>
  <c r="EV34" i="1"/>
  <c r="EX34" i="1"/>
  <c r="ET34" i="1"/>
  <c r="FA34" i="1" l="1"/>
  <c r="FE34" i="1"/>
  <c r="FI34" i="1"/>
  <c r="FB34" i="1"/>
  <c r="FF34" i="1"/>
  <c r="FC34" i="1"/>
  <c r="FG34" i="1"/>
  <c r="FJ34" i="1"/>
  <c r="FW34" i="1" s="1"/>
  <c r="BO34" i="1" s="1"/>
  <c r="N34" i="1" s="1"/>
  <c r="EZ34" i="1"/>
  <c r="FD34" i="1"/>
  <c r="FH34" i="1"/>
  <c r="FL34" i="1" l="1"/>
  <c r="FU34" i="1" s="1"/>
  <c r="BM34" i="1" s="1"/>
  <c r="BZ34" i="1" s="1"/>
  <c r="FT34" i="1" l="1"/>
  <c r="BL34" i="1" s="1"/>
  <c r="BY34" i="1" s="1"/>
  <c r="FM34" i="1"/>
  <c r="BE34" i="1" s="1"/>
  <c r="BR34" i="1" s="1"/>
  <c r="FQ34" i="1"/>
  <c r="BI34" i="1" s="1"/>
  <c r="BV34" i="1" s="1"/>
  <c r="FO34" i="1"/>
  <c r="BG34" i="1" s="1"/>
  <c r="BT34" i="1" s="1"/>
  <c r="FV34" i="1"/>
  <c r="BN34" i="1" s="1"/>
  <c r="CA34" i="1" s="1"/>
  <c r="FN34" i="1"/>
  <c r="BF34" i="1" s="1"/>
  <c r="BS34" i="1" s="1"/>
  <c r="FR34" i="1"/>
  <c r="BJ34" i="1" s="1"/>
  <c r="BW34" i="1" s="1"/>
  <c r="FS34" i="1"/>
  <c r="BK34" i="1" s="1"/>
  <c r="BX34" i="1" s="1"/>
  <c r="FP34" i="1"/>
  <c r="BH34" i="1" s="1"/>
  <c r="BU34" i="1" s="1"/>
  <c r="BQ34" i="1" l="1"/>
  <c r="CL34" i="1" s="1"/>
  <c r="CI34" i="1" l="1"/>
  <c r="CG34" i="1"/>
  <c r="CD34" i="1"/>
  <c r="CK34" i="1"/>
  <c r="CF34" i="1"/>
  <c r="CM34" i="1"/>
  <c r="DW34" i="1" s="1"/>
  <c r="DY34" i="1" s="1"/>
  <c r="E34" i="1" s="1"/>
  <c r="CJ34" i="1"/>
  <c r="CE34" i="1"/>
  <c r="CH34" i="1"/>
  <c r="AI34" i="1" l="1"/>
  <c r="AM34" i="1"/>
  <c r="AF34" i="1"/>
  <c r="AJ34" i="1"/>
  <c r="AN34" i="1"/>
  <c r="AG34" i="1"/>
  <c r="AK34" i="1"/>
  <c r="AH34" i="1"/>
  <c r="AL34" i="1"/>
  <c r="M34" i="1"/>
  <c r="AE34" i="1" l="1"/>
  <c r="G34" i="1" s="1"/>
  <c r="AO34" i="1"/>
  <c r="F34" i="1" l="1"/>
  <c r="AP34" i="1"/>
  <c r="H34" i="1" s="1"/>
  <c r="K34" i="1" s="1"/>
  <c r="L34" i="1" l="1"/>
  <c r="B35" i="1"/>
  <c r="C35" i="1"/>
  <c r="I35" i="1"/>
  <c r="D35" i="1"/>
  <c r="O34" i="1"/>
  <c r="P34" i="1" l="1"/>
  <c r="T35" i="1"/>
  <c r="X35" i="1"/>
  <c r="U35" i="1"/>
  <c r="Y35" i="1"/>
  <c r="V35" i="1"/>
  <c r="Z35" i="1"/>
  <c r="S35" i="1"/>
  <c r="W35" i="1"/>
  <c r="AA35" i="1"/>
  <c r="J35" i="1"/>
  <c r="CR35" i="1"/>
  <c r="DD35" i="1" s="1"/>
  <c r="CV35" i="1"/>
  <c r="DH35" i="1" s="1"/>
  <c r="CP35" i="1"/>
  <c r="CS35" i="1"/>
  <c r="DE35" i="1" s="1"/>
  <c r="CW35" i="1"/>
  <c r="DI35" i="1" s="1"/>
  <c r="CT35" i="1"/>
  <c r="DF35" i="1" s="1"/>
  <c r="CX35" i="1"/>
  <c r="DJ35" i="1" s="1"/>
  <c r="CY35" i="1"/>
  <c r="DK35" i="1" s="1"/>
  <c r="CQ35" i="1"/>
  <c r="DC35" i="1" s="1"/>
  <c r="CU35" i="1"/>
  <c r="DG35" i="1" s="1"/>
  <c r="EH35" i="1" l="1"/>
  <c r="EJ35" i="1"/>
  <c r="AB35" i="1"/>
  <c r="AC35" i="1" s="1"/>
  <c r="AY35" i="1" s="1"/>
  <c r="DT35" i="1" s="1"/>
  <c r="R35" i="1"/>
  <c r="ED35" i="1"/>
  <c r="EF35" i="1"/>
  <c r="DB35" i="1"/>
  <c r="CO35" i="1"/>
  <c r="EK35" i="1"/>
  <c r="EI35" i="1"/>
  <c r="EL35" i="1"/>
  <c r="EG35" i="1"/>
  <c r="EE35" i="1"/>
  <c r="AV35" i="1" l="1"/>
  <c r="DQ35" i="1" s="1"/>
  <c r="AX35" i="1"/>
  <c r="DS35" i="1" s="1"/>
  <c r="EQ35" i="1"/>
  <c r="EN35" i="1"/>
  <c r="EP35" i="1"/>
  <c r="ER35" i="1"/>
  <c r="EO35" i="1"/>
  <c r="AW35" i="1"/>
  <c r="DR35" i="1" s="1"/>
  <c r="AU35" i="1"/>
  <c r="DP35" i="1" s="1"/>
  <c r="AT35" i="1"/>
  <c r="DO35" i="1" s="1"/>
  <c r="BA35" i="1"/>
  <c r="DV35" i="1" s="1"/>
  <c r="AZ35" i="1"/>
  <c r="DU35" i="1" s="1"/>
  <c r="AS35" i="1"/>
  <c r="EX35" i="1" l="1"/>
  <c r="ET35" i="1"/>
  <c r="EV35" i="1"/>
  <c r="EW35" i="1"/>
  <c r="EU35" i="1"/>
  <c r="BB35" i="1"/>
  <c r="DN35" i="1"/>
  <c r="FB35" i="1" l="1"/>
  <c r="FF35" i="1"/>
  <c r="FC35" i="1"/>
  <c r="FG35" i="1"/>
  <c r="FJ35" i="1"/>
  <c r="FW35" i="1" s="1"/>
  <c r="BO35" i="1" s="1"/>
  <c r="N35" i="1" s="1"/>
  <c r="EZ35" i="1"/>
  <c r="FD35" i="1"/>
  <c r="FA35" i="1"/>
  <c r="FE35" i="1"/>
  <c r="FI35" i="1"/>
  <c r="FH35" i="1"/>
  <c r="FL35" i="1" l="1"/>
  <c r="FQ35" i="1" s="1"/>
  <c r="BI35" i="1" s="1"/>
  <c r="BV35" i="1" s="1"/>
  <c r="FO35" i="1" l="1"/>
  <c r="BG35" i="1" s="1"/>
  <c r="BT35" i="1" s="1"/>
  <c r="FU35" i="1"/>
  <c r="BM35" i="1" s="1"/>
  <c r="BZ35" i="1" s="1"/>
  <c r="FP35" i="1"/>
  <c r="BH35" i="1" s="1"/>
  <c r="BU35" i="1" s="1"/>
  <c r="FT35" i="1"/>
  <c r="BL35" i="1" s="1"/>
  <c r="BY35" i="1" s="1"/>
  <c r="FV35" i="1"/>
  <c r="BN35" i="1" s="1"/>
  <c r="CA35" i="1" s="1"/>
  <c r="FN35" i="1"/>
  <c r="BF35" i="1" s="1"/>
  <c r="BS35" i="1" s="1"/>
  <c r="FS35" i="1"/>
  <c r="BK35" i="1" s="1"/>
  <c r="BX35" i="1" s="1"/>
  <c r="FR35" i="1"/>
  <c r="BJ35" i="1" s="1"/>
  <c r="BW35" i="1" s="1"/>
  <c r="FM35" i="1"/>
  <c r="BE35" i="1" s="1"/>
  <c r="BR35" i="1" s="1"/>
  <c r="BQ35" i="1" l="1"/>
  <c r="CH35" i="1" s="1"/>
  <c r="CF35" i="1" l="1"/>
  <c r="CM35" i="1"/>
  <c r="DW35" i="1" s="1"/>
  <c r="DY35" i="1" s="1"/>
  <c r="E35" i="1" s="1"/>
  <c r="AL35" i="1" s="1"/>
  <c r="CL35" i="1"/>
  <c r="CE35" i="1"/>
  <c r="CK35" i="1"/>
  <c r="CG35" i="1"/>
  <c r="CI35" i="1"/>
  <c r="CD35" i="1"/>
  <c r="CJ35" i="1"/>
  <c r="AK35" i="1" l="1"/>
  <c r="AI35" i="1"/>
  <c r="AF35" i="1"/>
  <c r="AH35" i="1"/>
  <c r="AG35" i="1"/>
  <c r="AM35" i="1"/>
  <c r="AN35" i="1"/>
  <c r="M35" i="1"/>
  <c r="AJ35" i="1"/>
  <c r="AE35" i="1" l="1"/>
  <c r="G35" i="1" s="1"/>
  <c r="AO35" i="1"/>
  <c r="AP35" i="1" s="1"/>
  <c r="H35" i="1" s="1"/>
  <c r="K35" i="1" s="1"/>
  <c r="F35" i="1" l="1"/>
  <c r="O35" i="1" s="1"/>
  <c r="L35" i="1"/>
  <c r="B36" i="1"/>
  <c r="C36" i="1"/>
  <c r="I36" i="1"/>
  <c r="D36" i="1"/>
  <c r="P35" i="1" l="1"/>
  <c r="S36" i="1"/>
  <c r="W36" i="1"/>
  <c r="AA36" i="1"/>
  <c r="T36" i="1"/>
  <c r="X36" i="1"/>
  <c r="U36" i="1"/>
  <c r="Y36" i="1"/>
  <c r="V36" i="1"/>
  <c r="Z36" i="1"/>
  <c r="J36" i="1"/>
  <c r="CY36" i="1"/>
  <c r="CQ36" i="1"/>
  <c r="DC36" i="1" s="1"/>
  <c r="CU36" i="1"/>
  <c r="DG36" i="1" s="1"/>
  <c r="CR36" i="1"/>
  <c r="DD36" i="1" s="1"/>
  <c r="CV36" i="1"/>
  <c r="DH36" i="1" s="1"/>
  <c r="CS36" i="1"/>
  <c r="DE36" i="1" s="1"/>
  <c r="CW36" i="1"/>
  <c r="DI36" i="1" s="1"/>
  <c r="CP36" i="1"/>
  <c r="CT36" i="1"/>
  <c r="DF36" i="1" s="1"/>
  <c r="CX36" i="1"/>
  <c r="DJ36" i="1" s="1"/>
  <c r="DK36" i="1" l="1"/>
  <c r="EE36" i="1"/>
  <c r="CO36" i="1"/>
  <c r="DB36" i="1"/>
  <c r="EJ36" i="1"/>
  <c r="EL36" i="1"/>
  <c r="EK36" i="1"/>
  <c r="EF36" i="1"/>
  <c r="EH36" i="1"/>
  <c r="EG36" i="1"/>
  <c r="EI36" i="1"/>
  <c r="R36" i="1"/>
  <c r="AB36" i="1"/>
  <c r="AC36" i="1" s="1"/>
  <c r="AU36" i="1" s="1"/>
  <c r="DP36" i="1" s="1"/>
  <c r="ED36" i="1"/>
  <c r="BA36" i="1" l="1"/>
  <c r="DV36" i="1" s="1"/>
  <c r="AV36" i="1"/>
  <c r="DQ36" i="1" s="1"/>
  <c r="AY36" i="1"/>
  <c r="DT36" i="1" s="1"/>
  <c r="EQ36" i="1"/>
  <c r="EP36" i="1"/>
  <c r="EN36" i="1"/>
  <c r="EO36" i="1"/>
  <c r="ER36" i="1"/>
  <c r="AW36" i="1"/>
  <c r="DR36" i="1" s="1"/>
  <c r="AS36" i="1"/>
  <c r="AX36" i="1"/>
  <c r="DS36" i="1" s="1"/>
  <c r="AZ36" i="1"/>
  <c r="DU36" i="1" s="1"/>
  <c r="AT36" i="1"/>
  <c r="DO36" i="1" s="1"/>
  <c r="DN36" i="1" l="1"/>
  <c r="BB36" i="1"/>
  <c r="EX36" i="1"/>
  <c r="ET36" i="1"/>
  <c r="EW36" i="1"/>
  <c r="EU36" i="1"/>
  <c r="EV36" i="1"/>
  <c r="FA36" i="1" l="1"/>
  <c r="FE36" i="1"/>
  <c r="FI36" i="1"/>
  <c r="FB36" i="1"/>
  <c r="FF36" i="1"/>
  <c r="FC36" i="1"/>
  <c r="FG36" i="1"/>
  <c r="FJ36" i="1"/>
  <c r="FW36" i="1" s="1"/>
  <c r="BO36" i="1" s="1"/>
  <c r="N36" i="1" s="1"/>
  <c r="EZ36" i="1"/>
  <c r="FD36" i="1"/>
  <c r="FH36" i="1"/>
  <c r="FL36" i="1" l="1"/>
  <c r="FO36" i="1" s="1"/>
  <c r="BG36" i="1" s="1"/>
  <c r="BT36" i="1" s="1"/>
  <c r="FR36" i="1" l="1"/>
  <c r="BJ36" i="1" s="1"/>
  <c r="BW36" i="1" s="1"/>
  <c r="FU36" i="1"/>
  <c r="BM36" i="1" s="1"/>
  <c r="BZ36" i="1" s="1"/>
  <c r="FV36" i="1"/>
  <c r="BN36" i="1" s="1"/>
  <c r="CA36" i="1" s="1"/>
  <c r="FN36" i="1"/>
  <c r="BF36" i="1" s="1"/>
  <c r="BS36" i="1" s="1"/>
  <c r="FT36" i="1"/>
  <c r="BL36" i="1" s="1"/>
  <c r="BY36" i="1" s="1"/>
  <c r="FS36" i="1"/>
  <c r="BK36" i="1" s="1"/>
  <c r="BX36" i="1" s="1"/>
  <c r="FP36" i="1"/>
  <c r="BH36" i="1" s="1"/>
  <c r="BU36" i="1" s="1"/>
  <c r="FM36" i="1"/>
  <c r="BE36" i="1" s="1"/>
  <c r="BR36" i="1" s="1"/>
  <c r="FQ36" i="1"/>
  <c r="BI36" i="1" s="1"/>
  <c r="BV36" i="1" s="1"/>
  <c r="BQ36" i="1" l="1"/>
  <c r="CF36" i="1" s="1"/>
  <c r="CH36" i="1" l="1"/>
  <c r="CE36" i="1"/>
  <c r="CM36" i="1"/>
  <c r="DW36" i="1" s="1"/>
  <c r="DY36" i="1" s="1"/>
  <c r="E36" i="1" s="1"/>
  <c r="CJ36" i="1"/>
  <c r="CL36" i="1"/>
  <c r="CI36" i="1"/>
  <c r="CD36" i="1"/>
  <c r="CK36" i="1"/>
  <c r="CG36" i="1"/>
  <c r="AI36" i="1" l="1"/>
  <c r="AM36" i="1"/>
  <c r="AF36" i="1"/>
  <c r="AJ36" i="1"/>
  <c r="AN36" i="1"/>
  <c r="AG36" i="1"/>
  <c r="AK36" i="1"/>
  <c r="AH36" i="1"/>
  <c r="AL36" i="1"/>
  <c r="M36" i="1"/>
  <c r="AE36" i="1" l="1"/>
  <c r="G36" i="1" s="1"/>
  <c r="AO36" i="1"/>
  <c r="F36" i="1" l="1"/>
  <c r="AP36" i="1"/>
  <c r="H36" i="1" s="1"/>
  <c r="K36" i="1" s="1"/>
  <c r="L36" i="1" l="1"/>
  <c r="B37" i="1"/>
  <c r="C37" i="1"/>
  <c r="I37" i="1"/>
  <c r="D37" i="1"/>
  <c r="O36" i="1"/>
  <c r="P36" i="1" l="1"/>
  <c r="T37" i="1"/>
  <c r="X37" i="1"/>
  <c r="U37" i="1"/>
  <c r="Y37" i="1"/>
  <c r="V37" i="1"/>
  <c r="Z37" i="1"/>
  <c r="J37" i="1"/>
  <c r="S37" i="1"/>
  <c r="W37" i="1"/>
  <c r="AA37" i="1"/>
  <c r="CQ37" i="1"/>
  <c r="DC37" i="1" s="1"/>
  <c r="CU37" i="1"/>
  <c r="DG37" i="1" s="1"/>
  <c r="CR37" i="1"/>
  <c r="DD37" i="1" s="1"/>
  <c r="CV37" i="1"/>
  <c r="DH37" i="1" s="1"/>
  <c r="CS37" i="1"/>
  <c r="DE37" i="1" s="1"/>
  <c r="CW37" i="1"/>
  <c r="DI37" i="1" s="1"/>
  <c r="CY37" i="1"/>
  <c r="DK37" i="1" s="1"/>
  <c r="CP37" i="1"/>
  <c r="CT37" i="1"/>
  <c r="DF37" i="1" s="1"/>
  <c r="CX37" i="1"/>
  <c r="DJ37" i="1" s="1"/>
  <c r="EJ37" i="1" l="1"/>
  <c r="CO37" i="1"/>
  <c r="DB37" i="1"/>
  <c r="EL37" i="1"/>
  <c r="EK37" i="1"/>
  <c r="EF37" i="1"/>
  <c r="EH37" i="1"/>
  <c r="EG37" i="1"/>
  <c r="EI37" i="1"/>
  <c r="AB37" i="1"/>
  <c r="AC37" i="1" s="1"/>
  <c r="AW37" i="1" s="1"/>
  <c r="DR37" i="1" s="1"/>
  <c r="R37" i="1"/>
  <c r="ED37" i="1"/>
  <c r="EE37" i="1"/>
  <c r="AX37" i="1" l="1"/>
  <c r="DS37" i="1" s="1"/>
  <c r="AZ37" i="1"/>
  <c r="DU37" i="1" s="1"/>
  <c r="BA37" i="1"/>
  <c r="DV37" i="1" s="1"/>
  <c r="AV37" i="1"/>
  <c r="DQ37" i="1" s="1"/>
  <c r="AU37" i="1"/>
  <c r="DP37" i="1" s="1"/>
  <c r="AY37" i="1"/>
  <c r="DT37" i="1" s="1"/>
  <c r="AS37" i="1"/>
  <c r="AT37" i="1"/>
  <c r="DO37" i="1" s="1"/>
  <c r="EN37" i="1"/>
  <c r="EP37" i="1"/>
  <c r="EQ37" i="1"/>
  <c r="EO37" i="1"/>
  <c r="ER37" i="1"/>
  <c r="BB37" i="1" l="1"/>
  <c r="DN37" i="1"/>
  <c r="EX37" i="1"/>
  <c r="EU37" i="1"/>
  <c r="EW37" i="1"/>
  <c r="ET37" i="1"/>
  <c r="EV37" i="1"/>
  <c r="FB37" i="1" l="1"/>
  <c r="FF37" i="1"/>
  <c r="FC37" i="1"/>
  <c r="FG37" i="1"/>
  <c r="FJ37" i="1"/>
  <c r="FW37" i="1" s="1"/>
  <c r="BO37" i="1" s="1"/>
  <c r="N37" i="1" s="1"/>
  <c r="EZ37" i="1"/>
  <c r="FD37" i="1"/>
  <c r="FH37" i="1"/>
  <c r="FA37" i="1"/>
  <c r="FE37" i="1"/>
  <c r="FI37" i="1"/>
  <c r="FL37" i="1" l="1"/>
  <c r="FU37" i="1" s="1"/>
  <c r="BM37" i="1" s="1"/>
  <c r="BZ37" i="1" s="1"/>
  <c r="FQ37" i="1" l="1"/>
  <c r="BI37" i="1" s="1"/>
  <c r="BV37" i="1" s="1"/>
  <c r="FO37" i="1"/>
  <c r="BG37" i="1" s="1"/>
  <c r="BT37" i="1" s="1"/>
  <c r="FV37" i="1"/>
  <c r="BN37" i="1" s="1"/>
  <c r="CA37" i="1" s="1"/>
  <c r="FN37" i="1"/>
  <c r="BF37" i="1" s="1"/>
  <c r="BS37" i="1" s="1"/>
  <c r="FR37" i="1"/>
  <c r="BJ37" i="1" s="1"/>
  <c r="BW37" i="1" s="1"/>
  <c r="FT37" i="1"/>
  <c r="BL37" i="1" s="1"/>
  <c r="BY37" i="1" s="1"/>
  <c r="FM37" i="1"/>
  <c r="BE37" i="1" s="1"/>
  <c r="BR37" i="1" s="1"/>
  <c r="FS37" i="1"/>
  <c r="BK37" i="1" s="1"/>
  <c r="BX37" i="1" s="1"/>
  <c r="FP37" i="1"/>
  <c r="BH37" i="1" s="1"/>
  <c r="BU37" i="1" s="1"/>
  <c r="BQ37" i="1" l="1"/>
  <c r="CL37" i="1" s="1"/>
  <c r="CE37" i="1" l="1"/>
  <c r="CJ37" i="1"/>
  <c r="CI37" i="1"/>
  <c r="CK37" i="1"/>
  <c r="CG37" i="1"/>
  <c r="CF37" i="1"/>
  <c r="CH37" i="1"/>
  <c r="CM37" i="1"/>
  <c r="DW37" i="1" s="1"/>
  <c r="DY37" i="1" s="1"/>
  <c r="E37" i="1" s="1"/>
  <c r="AF37" i="1" s="1"/>
  <c r="CD37" i="1"/>
  <c r="AI37" i="1" l="1"/>
  <c r="AG37" i="1"/>
  <c r="AL37" i="1"/>
  <c r="AN37" i="1"/>
  <c r="M37" i="1"/>
  <c r="AH37" i="1"/>
  <c r="AJ37" i="1"/>
  <c r="AM37" i="1"/>
  <c r="AK37" i="1"/>
  <c r="AE37" i="1" l="1"/>
  <c r="G37" i="1" s="1"/>
  <c r="AO37" i="1"/>
  <c r="F37" i="1" s="1"/>
  <c r="AP37" i="1" l="1"/>
  <c r="H37" i="1" s="1"/>
  <c r="K37" i="1" s="1"/>
  <c r="C38" i="1" s="1"/>
  <c r="B38" i="1" l="1"/>
  <c r="O37" i="1"/>
  <c r="D38" i="1"/>
  <c r="U38" i="1" s="1"/>
  <c r="I38" i="1"/>
  <c r="L37" i="1"/>
  <c r="P37" i="1" l="1"/>
  <c r="CU38" i="1"/>
  <c r="DG38" i="1" s="1"/>
  <c r="CQ38" i="1"/>
  <c r="DC38" i="1" s="1"/>
  <c r="CT38" i="1"/>
  <c r="DF38" i="1" s="1"/>
  <c r="CR38" i="1"/>
  <c r="DD38" i="1" s="1"/>
  <c r="CW38" i="1"/>
  <c r="DI38" i="1" s="1"/>
  <c r="AA38" i="1"/>
  <c r="EL38" i="1" s="1"/>
  <c r="CV38" i="1"/>
  <c r="DH38" i="1" s="1"/>
  <c r="CX38" i="1"/>
  <c r="DJ38" i="1" s="1"/>
  <c r="Z38" i="1"/>
  <c r="EK38" i="1" s="1"/>
  <c r="S38" i="1"/>
  <c r="ED38" i="1" s="1"/>
  <c r="CY38" i="1"/>
  <c r="DK38" i="1" s="1"/>
  <c r="X38" i="1"/>
  <c r="EI38" i="1" s="1"/>
  <c r="Y38" i="1"/>
  <c r="EJ38" i="1" s="1"/>
  <c r="CS38" i="1"/>
  <c r="DE38" i="1" s="1"/>
  <c r="W38" i="1"/>
  <c r="EH38" i="1" s="1"/>
  <c r="V38" i="1"/>
  <c r="CP38" i="1"/>
  <c r="T38" i="1"/>
  <c r="J38" i="1"/>
  <c r="EF38" i="1"/>
  <c r="R38" i="1" l="1"/>
  <c r="EG38" i="1"/>
  <c r="CO38" i="1"/>
  <c r="AB38" i="1"/>
  <c r="AC38" i="1" s="1"/>
  <c r="AV38" i="1" s="1"/>
  <c r="DQ38" i="1" s="1"/>
  <c r="DB38" i="1"/>
  <c r="EE38" i="1"/>
  <c r="EQ38" i="1" l="1"/>
  <c r="EP38" i="1"/>
  <c r="EN38" i="1"/>
  <c r="EO38" i="1"/>
  <c r="ER38" i="1"/>
  <c r="AX38" i="1"/>
  <c r="DS38" i="1" s="1"/>
  <c r="AT38" i="1"/>
  <c r="DO38" i="1" s="1"/>
  <c r="AZ38" i="1"/>
  <c r="DU38" i="1" s="1"/>
  <c r="AW38" i="1"/>
  <c r="DR38" i="1" s="1"/>
  <c r="BA38" i="1"/>
  <c r="DV38" i="1" s="1"/>
  <c r="AU38" i="1"/>
  <c r="DP38" i="1" s="1"/>
  <c r="AS38" i="1"/>
  <c r="DN38" i="1" s="1"/>
  <c r="AY38" i="1"/>
  <c r="DT38" i="1" s="1"/>
  <c r="ET38" i="1" l="1"/>
  <c r="EU38" i="1"/>
  <c r="EW38" i="1"/>
  <c r="EV38" i="1"/>
  <c r="EX38" i="1"/>
  <c r="BB38" i="1"/>
  <c r="EZ38" i="1" l="1"/>
  <c r="FH38" i="1"/>
  <c r="FF38" i="1"/>
  <c r="FE38" i="1"/>
  <c r="FB38" i="1"/>
  <c r="FJ38" i="1"/>
  <c r="FW38" i="1" s="1"/>
  <c r="BO38" i="1" s="1"/>
  <c r="N38" i="1" s="1"/>
  <c r="FA38" i="1"/>
  <c r="FI38" i="1"/>
  <c r="FD38" i="1"/>
  <c r="FG38" i="1"/>
  <c r="FC38" i="1"/>
  <c r="FL38" i="1" l="1"/>
  <c r="FS38" i="1" s="1"/>
  <c r="BK38" i="1" s="1"/>
  <c r="BX38" i="1" s="1"/>
  <c r="FV38" i="1" l="1"/>
  <c r="BN38" i="1" s="1"/>
  <c r="CA38" i="1" s="1"/>
  <c r="FR38" i="1"/>
  <c r="BJ38" i="1" s="1"/>
  <c r="BW38" i="1" s="1"/>
  <c r="FQ38" i="1"/>
  <c r="BI38" i="1" s="1"/>
  <c r="BV38" i="1" s="1"/>
  <c r="FO38" i="1"/>
  <c r="BG38" i="1" s="1"/>
  <c r="BT38" i="1" s="1"/>
  <c r="FU38" i="1"/>
  <c r="BM38" i="1" s="1"/>
  <c r="BZ38" i="1" s="1"/>
  <c r="FM38" i="1"/>
  <c r="BE38" i="1" s="1"/>
  <c r="BR38" i="1" s="1"/>
  <c r="FN38" i="1"/>
  <c r="BF38" i="1" s="1"/>
  <c r="BS38" i="1" s="1"/>
  <c r="FP38" i="1"/>
  <c r="BH38" i="1" s="1"/>
  <c r="BU38" i="1" s="1"/>
  <c r="FT38" i="1"/>
  <c r="BL38" i="1" s="1"/>
  <c r="BY38" i="1" s="1"/>
  <c r="BQ38" i="1" l="1"/>
  <c r="CJ38" i="1" s="1"/>
  <c r="CF38" i="1" l="1"/>
  <c r="CL38" i="1"/>
  <c r="CG38" i="1"/>
  <c r="CD38" i="1"/>
  <c r="CE38" i="1"/>
  <c r="CM38" i="1"/>
  <c r="DW38" i="1" s="1"/>
  <c r="DY38" i="1" s="1"/>
  <c r="E38" i="1" s="1"/>
  <c r="AH38" i="1" s="1"/>
  <c r="CK38" i="1"/>
  <c r="CI38" i="1"/>
  <c r="CH38" i="1"/>
  <c r="M38" i="1" l="1"/>
  <c r="AN38" i="1"/>
  <c r="AM38" i="1"/>
  <c r="AK38" i="1"/>
  <c r="AI38" i="1"/>
  <c r="AG38" i="1"/>
  <c r="AJ38" i="1"/>
  <c r="AL38" i="1"/>
  <c r="AF38" i="1"/>
  <c r="AO38" i="1" l="1"/>
  <c r="AP38" i="1" s="1"/>
  <c r="H38" i="1" s="1"/>
  <c r="K38" i="1" s="1"/>
  <c r="AE38" i="1"/>
  <c r="G38" i="1" s="1"/>
  <c r="F38" i="1" l="1"/>
  <c r="O38" i="1" s="1"/>
  <c r="D39" i="1"/>
  <c r="L38" i="1"/>
  <c r="I39" i="1"/>
  <c r="B39" i="1"/>
  <c r="C39" i="1"/>
  <c r="P38" i="1" l="1"/>
  <c r="CT39" i="1"/>
  <c r="DF39" i="1" s="1"/>
  <c r="CX39" i="1"/>
  <c r="DJ39" i="1" s="1"/>
  <c r="CY39" i="1"/>
  <c r="DK39" i="1" s="1"/>
  <c r="CQ39" i="1"/>
  <c r="DC39" i="1" s="1"/>
  <c r="CU39" i="1"/>
  <c r="DG39" i="1" s="1"/>
  <c r="CR39" i="1"/>
  <c r="DD39" i="1" s="1"/>
  <c r="CV39" i="1"/>
  <c r="DH39" i="1" s="1"/>
  <c r="CP39" i="1"/>
  <c r="CS39" i="1"/>
  <c r="DE39" i="1" s="1"/>
  <c r="CW39" i="1"/>
  <c r="DI39" i="1" s="1"/>
  <c r="V39" i="1"/>
  <c r="Z39" i="1"/>
  <c r="J39" i="1"/>
  <c r="S39" i="1"/>
  <c r="W39" i="1"/>
  <c r="AA39" i="1"/>
  <c r="T39" i="1"/>
  <c r="X39" i="1"/>
  <c r="U39" i="1"/>
  <c r="Y39" i="1"/>
  <c r="EJ39" i="1" l="1"/>
  <c r="EL39" i="1"/>
  <c r="EK39" i="1"/>
  <c r="DB39" i="1"/>
  <c r="CO39" i="1"/>
  <c r="EH39" i="1"/>
  <c r="EG39" i="1"/>
  <c r="EF39" i="1"/>
  <c r="EI39" i="1"/>
  <c r="ED39" i="1"/>
  <c r="R39" i="1"/>
  <c r="AB39" i="1"/>
  <c r="AC39" i="1" s="1"/>
  <c r="AY39" i="1" s="1"/>
  <c r="DT39" i="1" s="1"/>
  <c r="EE39" i="1"/>
  <c r="AX39" i="1" l="1"/>
  <c r="DS39" i="1" s="1"/>
  <c r="AV39" i="1"/>
  <c r="DQ39" i="1" s="1"/>
  <c r="BA39" i="1"/>
  <c r="DV39" i="1" s="1"/>
  <c r="EQ39" i="1"/>
  <c r="EP39" i="1"/>
  <c r="EO39" i="1"/>
  <c r="ER39" i="1"/>
  <c r="EN39" i="1"/>
  <c r="AT39" i="1"/>
  <c r="DO39" i="1" s="1"/>
  <c r="AS39" i="1"/>
  <c r="AU39" i="1"/>
  <c r="DP39" i="1" s="1"/>
  <c r="AW39" i="1"/>
  <c r="DR39" i="1" s="1"/>
  <c r="AZ39" i="1"/>
  <c r="DU39" i="1" s="1"/>
  <c r="EU39" i="1" l="1"/>
  <c r="EV39" i="1"/>
  <c r="EX39" i="1"/>
  <c r="ET39" i="1"/>
  <c r="EW39" i="1"/>
  <c r="DN39" i="1"/>
  <c r="BB39" i="1"/>
  <c r="FJ39" i="1" l="1"/>
  <c r="FW39" i="1" s="1"/>
  <c r="BO39" i="1" s="1"/>
  <c r="N39" i="1" s="1"/>
  <c r="EZ39" i="1"/>
  <c r="FD39" i="1"/>
  <c r="FH39" i="1"/>
  <c r="FA39" i="1"/>
  <c r="FE39" i="1"/>
  <c r="FI39" i="1"/>
  <c r="FB39" i="1"/>
  <c r="FF39" i="1"/>
  <c r="FC39" i="1"/>
  <c r="FG39" i="1"/>
  <c r="FL39" i="1" l="1"/>
  <c r="FO39" i="1" s="1"/>
  <c r="BG39" i="1" s="1"/>
  <c r="BT39" i="1" s="1"/>
  <c r="FR39" i="1" l="1"/>
  <c r="BJ39" i="1" s="1"/>
  <c r="BW39" i="1" s="1"/>
  <c r="FM39" i="1"/>
  <c r="BE39" i="1" s="1"/>
  <c r="BR39" i="1" s="1"/>
  <c r="FN39" i="1"/>
  <c r="BF39" i="1" s="1"/>
  <c r="BS39" i="1" s="1"/>
  <c r="FS39" i="1"/>
  <c r="BK39" i="1" s="1"/>
  <c r="BX39" i="1" s="1"/>
  <c r="FV39" i="1"/>
  <c r="BN39" i="1" s="1"/>
  <c r="CA39" i="1" s="1"/>
  <c r="FT39" i="1"/>
  <c r="BL39" i="1" s="1"/>
  <c r="BY39" i="1" s="1"/>
  <c r="FP39" i="1"/>
  <c r="BH39" i="1" s="1"/>
  <c r="BU39" i="1" s="1"/>
  <c r="FU39" i="1"/>
  <c r="BM39" i="1" s="1"/>
  <c r="BZ39" i="1" s="1"/>
  <c r="FQ39" i="1"/>
  <c r="BI39" i="1" s="1"/>
  <c r="BV39" i="1" s="1"/>
  <c r="BQ39" i="1" l="1"/>
  <c r="CF39" i="1" l="1"/>
  <c r="CK39" i="1"/>
  <c r="CE39" i="1"/>
  <c r="CJ39" i="1"/>
  <c r="CI39" i="1"/>
  <c r="CM39" i="1"/>
  <c r="DW39" i="1" s="1"/>
  <c r="DY39" i="1" s="1"/>
  <c r="E39" i="1" s="1"/>
  <c r="CD39" i="1"/>
  <c r="CH39" i="1"/>
  <c r="CG39" i="1"/>
  <c r="CL39" i="1"/>
  <c r="AH39" i="1" l="1"/>
  <c r="AL39" i="1"/>
  <c r="AI39" i="1"/>
  <c r="AM39" i="1"/>
  <c r="AG39" i="1"/>
  <c r="AJ39" i="1"/>
  <c r="AK39" i="1"/>
  <c r="AF39" i="1"/>
  <c r="AN39" i="1"/>
  <c r="M39" i="1"/>
  <c r="AO39" i="1" l="1"/>
  <c r="AE39" i="1"/>
  <c r="G39" i="1" s="1"/>
  <c r="AP39" i="1" l="1"/>
  <c r="H39" i="1" s="1"/>
  <c r="K39" i="1" s="1"/>
  <c r="F39" i="1"/>
  <c r="C40" i="1" l="1"/>
  <c r="I40" i="1"/>
  <c r="O39" i="1"/>
  <c r="D40" i="1"/>
  <c r="L39" i="1"/>
  <c r="B40" i="1"/>
  <c r="P39" i="1" l="1"/>
  <c r="S40" i="1"/>
  <c r="W40" i="1"/>
  <c r="AA40" i="1"/>
  <c r="T40" i="1"/>
  <c r="X40" i="1"/>
  <c r="V40" i="1"/>
  <c r="Y40" i="1"/>
  <c r="J40" i="1"/>
  <c r="Z40" i="1"/>
  <c r="U40" i="1"/>
  <c r="CP40" i="1"/>
  <c r="CS40" i="1"/>
  <c r="DE40" i="1" s="1"/>
  <c r="CW40" i="1"/>
  <c r="DI40" i="1" s="1"/>
  <c r="CT40" i="1"/>
  <c r="DF40" i="1" s="1"/>
  <c r="CX40" i="1"/>
  <c r="DJ40" i="1" s="1"/>
  <c r="CY40" i="1"/>
  <c r="DK40" i="1" s="1"/>
  <c r="CQ40" i="1"/>
  <c r="DC40" i="1" s="1"/>
  <c r="CU40" i="1"/>
  <c r="DG40" i="1" s="1"/>
  <c r="CR40" i="1"/>
  <c r="DD40" i="1" s="1"/>
  <c r="CV40" i="1"/>
  <c r="DH40" i="1" s="1"/>
  <c r="DB40" i="1" l="1"/>
  <c r="CO40" i="1"/>
  <c r="EJ40" i="1"/>
  <c r="EE40" i="1"/>
  <c r="EF40" i="1"/>
  <c r="EL40" i="1"/>
  <c r="EK40" i="1"/>
  <c r="EG40" i="1"/>
  <c r="EH40" i="1"/>
  <c r="EI40" i="1"/>
  <c r="AB40" i="1"/>
  <c r="AC40" i="1" s="1"/>
  <c r="AU40" i="1" s="1"/>
  <c r="DP40" i="1" s="1"/>
  <c r="R40" i="1"/>
  <c r="ED40" i="1"/>
  <c r="AW40" i="1" l="1"/>
  <c r="DR40" i="1" s="1"/>
  <c r="AZ40" i="1"/>
  <c r="DU40" i="1" s="1"/>
  <c r="AY40" i="1"/>
  <c r="DT40" i="1" s="1"/>
  <c r="EN40" i="1"/>
  <c r="EQ40" i="1"/>
  <c r="EO40" i="1"/>
  <c r="ER40" i="1"/>
  <c r="EP40" i="1"/>
  <c r="AX40" i="1"/>
  <c r="DS40" i="1" s="1"/>
  <c r="AV40" i="1"/>
  <c r="DQ40" i="1" s="1"/>
  <c r="BA40" i="1"/>
  <c r="DV40" i="1" s="1"/>
  <c r="AT40" i="1"/>
  <c r="DO40" i="1" s="1"/>
  <c r="AS40" i="1"/>
  <c r="EU40" i="1" l="1"/>
  <c r="EX40" i="1"/>
  <c r="EV40" i="1"/>
  <c r="EW40" i="1"/>
  <c r="ET40" i="1"/>
  <c r="DN40" i="1"/>
  <c r="BB40" i="1"/>
  <c r="FC40" i="1" l="1"/>
  <c r="FG40" i="1"/>
  <c r="FJ40" i="1"/>
  <c r="FW40" i="1" s="1"/>
  <c r="BO40" i="1" s="1"/>
  <c r="N40" i="1" s="1"/>
  <c r="EZ40" i="1"/>
  <c r="FD40" i="1"/>
  <c r="FH40" i="1"/>
  <c r="FA40" i="1"/>
  <c r="FE40" i="1"/>
  <c r="FI40" i="1"/>
  <c r="FB40" i="1"/>
  <c r="FF40" i="1"/>
  <c r="FL40" i="1" l="1"/>
  <c r="FO40" i="1" s="1"/>
  <c r="BG40" i="1" s="1"/>
  <c r="BT40" i="1" s="1"/>
  <c r="FQ40" i="1" l="1"/>
  <c r="BI40" i="1" s="1"/>
  <c r="BV40" i="1" s="1"/>
  <c r="FR40" i="1"/>
  <c r="BJ40" i="1" s="1"/>
  <c r="BW40" i="1" s="1"/>
  <c r="FV40" i="1"/>
  <c r="BN40" i="1" s="1"/>
  <c r="CA40" i="1" s="1"/>
  <c r="FU40" i="1"/>
  <c r="BM40" i="1" s="1"/>
  <c r="BZ40" i="1" s="1"/>
  <c r="FN40" i="1"/>
  <c r="BF40" i="1" s="1"/>
  <c r="BS40" i="1" s="1"/>
  <c r="FT40" i="1"/>
  <c r="BL40" i="1" s="1"/>
  <c r="BY40" i="1" s="1"/>
  <c r="FS40" i="1"/>
  <c r="BK40" i="1" s="1"/>
  <c r="BX40" i="1" s="1"/>
  <c r="FM40" i="1"/>
  <c r="BE40" i="1" s="1"/>
  <c r="BR40" i="1" s="1"/>
  <c r="FP40" i="1"/>
  <c r="BH40" i="1" s="1"/>
  <c r="BU40" i="1" s="1"/>
  <c r="BQ40" i="1" l="1"/>
  <c r="CF40" i="1" s="1"/>
  <c r="CD40" i="1" l="1"/>
  <c r="CK40" i="1"/>
  <c r="CG40" i="1"/>
  <c r="CI40" i="1"/>
  <c r="CL40" i="1"/>
  <c r="CH40" i="1"/>
  <c r="CM40" i="1"/>
  <c r="DW40" i="1" s="1"/>
  <c r="DY40" i="1" s="1"/>
  <c r="E40" i="1" s="1"/>
  <c r="CE40" i="1"/>
  <c r="CJ40" i="1"/>
  <c r="AG40" i="1" l="1"/>
  <c r="AK40" i="1"/>
  <c r="AH40" i="1"/>
  <c r="AL40" i="1"/>
  <c r="AI40" i="1"/>
  <c r="AM40" i="1"/>
  <c r="AF40" i="1"/>
  <c r="AJ40" i="1"/>
  <c r="AN40" i="1"/>
  <c r="M40" i="1"/>
  <c r="AO40" i="1" l="1"/>
  <c r="AE40" i="1"/>
  <c r="G40" i="1" s="1"/>
  <c r="AP40" i="1" l="1"/>
  <c r="H40" i="1" s="1"/>
  <c r="K40" i="1" s="1"/>
  <c r="F40" i="1"/>
  <c r="D41" i="1" l="1"/>
  <c r="O40" i="1"/>
  <c r="L40" i="1"/>
  <c r="P40" i="1" s="1"/>
  <c r="B41" i="1"/>
  <c r="C41" i="1"/>
  <c r="I41" i="1"/>
  <c r="CQ41" i="1" l="1"/>
  <c r="DC41" i="1" s="1"/>
  <c r="CU41" i="1"/>
  <c r="DG41" i="1" s="1"/>
  <c r="CY41" i="1"/>
  <c r="DK41" i="1" s="1"/>
  <c r="CR41" i="1"/>
  <c r="DD41" i="1" s="1"/>
  <c r="CV41" i="1"/>
  <c r="DH41" i="1" s="1"/>
  <c r="CP41" i="1"/>
  <c r="CS41" i="1"/>
  <c r="DE41" i="1" s="1"/>
  <c r="CW41" i="1"/>
  <c r="DI41" i="1" s="1"/>
  <c r="CT41" i="1"/>
  <c r="DF41" i="1" s="1"/>
  <c r="CX41" i="1"/>
  <c r="DJ41" i="1" s="1"/>
  <c r="V41" i="1"/>
  <c r="Z41" i="1"/>
  <c r="J41" i="1"/>
  <c r="S41" i="1"/>
  <c r="W41" i="1"/>
  <c r="AA41" i="1"/>
  <c r="T41" i="1"/>
  <c r="X41" i="1"/>
  <c r="U41" i="1"/>
  <c r="Y41" i="1"/>
  <c r="EJ41" i="1" l="1"/>
  <c r="EL41" i="1"/>
  <c r="EK41" i="1"/>
  <c r="EF41" i="1"/>
  <c r="EH41" i="1"/>
  <c r="EG41" i="1"/>
  <c r="EI41" i="1"/>
  <c r="CO41" i="1"/>
  <c r="DB41" i="1"/>
  <c r="R41" i="1"/>
  <c r="AB41" i="1"/>
  <c r="AC41" i="1" s="1"/>
  <c r="AY41" i="1" s="1"/>
  <c r="DT41" i="1" s="1"/>
  <c r="ED41" i="1"/>
  <c r="EE41" i="1"/>
  <c r="AV41" i="1" l="1"/>
  <c r="DQ41" i="1" s="1"/>
  <c r="AU41" i="1"/>
  <c r="DP41" i="1" s="1"/>
  <c r="BA41" i="1"/>
  <c r="DV41" i="1" s="1"/>
  <c r="AZ41" i="1"/>
  <c r="DU41" i="1" s="1"/>
  <c r="AX41" i="1"/>
  <c r="DS41" i="1" s="1"/>
  <c r="AT41" i="1"/>
  <c r="DO41" i="1" s="1"/>
  <c r="AS41" i="1"/>
  <c r="AW41" i="1"/>
  <c r="DR41" i="1" s="1"/>
  <c r="EQ41" i="1"/>
  <c r="EO41" i="1"/>
  <c r="EN41" i="1"/>
  <c r="ER41" i="1"/>
  <c r="EP41" i="1"/>
  <c r="EW41" i="1" l="1"/>
  <c r="EU41" i="1"/>
  <c r="ET41" i="1"/>
  <c r="EX41" i="1"/>
  <c r="EV41" i="1"/>
  <c r="DN41" i="1"/>
  <c r="BB41" i="1"/>
  <c r="FJ41" i="1" l="1"/>
  <c r="FW41" i="1" s="1"/>
  <c r="BO41" i="1" s="1"/>
  <c r="N41" i="1" s="1"/>
  <c r="EZ41" i="1"/>
  <c r="FD41" i="1"/>
  <c r="FH41" i="1"/>
  <c r="FA41" i="1"/>
  <c r="FE41" i="1"/>
  <c r="FI41" i="1"/>
  <c r="FB41" i="1"/>
  <c r="FF41" i="1"/>
  <c r="FC41" i="1"/>
  <c r="FG41" i="1"/>
  <c r="FL41" i="1" l="1"/>
  <c r="FT41" i="1" s="1"/>
  <c r="BL41" i="1" s="1"/>
  <c r="BY41" i="1" s="1"/>
  <c r="FS41" i="1" l="1"/>
  <c r="BK41" i="1" s="1"/>
  <c r="BX41" i="1" s="1"/>
  <c r="FQ41" i="1"/>
  <c r="BI41" i="1" s="1"/>
  <c r="BV41" i="1" s="1"/>
  <c r="FV41" i="1"/>
  <c r="BN41" i="1" s="1"/>
  <c r="CA41" i="1" s="1"/>
  <c r="FP41" i="1"/>
  <c r="BH41" i="1" s="1"/>
  <c r="BU41" i="1" s="1"/>
  <c r="FU41" i="1"/>
  <c r="BM41" i="1" s="1"/>
  <c r="BZ41" i="1" s="1"/>
  <c r="FM41" i="1"/>
  <c r="BE41" i="1" s="1"/>
  <c r="BR41" i="1" s="1"/>
  <c r="FO41" i="1"/>
  <c r="BG41" i="1" s="1"/>
  <c r="BT41" i="1" s="1"/>
  <c r="FN41" i="1"/>
  <c r="BF41" i="1" s="1"/>
  <c r="BS41" i="1" s="1"/>
  <c r="FR41" i="1"/>
  <c r="BJ41" i="1" s="1"/>
  <c r="BW41" i="1" s="1"/>
  <c r="BQ41" i="1" l="1"/>
  <c r="CK41" i="1" s="1"/>
  <c r="CI41" i="1" l="1"/>
  <c r="CD41" i="1"/>
  <c r="CJ41" i="1"/>
  <c r="CG41" i="1"/>
  <c r="CL41" i="1"/>
  <c r="CM41" i="1"/>
  <c r="DW41" i="1" s="1"/>
  <c r="DY41" i="1" s="1"/>
  <c r="E41" i="1" s="1"/>
  <c r="CE41" i="1"/>
  <c r="CH41" i="1"/>
  <c r="CF41" i="1"/>
  <c r="AH41" i="1" l="1"/>
  <c r="AL41" i="1"/>
  <c r="AI41" i="1"/>
  <c r="AM41" i="1"/>
  <c r="AF41" i="1"/>
  <c r="AJ41" i="1"/>
  <c r="AN41" i="1"/>
  <c r="AG41" i="1"/>
  <c r="AK41" i="1"/>
  <c r="M41" i="1"/>
  <c r="AE41" i="1" l="1"/>
  <c r="G41" i="1" s="1"/>
  <c r="AO41" i="1"/>
  <c r="AP41" i="1" l="1"/>
  <c r="H41" i="1" s="1"/>
  <c r="K41" i="1" s="1"/>
  <c r="F41" i="1"/>
  <c r="L41" i="1" l="1"/>
  <c r="B42" i="1"/>
  <c r="C42" i="1"/>
  <c r="I42" i="1"/>
  <c r="D42" i="1"/>
  <c r="O41" i="1"/>
  <c r="P41" i="1" l="1"/>
  <c r="S42" i="1"/>
  <c r="W42" i="1"/>
  <c r="AA42" i="1"/>
  <c r="T42" i="1"/>
  <c r="X42" i="1"/>
  <c r="U42" i="1"/>
  <c r="Y42" i="1"/>
  <c r="V42" i="1"/>
  <c r="Z42" i="1"/>
  <c r="J42" i="1"/>
  <c r="CY42" i="1"/>
  <c r="CR42" i="1"/>
  <c r="DD42" i="1" s="1"/>
  <c r="CV42" i="1"/>
  <c r="DH42" i="1" s="1"/>
  <c r="CP42" i="1"/>
  <c r="CS42" i="1"/>
  <c r="DE42" i="1" s="1"/>
  <c r="CW42" i="1"/>
  <c r="DI42" i="1" s="1"/>
  <c r="CT42" i="1"/>
  <c r="DF42" i="1" s="1"/>
  <c r="CX42" i="1"/>
  <c r="DJ42" i="1" s="1"/>
  <c r="CQ42" i="1"/>
  <c r="DC42" i="1" s="1"/>
  <c r="CU42" i="1"/>
  <c r="DG42" i="1" s="1"/>
  <c r="DK42" i="1" l="1"/>
  <c r="EE42" i="1"/>
  <c r="DB42" i="1"/>
  <c r="CO42" i="1"/>
  <c r="EJ42" i="1"/>
  <c r="EL42" i="1"/>
  <c r="EK42" i="1"/>
  <c r="EF42" i="1"/>
  <c r="EH42" i="1"/>
  <c r="EG42" i="1"/>
  <c r="EI42" i="1"/>
  <c r="ED42" i="1"/>
  <c r="AB42" i="1"/>
  <c r="AC42" i="1" s="1"/>
  <c r="BA42" i="1" s="1"/>
  <c r="DV42" i="1" s="1"/>
  <c r="R42" i="1"/>
  <c r="EQ42" i="1" l="1"/>
  <c r="EO42" i="1"/>
  <c r="EP42" i="1"/>
  <c r="EN42" i="1"/>
  <c r="ER42" i="1"/>
  <c r="AS42" i="1"/>
  <c r="AX42" i="1"/>
  <c r="DS42" i="1" s="1"/>
  <c r="AW42" i="1"/>
  <c r="DR42" i="1" s="1"/>
  <c r="AZ42" i="1"/>
  <c r="DU42" i="1" s="1"/>
  <c r="AY42" i="1"/>
  <c r="DT42" i="1" s="1"/>
  <c r="AT42" i="1"/>
  <c r="DO42" i="1" s="1"/>
  <c r="AV42" i="1"/>
  <c r="DQ42" i="1" s="1"/>
  <c r="AU42" i="1"/>
  <c r="DP42" i="1" s="1"/>
  <c r="EV42" i="1" l="1"/>
  <c r="EU42" i="1"/>
  <c r="EW42" i="1"/>
  <c r="EX42" i="1"/>
  <c r="ET42" i="1"/>
  <c r="DN42" i="1"/>
  <c r="BB42" i="1"/>
  <c r="FA42" i="1" l="1"/>
  <c r="FE42" i="1"/>
  <c r="FI42" i="1"/>
  <c r="FB42" i="1"/>
  <c r="FF42" i="1"/>
  <c r="FC42" i="1"/>
  <c r="FG42" i="1"/>
  <c r="FJ42" i="1"/>
  <c r="FW42" i="1" s="1"/>
  <c r="BO42" i="1" s="1"/>
  <c r="N42" i="1" s="1"/>
  <c r="EZ42" i="1"/>
  <c r="FD42" i="1"/>
  <c r="FH42" i="1"/>
  <c r="FL42" i="1" l="1"/>
  <c r="FO42" i="1" s="1"/>
  <c r="BG42" i="1" s="1"/>
  <c r="BT42" i="1" s="1"/>
  <c r="FV42" i="1" l="1"/>
  <c r="BN42" i="1" s="1"/>
  <c r="CA42" i="1" s="1"/>
  <c r="FT42" i="1"/>
  <c r="BL42" i="1" s="1"/>
  <c r="BY42" i="1" s="1"/>
  <c r="FN42" i="1"/>
  <c r="BF42" i="1" s="1"/>
  <c r="BS42" i="1" s="1"/>
  <c r="FR42" i="1"/>
  <c r="BJ42" i="1" s="1"/>
  <c r="BW42" i="1" s="1"/>
  <c r="FS42" i="1"/>
  <c r="BK42" i="1" s="1"/>
  <c r="BX42" i="1" s="1"/>
  <c r="FP42" i="1"/>
  <c r="BH42" i="1" s="1"/>
  <c r="BU42" i="1" s="1"/>
  <c r="FU42" i="1"/>
  <c r="BM42" i="1" s="1"/>
  <c r="BZ42" i="1" s="1"/>
  <c r="FM42" i="1"/>
  <c r="BE42" i="1" s="1"/>
  <c r="BR42" i="1" s="1"/>
  <c r="FQ42" i="1"/>
  <c r="BI42" i="1" s="1"/>
  <c r="BV42" i="1" s="1"/>
  <c r="BQ42" i="1" l="1"/>
  <c r="CF42" i="1" s="1"/>
  <c r="CG42" i="1" l="1"/>
  <c r="CK42" i="1"/>
  <c r="CM42" i="1"/>
  <c r="DW42" i="1" s="1"/>
  <c r="DY42" i="1" s="1"/>
  <c r="E42" i="1" s="1"/>
  <c r="CE42" i="1"/>
  <c r="CH42" i="1"/>
  <c r="CI42" i="1"/>
  <c r="CD42" i="1"/>
  <c r="CJ42" i="1"/>
  <c r="CL42" i="1"/>
  <c r="AI42" i="1" l="1"/>
  <c r="AM42" i="1"/>
  <c r="AF42" i="1"/>
  <c r="AJ42" i="1"/>
  <c r="AN42" i="1"/>
  <c r="AG42" i="1"/>
  <c r="AK42" i="1"/>
  <c r="AH42" i="1"/>
  <c r="AL42" i="1"/>
  <c r="M42" i="1"/>
  <c r="AE42" i="1" l="1"/>
  <c r="G42" i="1" s="1"/>
  <c r="AO42" i="1"/>
  <c r="F42" i="1" l="1"/>
  <c r="AP42" i="1"/>
  <c r="H42" i="1" s="1"/>
  <c r="K42" i="1" s="1"/>
  <c r="L42" i="1" l="1"/>
  <c r="B43" i="1"/>
  <c r="C43" i="1"/>
  <c r="I43" i="1"/>
  <c r="D43" i="1"/>
  <c r="O42" i="1"/>
  <c r="P42" i="1" l="1"/>
  <c r="T43" i="1"/>
  <c r="X43" i="1"/>
  <c r="U43" i="1"/>
  <c r="Y43" i="1"/>
  <c r="V43" i="1"/>
  <c r="Z43" i="1"/>
  <c r="J43" i="1"/>
  <c r="S43" i="1"/>
  <c r="W43" i="1"/>
  <c r="AA43" i="1"/>
  <c r="CP43" i="1"/>
  <c r="CS43" i="1"/>
  <c r="DE43" i="1" s="1"/>
  <c r="CW43" i="1"/>
  <c r="DI43" i="1" s="1"/>
  <c r="CT43" i="1"/>
  <c r="DF43" i="1" s="1"/>
  <c r="CX43" i="1"/>
  <c r="DJ43" i="1" s="1"/>
  <c r="CQ43" i="1"/>
  <c r="DC43" i="1" s="1"/>
  <c r="CU43" i="1"/>
  <c r="DG43" i="1" s="1"/>
  <c r="CY43" i="1"/>
  <c r="CR43" i="1"/>
  <c r="DD43" i="1" s="1"/>
  <c r="CV43" i="1"/>
  <c r="DH43" i="1" s="1"/>
  <c r="DK43" i="1" l="1"/>
  <c r="DB43" i="1"/>
  <c r="CO43" i="1"/>
  <c r="AB43" i="1"/>
  <c r="AC43" i="1" s="1"/>
  <c r="AS43" i="1" s="1"/>
  <c r="R43" i="1"/>
  <c r="ED43" i="1"/>
  <c r="EJ43" i="1"/>
  <c r="EF43" i="1"/>
  <c r="EL43" i="1"/>
  <c r="EK43" i="1"/>
  <c r="EI43" i="1"/>
  <c r="EH43" i="1"/>
  <c r="EG43" i="1"/>
  <c r="EE43" i="1"/>
  <c r="DN43" i="1" l="1"/>
  <c r="BA43" i="1"/>
  <c r="DV43" i="1" s="1"/>
  <c r="AV43" i="1"/>
  <c r="DQ43" i="1" s="1"/>
  <c r="AU43" i="1"/>
  <c r="DP43" i="1" s="1"/>
  <c r="AX43" i="1"/>
  <c r="DS43" i="1" s="1"/>
  <c r="AY43" i="1"/>
  <c r="DT43" i="1" s="1"/>
  <c r="ER43" i="1"/>
  <c r="EN43" i="1"/>
  <c r="EP43" i="1"/>
  <c r="EO43" i="1"/>
  <c r="EQ43" i="1"/>
  <c r="AT43" i="1"/>
  <c r="DO43" i="1" s="1"/>
  <c r="AW43" i="1"/>
  <c r="DR43" i="1" s="1"/>
  <c r="AZ43" i="1"/>
  <c r="DU43" i="1" s="1"/>
  <c r="EW43" i="1" l="1"/>
  <c r="EX43" i="1"/>
  <c r="EU43" i="1"/>
  <c r="ET43" i="1"/>
  <c r="EV43" i="1"/>
  <c r="BB43" i="1"/>
  <c r="FB43" i="1" l="1"/>
  <c r="FF43" i="1"/>
  <c r="FC43" i="1"/>
  <c r="FG43" i="1"/>
  <c r="FJ43" i="1"/>
  <c r="FW43" i="1" s="1"/>
  <c r="BO43" i="1" s="1"/>
  <c r="N43" i="1" s="1"/>
  <c r="EZ43" i="1"/>
  <c r="FD43" i="1"/>
  <c r="FH43" i="1"/>
  <c r="FA43" i="1"/>
  <c r="FE43" i="1"/>
  <c r="FI43" i="1"/>
  <c r="FL43" i="1" l="1"/>
  <c r="FV43" i="1" s="1"/>
  <c r="BN43" i="1" s="1"/>
  <c r="CA43" i="1" s="1"/>
  <c r="FN43" i="1" l="1"/>
  <c r="BF43" i="1" s="1"/>
  <c r="BS43" i="1" s="1"/>
  <c r="FO43" i="1"/>
  <c r="BG43" i="1" s="1"/>
  <c r="BT43" i="1" s="1"/>
  <c r="FR43" i="1"/>
  <c r="BJ43" i="1" s="1"/>
  <c r="BW43" i="1" s="1"/>
  <c r="FP43" i="1"/>
  <c r="BH43" i="1" s="1"/>
  <c r="BU43" i="1" s="1"/>
  <c r="FT43" i="1"/>
  <c r="BL43" i="1" s="1"/>
  <c r="BY43" i="1" s="1"/>
  <c r="FS43" i="1"/>
  <c r="BK43" i="1" s="1"/>
  <c r="BX43" i="1" s="1"/>
  <c r="FU43" i="1"/>
  <c r="BM43" i="1" s="1"/>
  <c r="BZ43" i="1" s="1"/>
  <c r="FM43" i="1"/>
  <c r="BE43" i="1" s="1"/>
  <c r="BR43" i="1" s="1"/>
  <c r="FQ43" i="1"/>
  <c r="BI43" i="1" s="1"/>
  <c r="BV43" i="1" s="1"/>
  <c r="BQ43" i="1" l="1"/>
  <c r="CG43" i="1" s="1"/>
  <c r="CH43" i="1" l="1"/>
  <c r="CJ43" i="1"/>
  <c r="CL43" i="1"/>
  <c r="CD43" i="1"/>
  <c r="CK43" i="1"/>
  <c r="CM43" i="1"/>
  <c r="DW43" i="1" s="1"/>
  <c r="DY43" i="1" s="1"/>
  <c r="E43" i="1" s="1"/>
  <c r="CI43" i="1"/>
  <c r="CE43" i="1"/>
  <c r="CF43" i="1"/>
  <c r="AF43" i="1" l="1"/>
  <c r="AJ43" i="1"/>
  <c r="AN43" i="1"/>
  <c r="AG43" i="1"/>
  <c r="AK43" i="1"/>
  <c r="AH43" i="1"/>
  <c r="AL43" i="1"/>
  <c r="AI43" i="1"/>
  <c r="AM43" i="1"/>
  <c r="M43" i="1"/>
  <c r="AO43" i="1" l="1"/>
  <c r="AE43" i="1"/>
  <c r="G43" i="1" s="1"/>
  <c r="AP43" i="1" l="1"/>
  <c r="H43" i="1" s="1"/>
  <c r="K43" i="1" s="1"/>
  <c r="F43" i="1"/>
  <c r="D44" i="1" l="1"/>
  <c r="L43" i="1"/>
  <c r="I44" i="1"/>
  <c r="B44" i="1"/>
  <c r="C44" i="1"/>
  <c r="O43" i="1"/>
  <c r="P43" i="1" l="1"/>
  <c r="CY44" i="1"/>
  <c r="DK44" i="1" s="1"/>
  <c r="CT44" i="1"/>
  <c r="DF44" i="1" s="1"/>
  <c r="CP44" i="1"/>
  <c r="CU44" i="1"/>
  <c r="DG44" i="1" s="1"/>
  <c r="CQ44" i="1"/>
  <c r="DC44" i="1" s="1"/>
  <c r="CV44" i="1"/>
  <c r="DH44" i="1" s="1"/>
  <c r="CR44" i="1"/>
  <c r="DD44" i="1" s="1"/>
  <c r="CW44" i="1"/>
  <c r="DI44" i="1" s="1"/>
  <c r="CS44" i="1"/>
  <c r="DE44" i="1" s="1"/>
  <c r="CX44" i="1"/>
  <c r="DJ44" i="1" s="1"/>
  <c r="U44" i="1"/>
  <c r="Y44" i="1"/>
  <c r="V44" i="1"/>
  <c r="Z44" i="1"/>
  <c r="S44" i="1"/>
  <c r="W44" i="1"/>
  <c r="AA44" i="1"/>
  <c r="T44" i="1"/>
  <c r="X44" i="1"/>
  <c r="J44" i="1"/>
  <c r="EH44" i="1" l="1"/>
  <c r="EJ44" i="1"/>
  <c r="EL44" i="1"/>
  <c r="EG44" i="1"/>
  <c r="EI44" i="1"/>
  <c r="AB44" i="1"/>
  <c r="AC44" i="1" s="1"/>
  <c r="AW44" i="1" s="1"/>
  <c r="DR44" i="1" s="1"/>
  <c r="R44" i="1"/>
  <c r="ED44" i="1"/>
  <c r="EF44" i="1"/>
  <c r="DB44" i="1"/>
  <c r="CO44" i="1"/>
  <c r="EK44" i="1"/>
  <c r="EE44" i="1"/>
  <c r="AT44" i="1" l="1"/>
  <c r="DO44" i="1" s="1"/>
  <c r="AZ44" i="1"/>
  <c r="DU44" i="1" s="1"/>
  <c r="AU44" i="1"/>
  <c r="DP44" i="1" s="1"/>
  <c r="AS44" i="1"/>
  <c r="AV44" i="1"/>
  <c r="DQ44" i="1" s="1"/>
  <c r="AY44" i="1"/>
  <c r="DT44" i="1" s="1"/>
  <c r="EQ44" i="1"/>
  <c r="EO44" i="1"/>
  <c r="EP44" i="1"/>
  <c r="EN44" i="1"/>
  <c r="ER44" i="1"/>
  <c r="AX44" i="1"/>
  <c r="DS44" i="1" s="1"/>
  <c r="BA44" i="1"/>
  <c r="DV44" i="1" s="1"/>
  <c r="DN44" i="1" l="1"/>
  <c r="BB44" i="1"/>
  <c r="EX44" i="1"/>
  <c r="EU44" i="1"/>
  <c r="EW44" i="1"/>
  <c r="ET44" i="1"/>
  <c r="EV44" i="1"/>
  <c r="FB44" i="1" l="1"/>
  <c r="FF44" i="1"/>
  <c r="FC44" i="1"/>
  <c r="FG44" i="1"/>
  <c r="FJ44" i="1"/>
  <c r="FW44" i="1" s="1"/>
  <c r="BO44" i="1" s="1"/>
  <c r="N44" i="1" s="1"/>
  <c r="EZ44" i="1"/>
  <c r="FD44" i="1"/>
  <c r="FH44" i="1"/>
  <c r="FA44" i="1"/>
  <c r="FE44" i="1"/>
  <c r="FI44" i="1"/>
  <c r="FL44" i="1" l="1"/>
  <c r="FU44" i="1" s="1"/>
  <c r="BM44" i="1" s="1"/>
  <c r="BZ44" i="1" s="1"/>
  <c r="FQ44" i="1" l="1"/>
  <c r="BI44" i="1" s="1"/>
  <c r="BV44" i="1" s="1"/>
  <c r="FN44" i="1"/>
  <c r="BF44" i="1" s="1"/>
  <c r="BS44" i="1" s="1"/>
  <c r="FR44" i="1"/>
  <c r="BJ44" i="1" s="1"/>
  <c r="BW44" i="1" s="1"/>
  <c r="FT44" i="1"/>
  <c r="BL44" i="1" s="1"/>
  <c r="BY44" i="1" s="1"/>
  <c r="FM44" i="1"/>
  <c r="BE44" i="1" s="1"/>
  <c r="BR44" i="1" s="1"/>
  <c r="FO44" i="1"/>
  <c r="BG44" i="1" s="1"/>
  <c r="BT44" i="1" s="1"/>
  <c r="FV44" i="1"/>
  <c r="BN44" i="1" s="1"/>
  <c r="CA44" i="1" s="1"/>
  <c r="FS44" i="1"/>
  <c r="BK44" i="1" s="1"/>
  <c r="BX44" i="1" s="1"/>
  <c r="FP44" i="1"/>
  <c r="BH44" i="1" s="1"/>
  <c r="BU44" i="1" s="1"/>
  <c r="BQ44" i="1" l="1"/>
  <c r="CL44" i="1" s="1"/>
  <c r="CG44" i="1" l="1"/>
  <c r="CE44" i="1"/>
  <c r="CH44" i="1"/>
  <c r="CF44" i="1"/>
  <c r="CK44" i="1"/>
  <c r="CI44" i="1"/>
  <c r="CJ44" i="1"/>
  <c r="CD44" i="1"/>
  <c r="CM44" i="1"/>
  <c r="DW44" i="1" s="1"/>
  <c r="DY44" i="1" s="1"/>
  <c r="E44" i="1" s="1"/>
  <c r="AF44" i="1" l="1"/>
  <c r="AJ44" i="1"/>
  <c r="AN44" i="1"/>
  <c r="AG44" i="1"/>
  <c r="AK44" i="1"/>
  <c r="AH44" i="1"/>
  <c r="AL44" i="1"/>
  <c r="AI44" i="1"/>
  <c r="AM44" i="1"/>
  <c r="M44" i="1"/>
  <c r="AE44" i="1" l="1"/>
  <c r="G44" i="1" s="1"/>
  <c r="AO44" i="1"/>
  <c r="F44" i="1" l="1"/>
  <c r="AP44" i="1"/>
  <c r="H44" i="1" s="1"/>
  <c r="K44" i="1" s="1"/>
  <c r="C45" i="1" l="1"/>
  <c r="I45" i="1"/>
  <c r="D45" i="1"/>
  <c r="O44" i="1"/>
  <c r="L44" i="1"/>
  <c r="B45" i="1"/>
  <c r="P44" i="1" l="1"/>
  <c r="U45" i="1"/>
  <c r="Y45" i="1"/>
  <c r="V45" i="1"/>
  <c r="Z45" i="1"/>
  <c r="J45" i="1"/>
  <c r="S45" i="1"/>
  <c r="W45" i="1"/>
  <c r="AA45" i="1"/>
  <c r="T45" i="1"/>
  <c r="X45" i="1"/>
  <c r="CS45" i="1"/>
  <c r="DE45" i="1" s="1"/>
  <c r="CW45" i="1"/>
  <c r="DI45" i="1" s="1"/>
  <c r="CP45" i="1"/>
  <c r="CT45" i="1"/>
  <c r="DF45" i="1" s="1"/>
  <c r="CX45" i="1"/>
  <c r="DJ45" i="1" s="1"/>
  <c r="CY45" i="1"/>
  <c r="DK45" i="1" s="1"/>
  <c r="CQ45" i="1"/>
  <c r="DC45" i="1" s="1"/>
  <c r="CU45" i="1"/>
  <c r="DG45" i="1" s="1"/>
  <c r="CR45" i="1"/>
  <c r="DD45" i="1" s="1"/>
  <c r="CV45" i="1"/>
  <c r="DH45" i="1" s="1"/>
  <c r="EH45" i="1" l="1"/>
  <c r="EG45" i="1"/>
  <c r="EI45" i="1"/>
  <c r="ED45" i="1"/>
  <c r="AB45" i="1"/>
  <c r="AC45" i="1" s="1"/>
  <c r="AV45" i="1" s="1"/>
  <c r="DQ45" i="1" s="1"/>
  <c r="R45" i="1"/>
  <c r="CO45" i="1"/>
  <c r="DB45" i="1"/>
  <c r="EE45" i="1"/>
  <c r="EJ45" i="1"/>
  <c r="EL45" i="1"/>
  <c r="EK45" i="1"/>
  <c r="EF45" i="1"/>
  <c r="AY45" i="1" l="1"/>
  <c r="DT45" i="1" s="1"/>
  <c r="ER45" i="1"/>
  <c r="EN45" i="1"/>
  <c r="EO45" i="1"/>
  <c r="EQ45" i="1"/>
  <c r="EP45" i="1"/>
  <c r="AX45" i="1"/>
  <c r="DS45" i="1" s="1"/>
  <c r="AW45" i="1"/>
  <c r="DR45" i="1" s="1"/>
  <c r="AT45" i="1"/>
  <c r="DO45" i="1" s="1"/>
  <c r="AU45" i="1"/>
  <c r="DP45" i="1" s="1"/>
  <c r="BA45" i="1"/>
  <c r="DV45" i="1" s="1"/>
  <c r="AZ45" i="1"/>
  <c r="DU45" i="1" s="1"/>
  <c r="AS45" i="1"/>
  <c r="EU45" i="1" l="1"/>
  <c r="EX45" i="1"/>
  <c r="EW45" i="1"/>
  <c r="ET45" i="1"/>
  <c r="EV45" i="1"/>
  <c r="DN45" i="1"/>
  <c r="BB45" i="1"/>
  <c r="FC45" i="1" l="1"/>
  <c r="FG45" i="1"/>
  <c r="FJ45" i="1"/>
  <c r="FW45" i="1" s="1"/>
  <c r="BO45" i="1" s="1"/>
  <c r="N45" i="1" s="1"/>
  <c r="EZ45" i="1"/>
  <c r="FD45" i="1"/>
  <c r="FH45" i="1"/>
  <c r="FA45" i="1"/>
  <c r="FE45" i="1"/>
  <c r="FI45" i="1"/>
  <c r="FB45" i="1"/>
  <c r="FF45" i="1"/>
  <c r="FL45" i="1" l="1"/>
  <c r="FS45" i="1" s="1"/>
  <c r="BK45" i="1" s="1"/>
  <c r="BX45" i="1" s="1"/>
  <c r="FM45" i="1" l="1"/>
  <c r="BE45" i="1" s="1"/>
  <c r="BR45" i="1" s="1"/>
  <c r="FP45" i="1"/>
  <c r="BH45" i="1" s="1"/>
  <c r="BU45" i="1" s="1"/>
  <c r="FO45" i="1"/>
  <c r="BG45" i="1" s="1"/>
  <c r="BT45" i="1" s="1"/>
  <c r="FR45" i="1"/>
  <c r="BJ45" i="1" s="1"/>
  <c r="BW45" i="1" s="1"/>
  <c r="FT45" i="1"/>
  <c r="BL45" i="1" s="1"/>
  <c r="BY45" i="1" s="1"/>
  <c r="FU45" i="1"/>
  <c r="BM45" i="1" s="1"/>
  <c r="BZ45" i="1" s="1"/>
  <c r="FQ45" i="1"/>
  <c r="BI45" i="1" s="1"/>
  <c r="BV45" i="1" s="1"/>
  <c r="FV45" i="1"/>
  <c r="BN45" i="1" s="1"/>
  <c r="CA45" i="1" s="1"/>
  <c r="FN45" i="1"/>
  <c r="BF45" i="1" s="1"/>
  <c r="BS45" i="1" s="1"/>
  <c r="BQ45" i="1" l="1"/>
  <c r="CJ45" i="1" s="1"/>
  <c r="CI45" i="1" l="1"/>
  <c r="CD45" i="1"/>
  <c r="CF45" i="1"/>
  <c r="CE45" i="1"/>
  <c r="CL45" i="1"/>
  <c r="CG45" i="1"/>
  <c r="CM45" i="1"/>
  <c r="DW45" i="1" s="1"/>
  <c r="DY45" i="1" s="1"/>
  <c r="E45" i="1" s="1"/>
  <c r="CK45" i="1"/>
  <c r="CH45" i="1"/>
  <c r="AG45" i="1" l="1"/>
  <c r="AK45" i="1"/>
  <c r="AH45" i="1"/>
  <c r="AL45" i="1"/>
  <c r="AI45" i="1"/>
  <c r="AM45" i="1"/>
  <c r="AF45" i="1"/>
  <c r="AJ45" i="1"/>
  <c r="AN45" i="1"/>
  <c r="M45" i="1"/>
  <c r="AO45" i="1" l="1"/>
  <c r="AE45" i="1"/>
  <c r="G45" i="1" s="1"/>
  <c r="AP45" i="1" l="1"/>
  <c r="H45" i="1" s="1"/>
  <c r="K45" i="1" s="1"/>
  <c r="F45" i="1"/>
  <c r="D46" i="1" l="1"/>
  <c r="O45" i="1"/>
  <c r="L45" i="1"/>
  <c r="P45" i="1" s="1"/>
  <c r="B46" i="1"/>
  <c r="C46" i="1"/>
  <c r="I46" i="1"/>
  <c r="CR46" i="1" l="1"/>
  <c r="DD46" i="1" s="1"/>
  <c r="CV46" i="1"/>
  <c r="DH46" i="1" s="1"/>
  <c r="CY46" i="1"/>
  <c r="DK46" i="1" s="1"/>
  <c r="CS46" i="1"/>
  <c r="DE46" i="1" s="1"/>
  <c r="CW46" i="1"/>
  <c r="DI46" i="1" s="1"/>
  <c r="CP46" i="1"/>
  <c r="CT46" i="1"/>
  <c r="DF46" i="1" s="1"/>
  <c r="CX46" i="1"/>
  <c r="DJ46" i="1" s="1"/>
  <c r="CQ46" i="1"/>
  <c r="DC46" i="1" s="1"/>
  <c r="CU46" i="1"/>
  <c r="DG46" i="1" s="1"/>
  <c r="V46" i="1"/>
  <c r="Z46" i="1"/>
  <c r="S46" i="1"/>
  <c r="W46" i="1"/>
  <c r="AA46" i="1"/>
  <c r="J46" i="1"/>
  <c r="T46" i="1"/>
  <c r="X46" i="1"/>
  <c r="U46" i="1"/>
  <c r="Y46" i="1"/>
  <c r="EJ46" i="1" l="1"/>
  <c r="EK46" i="1"/>
  <c r="EF46" i="1"/>
  <c r="EL46" i="1"/>
  <c r="EG46" i="1"/>
  <c r="EI46" i="1"/>
  <c r="EH46" i="1"/>
  <c r="DB46" i="1"/>
  <c r="CO46" i="1"/>
  <c r="EE46" i="1"/>
  <c r="R46" i="1"/>
  <c r="AB46" i="1"/>
  <c r="AC46" i="1" s="1"/>
  <c r="AY46" i="1" s="1"/>
  <c r="DT46" i="1" s="1"/>
  <c r="ED46" i="1"/>
  <c r="AS46" i="1" l="1"/>
  <c r="AZ46" i="1"/>
  <c r="DU46" i="1" s="1"/>
  <c r="AX46" i="1"/>
  <c r="DS46" i="1" s="1"/>
  <c r="BA46" i="1"/>
  <c r="DV46" i="1" s="1"/>
  <c r="EQ46" i="1"/>
  <c r="EP46" i="1"/>
  <c r="ER46" i="1"/>
  <c r="EN46" i="1"/>
  <c r="EO46" i="1"/>
  <c r="AT46" i="1"/>
  <c r="DO46" i="1" s="1"/>
  <c r="AV46" i="1"/>
  <c r="DQ46" i="1" s="1"/>
  <c r="AW46" i="1"/>
  <c r="DR46" i="1" s="1"/>
  <c r="AU46" i="1"/>
  <c r="DP46" i="1" s="1"/>
  <c r="ET46" i="1" l="1"/>
  <c r="EX46" i="1"/>
  <c r="EV46" i="1"/>
  <c r="EW46" i="1"/>
  <c r="EU46" i="1"/>
  <c r="DN46" i="1"/>
  <c r="BB46" i="1"/>
  <c r="FJ46" i="1" l="1"/>
  <c r="FW46" i="1" s="1"/>
  <c r="BO46" i="1" s="1"/>
  <c r="N46" i="1" s="1"/>
  <c r="EZ46" i="1"/>
  <c r="FD46" i="1"/>
  <c r="FH46" i="1"/>
  <c r="FA46" i="1"/>
  <c r="FE46" i="1"/>
  <c r="FI46" i="1"/>
  <c r="FB46" i="1"/>
  <c r="FF46" i="1"/>
  <c r="FC46" i="1"/>
  <c r="FG46" i="1"/>
  <c r="FL46" i="1" l="1"/>
  <c r="FP46" i="1" s="1"/>
  <c r="BH46" i="1" s="1"/>
  <c r="BU46" i="1" s="1"/>
  <c r="FM46" i="1" l="1"/>
  <c r="BE46" i="1" s="1"/>
  <c r="BR46" i="1" s="1"/>
  <c r="FQ46" i="1"/>
  <c r="BI46" i="1" s="1"/>
  <c r="BV46" i="1" s="1"/>
  <c r="FO46" i="1"/>
  <c r="BG46" i="1" s="1"/>
  <c r="BT46" i="1" s="1"/>
  <c r="FV46" i="1"/>
  <c r="BN46" i="1" s="1"/>
  <c r="CA46" i="1" s="1"/>
  <c r="FN46" i="1"/>
  <c r="BF46" i="1" s="1"/>
  <c r="BS46" i="1" s="1"/>
  <c r="FR46" i="1"/>
  <c r="BJ46" i="1" s="1"/>
  <c r="BW46" i="1" s="1"/>
  <c r="FU46" i="1"/>
  <c r="BM46" i="1" s="1"/>
  <c r="BZ46" i="1" s="1"/>
  <c r="FT46" i="1"/>
  <c r="BL46" i="1" s="1"/>
  <c r="BY46" i="1" s="1"/>
  <c r="FS46" i="1"/>
  <c r="BK46" i="1" s="1"/>
  <c r="BX46" i="1" s="1"/>
  <c r="BQ46" i="1" l="1"/>
  <c r="CG46" i="1" s="1"/>
  <c r="CD46" i="1" l="1"/>
  <c r="CI46" i="1"/>
  <c r="CJ46" i="1"/>
  <c r="CH46" i="1"/>
  <c r="CM46" i="1"/>
  <c r="DW46" i="1" s="1"/>
  <c r="DY46" i="1" s="1"/>
  <c r="E46" i="1" s="1"/>
  <c r="CF46" i="1"/>
  <c r="CK46" i="1"/>
  <c r="CE46" i="1"/>
  <c r="CL46" i="1"/>
  <c r="AH46" i="1" l="1"/>
  <c r="AL46" i="1"/>
  <c r="AI46" i="1"/>
  <c r="AM46" i="1"/>
  <c r="AF46" i="1"/>
  <c r="AJ46" i="1"/>
  <c r="AN46" i="1"/>
  <c r="AG46" i="1"/>
  <c r="AK46" i="1"/>
  <c r="M46" i="1"/>
  <c r="AE46" i="1" l="1"/>
  <c r="G46" i="1" s="1"/>
  <c r="AO46" i="1"/>
  <c r="AP46" i="1" l="1"/>
  <c r="H46" i="1" s="1"/>
  <c r="K46" i="1" s="1"/>
  <c r="F46" i="1"/>
  <c r="L46" i="1" l="1"/>
  <c r="B47" i="1"/>
  <c r="C47" i="1"/>
  <c r="I47" i="1"/>
  <c r="D47" i="1"/>
  <c r="O46" i="1"/>
  <c r="P46" i="1" l="1"/>
  <c r="S47" i="1"/>
  <c r="W47" i="1"/>
  <c r="AA47" i="1"/>
  <c r="T47" i="1"/>
  <c r="X47" i="1"/>
  <c r="U47" i="1"/>
  <c r="Y47" i="1"/>
  <c r="V47" i="1"/>
  <c r="Z47" i="1"/>
  <c r="J47" i="1"/>
  <c r="CY47" i="1"/>
  <c r="CQ47" i="1"/>
  <c r="DC47" i="1" s="1"/>
  <c r="CU47" i="1"/>
  <c r="DG47" i="1" s="1"/>
  <c r="CR47" i="1"/>
  <c r="DD47" i="1" s="1"/>
  <c r="CV47" i="1"/>
  <c r="DH47" i="1" s="1"/>
  <c r="CS47" i="1"/>
  <c r="DE47" i="1" s="1"/>
  <c r="CW47" i="1"/>
  <c r="DI47" i="1" s="1"/>
  <c r="CP47" i="1"/>
  <c r="CT47" i="1"/>
  <c r="DF47" i="1" s="1"/>
  <c r="CX47" i="1"/>
  <c r="DJ47" i="1" s="1"/>
  <c r="DK47" i="1" l="1"/>
  <c r="EE47" i="1"/>
  <c r="CO47" i="1"/>
  <c r="DB47" i="1"/>
  <c r="EJ47" i="1"/>
  <c r="EL47" i="1"/>
  <c r="EK47" i="1"/>
  <c r="EF47" i="1"/>
  <c r="EH47" i="1"/>
  <c r="EG47" i="1"/>
  <c r="EI47" i="1"/>
  <c r="R47" i="1"/>
  <c r="AB47" i="1"/>
  <c r="AC47" i="1" s="1"/>
  <c r="AU47" i="1" s="1"/>
  <c r="DP47" i="1" s="1"/>
  <c r="ED47" i="1"/>
  <c r="BA47" i="1" l="1"/>
  <c r="DV47" i="1" s="1"/>
  <c r="AS47" i="1"/>
  <c r="AY47" i="1"/>
  <c r="DT47" i="1" s="1"/>
  <c r="AV47" i="1"/>
  <c r="DQ47" i="1" s="1"/>
  <c r="AW47" i="1"/>
  <c r="DR47" i="1" s="1"/>
  <c r="AZ47" i="1"/>
  <c r="DU47" i="1" s="1"/>
  <c r="EO47" i="1"/>
  <c r="EN47" i="1"/>
  <c r="EQ47" i="1"/>
  <c r="ER47" i="1"/>
  <c r="EP47" i="1"/>
  <c r="AX47" i="1"/>
  <c r="DS47" i="1" s="1"/>
  <c r="AT47" i="1"/>
  <c r="DO47" i="1" s="1"/>
  <c r="EV47" i="1" l="1"/>
  <c r="ET47" i="1"/>
  <c r="EW47" i="1"/>
  <c r="EU47" i="1"/>
  <c r="EX47" i="1"/>
  <c r="DN47" i="1"/>
  <c r="BB47" i="1"/>
  <c r="FA47" i="1" l="1"/>
  <c r="FE47" i="1"/>
  <c r="FI47" i="1"/>
  <c r="FB47" i="1"/>
  <c r="FF47" i="1"/>
  <c r="FC47" i="1"/>
  <c r="FG47" i="1"/>
  <c r="FJ47" i="1"/>
  <c r="FW47" i="1" s="1"/>
  <c r="BO47" i="1" s="1"/>
  <c r="N47" i="1" s="1"/>
  <c r="EZ47" i="1"/>
  <c r="FD47" i="1"/>
  <c r="FH47" i="1"/>
  <c r="FL47" i="1" l="1"/>
  <c r="FP47" i="1" s="1"/>
  <c r="BH47" i="1" s="1"/>
  <c r="BU47" i="1" s="1"/>
  <c r="FN47" i="1" l="1"/>
  <c r="BF47" i="1" s="1"/>
  <c r="BS47" i="1" s="1"/>
  <c r="FO47" i="1"/>
  <c r="BG47" i="1" s="1"/>
  <c r="BT47" i="1" s="1"/>
  <c r="FV47" i="1"/>
  <c r="BN47" i="1" s="1"/>
  <c r="CA47" i="1" s="1"/>
  <c r="FU47" i="1"/>
  <c r="BM47" i="1" s="1"/>
  <c r="BZ47" i="1" s="1"/>
  <c r="FQ47" i="1"/>
  <c r="BI47" i="1" s="1"/>
  <c r="BV47" i="1" s="1"/>
  <c r="FS47" i="1"/>
  <c r="BK47" i="1" s="1"/>
  <c r="BX47" i="1" s="1"/>
  <c r="FT47" i="1"/>
  <c r="BL47" i="1" s="1"/>
  <c r="BY47" i="1" s="1"/>
  <c r="FM47" i="1"/>
  <c r="BE47" i="1" s="1"/>
  <c r="BR47" i="1" s="1"/>
  <c r="FR47" i="1"/>
  <c r="BJ47" i="1" s="1"/>
  <c r="BW47" i="1" s="1"/>
  <c r="BQ47" i="1" l="1"/>
  <c r="CK47" i="1" s="1"/>
  <c r="CD47" i="1" l="1"/>
  <c r="CG47" i="1"/>
  <c r="CJ47" i="1"/>
  <c r="CM47" i="1"/>
  <c r="DW47" i="1" s="1"/>
  <c r="DY47" i="1" s="1"/>
  <c r="E47" i="1" s="1"/>
  <c r="CL47" i="1"/>
  <c r="CE47" i="1"/>
  <c r="CH47" i="1"/>
  <c r="CF47" i="1"/>
  <c r="CI47" i="1"/>
  <c r="AI47" i="1" l="1"/>
  <c r="AM47" i="1"/>
  <c r="AF47" i="1"/>
  <c r="AJ47" i="1"/>
  <c r="AN47" i="1"/>
  <c r="AG47" i="1"/>
  <c r="AK47" i="1"/>
  <c r="AH47" i="1"/>
  <c r="AL47" i="1"/>
  <c r="M47" i="1"/>
  <c r="AE47" i="1" l="1"/>
  <c r="G47" i="1" s="1"/>
  <c r="AO47" i="1"/>
  <c r="F47" i="1" l="1"/>
  <c r="AP47" i="1"/>
  <c r="H47" i="1" s="1"/>
  <c r="K47" i="1" s="1"/>
  <c r="L47" i="1" l="1"/>
  <c r="B48" i="1"/>
  <c r="C48" i="1"/>
  <c r="I48" i="1"/>
  <c r="D48" i="1"/>
  <c r="O47" i="1"/>
  <c r="CR48" i="1" l="1"/>
  <c r="DD48" i="1" s="1"/>
  <c r="CV48" i="1"/>
  <c r="DH48" i="1" s="1"/>
  <c r="CS48" i="1"/>
  <c r="DE48" i="1" s="1"/>
  <c r="CW48" i="1"/>
  <c r="DI48" i="1" s="1"/>
  <c r="CP48" i="1"/>
  <c r="CT48" i="1"/>
  <c r="DF48" i="1" s="1"/>
  <c r="CX48" i="1"/>
  <c r="DJ48" i="1" s="1"/>
  <c r="CY48" i="1"/>
  <c r="CQ48" i="1"/>
  <c r="DC48" i="1" s="1"/>
  <c r="CU48" i="1"/>
  <c r="DG48" i="1" s="1"/>
  <c r="T48" i="1"/>
  <c r="X48" i="1"/>
  <c r="U48" i="1"/>
  <c r="Y48" i="1"/>
  <c r="V48" i="1"/>
  <c r="Z48" i="1"/>
  <c r="J48" i="1"/>
  <c r="S48" i="1"/>
  <c r="W48" i="1"/>
  <c r="AA48" i="1"/>
  <c r="P47" i="1"/>
  <c r="DK48" i="1" l="1"/>
  <c r="EF48" i="1"/>
  <c r="EL48" i="1"/>
  <c r="EK48" i="1"/>
  <c r="EI48" i="1"/>
  <c r="EH48" i="1"/>
  <c r="EG48" i="1"/>
  <c r="EE48" i="1"/>
  <c r="EJ48" i="1"/>
  <c r="AB48" i="1"/>
  <c r="AC48" i="1" s="1"/>
  <c r="BA48" i="1" s="1"/>
  <c r="DV48" i="1" s="1"/>
  <c r="ED48" i="1"/>
  <c r="R48" i="1"/>
  <c r="DB48" i="1"/>
  <c r="CO48" i="1"/>
  <c r="EN48" i="1" l="1"/>
  <c r="EQ48" i="1"/>
  <c r="EO48" i="1"/>
  <c r="EP48" i="1"/>
  <c r="ER48" i="1"/>
  <c r="AU48" i="1"/>
  <c r="DP48" i="1" s="1"/>
  <c r="AT48" i="1"/>
  <c r="DO48" i="1" s="1"/>
  <c r="AW48" i="1"/>
  <c r="DR48" i="1" s="1"/>
  <c r="AZ48" i="1"/>
  <c r="DU48" i="1" s="1"/>
  <c r="AY48" i="1"/>
  <c r="DT48" i="1" s="1"/>
  <c r="AS48" i="1"/>
  <c r="AV48" i="1"/>
  <c r="DQ48" i="1" s="1"/>
  <c r="AX48" i="1"/>
  <c r="DS48" i="1" s="1"/>
  <c r="BB48" i="1" l="1"/>
  <c r="DN48" i="1"/>
  <c r="EU48" i="1"/>
  <c r="EX48" i="1"/>
  <c r="EW48" i="1"/>
  <c r="ET48" i="1"/>
  <c r="EV48" i="1"/>
  <c r="FJ48" i="1" l="1"/>
  <c r="FW48" i="1" s="1"/>
  <c r="BO48" i="1" s="1"/>
  <c r="N48" i="1" s="1"/>
  <c r="FB48" i="1"/>
  <c r="FF48" i="1"/>
  <c r="FC48" i="1"/>
  <c r="FG48" i="1"/>
  <c r="EZ48" i="1"/>
  <c r="FD48" i="1"/>
  <c r="FH48" i="1"/>
  <c r="FA48" i="1"/>
  <c r="FE48" i="1"/>
  <c r="FI48" i="1"/>
  <c r="FL48" i="1" l="1"/>
  <c r="FU48" i="1" s="1"/>
  <c r="BM48" i="1" s="1"/>
  <c r="BZ48" i="1" s="1"/>
  <c r="FM48" i="1" l="1"/>
  <c r="BE48" i="1" s="1"/>
  <c r="BR48" i="1" s="1"/>
  <c r="FT48" i="1"/>
  <c r="BL48" i="1" s="1"/>
  <c r="BY48" i="1" s="1"/>
  <c r="FS48" i="1"/>
  <c r="BK48" i="1" s="1"/>
  <c r="BX48" i="1" s="1"/>
  <c r="FQ48" i="1"/>
  <c r="BI48" i="1" s="1"/>
  <c r="BV48" i="1" s="1"/>
  <c r="FP48" i="1"/>
  <c r="BH48" i="1" s="1"/>
  <c r="BU48" i="1" s="1"/>
  <c r="FN48" i="1"/>
  <c r="BF48" i="1" s="1"/>
  <c r="BS48" i="1" s="1"/>
  <c r="FR48" i="1"/>
  <c r="BJ48" i="1" s="1"/>
  <c r="BW48" i="1" s="1"/>
  <c r="FO48" i="1"/>
  <c r="BG48" i="1" s="1"/>
  <c r="BT48" i="1" s="1"/>
  <c r="FV48" i="1"/>
  <c r="BN48" i="1" s="1"/>
  <c r="CA48" i="1" s="1"/>
  <c r="BQ48" i="1" l="1"/>
  <c r="CL48" i="1" s="1"/>
  <c r="CM48" i="1" l="1"/>
  <c r="DW48" i="1" s="1"/>
  <c r="DY48" i="1" s="1"/>
  <c r="E48" i="1" s="1"/>
  <c r="CK48" i="1"/>
  <c r="CE48" i="1"/>
  <c r="CH48" i="1"/>
  <c r="CD48" i="1"/>
  <c r="CJ48" i="1"/>
  <c r="CF48" i="1"/>
  <c r="CG48" i="1"/>
  <c r="CI48" i="1"/>
  <c r="AF48" i="1" l="1"/>
  <c r="AJ48" i="1"/>
  <c r="AN48" i="1"/>
  <c r="AG48" i="1"/>
  <c r="AK48" i="1"/>
  <c r="AH48" i="1"/>
  <c r="AL48" i="1"/>
  <c r="AI48" i="1"/>
  <c r="AM48" i="1"/>
  <c r="M48" i="1"/>
  <c r="AE48" i="1" l="1"/>
  <c r="G48" i="1" s="1"/>
  <c r="AO48" i="1"/>
  <c r="F48" i="1" l="1"/>
  <c r="AP48" i="1"/>
  <c r="H48" i="1" s="1"/>
  <c r="K48" i="1" s="1"/>
  <c r="C49" i="1" l="1"/>
  <c r="I49" i="1"/>
  <c r="D49" i="1"/>
  <c r="O48" i="1"/>
  <c r="L48" i="1"/>
  <c r="B49" i="1"/>
  <c r="P48" i="1" l="1"/>
  <c r="U49" i="1"/>
  <c r="Y49" i="1"/>
  <c r="V49" i="1"/>
  <c r="Z49" i="1"/>
  <c r="J49" i="1"/>
  <c r="S49" i="1"/>
  <c r="W49" i="1"/>
  <c r="AA49" i="1"/>
  <c r="T49" i="1"/>
  <c r="X49" i="1"/>
  <c r="CT49" i="1"/>
  <c r="DF49" i="1" s="1"/>
  <c r="CX49" i="1"/>
  <c r="DJ49" i="1" s="1"/>
  <c r="CQ49" i="1"/>
  <c r="DC49" i="1" s="1"/>
  <c r="CU49" i="1"/>
  <c r="DG49" i="1" s="1"/>
  <c r="CY49" i="1"/>
  <c r="CR49" i="1"/>
  <c r="DD49" i="1" s="1"/>
  <c r="CV49" i="1"/>
  <c r="DH49" i="1" s="1"/>
  <c r="CP49" i="1"/>
  <c r="CS49" i="1"/>
  <c r="DE49" i="1" s="1"/>
  <c r="CW49" i="1"/>
  <c r="DI49" i="1" s="1"/>
  <c r="DK49" i="1" l="1"/>
  <c r="EH49" i="1"/>
  <c r="EG49" i="1"/>
  <c r="DB49" i="1"/>
  <c r="CO49" i="1"/>
  <c r="EI49" i="1"/>
  <c r="R49" i="1"/>
  <c r="AB49" i="1"/>
  <c r="AC49" i="1" s="1"/>
  <c r="AV49" i="1" s="1"/>
  <c r="DQ49" i="1" s="1"/>
  <c r="ED49" i="1"/>
  <c r="EE49" i="1"/>
  <c r="EJ49" i="1"/>
  <c r="EL49" i="1"/>
  <c r="EK49" i="1"/>
  <c r="EF49" i="1"/>
  <c r="AZ49" i="1" l="1"/>
  <c r="DU49" i="1" s="1"/>
  <c r="AT49" i="1"/>
  <c r="DO49" i="1" s="1"/>
  <c r="BA49" i="1"/>
  <c r="DV49" i="1" s="1"/>
  <c r="AS49" i="1"/>
  <c r="AW49" i="1"/>
  <c r="DR49" i="1" s="1"/>
  <c r="AY49" i="1"/>
  <c r="DT49" i="1" s="1"/>
  <c r="AU49" i="1"/>
  <c r="DP49" i="1" s="1"/>
  <c r="EO49" i="1"/>
  <c r="EP49" i="1"/>
  <c r="EN49" i="1"/>
  <c r="ER49" i="1"/>
  <c r="EQ49" i="1"/>
  <c r="AX49" i="1"/>
  <c r="DS49" i="1" s="1"/>
  <c r="DN49" i="1" l="1"/>
  <c r="BB49" i="1"/>
  <c r="ET49" i="1"/>
  <c r="EW49" i="1"/>
  <c r="EX49" i="1"/>
  <c r="EV49" i="1"/>
  <c r="EU49" i="1"/>
  <c r="FC49" i="1" l="1"/>
  <c r="FG49" i="1"/>
  <c r="FJ49" i="1"/>
  <c r="FW49" i="1" s="1"/>
  <c r="BO49" i="1" s="1"/>
  <c r="N49" i="1" s="1"/>
  <c r="EZ49" i="1"/>
  <c r="FD49" i="1"/>
  <c r="FH49" i="1"/>
  <c r="FA49" i="1"/>
  <c r="FE49" i="1"/>
  <c r="FI49" i="1"/>
  <c r="FB49" i="1"/>
  <c r="FF49" i="1"/>
  <c r="FL49" i="1" l="1"/>
  <c r="FR49" i="1" s="1"/>
  <c r="BJ49" i="1" s="1"/>
  <c r="BW49" i="1" s="1"/>
  <c r="FT49" i="1" l="1"/>
  <c r="BL49" i="1" s="1"/>
  <c r="BY49" i="1" s="1"/>
  <c r="FN49" i="1"/>
  <c r="BF49" i="1" s="1"/>
  <c r="BS49" i="1" s="1"/>
  <c r="FM49" i="1"/>
  <c r="BE49" i="1" s="1"/>
  <c r="BR49" i="1" s="1"/>
  <c r="FP49" i="1"/>
  <c r="BH49" i="1" s="1"/>
  <c r="BU49" i="1" s="1"/>
  <c r="FU49" i="1"/>
  <c r="BM49" i="1" s="1"/>
  <c r="BZ49" i="1" s="1"/>
  <c r="FQ49" i="1"/>
  <c r="BI49" i="1" s="1"/>
  <c r="BV49" i="1" s="1"/>
  <c r="FO49" i="1"/>
  <c r="BG49" i="1" s="1"/>
  <c r="BT49" i="1" s="1"/>
  <c r="FV49" i="1"/>
  <c r="BN49" i="1" s="1"/>
  <c r="CA49" i="1" s="1"/>
  <c r="FS49" i="1"/>
  <c r="BK49" i="1" s="1"/>
  <c r="BX49" i="1" s="1"/>
  <c r="BQ49" i="1" l="1"/>
  <c r="CD49" i="1" s="1"/>
  <c r="CG49" i="1" l="1"/>
  <c r="CH49" i="1"/>
  <c r="CM49" i="1"/>
  <c r="DW49" i="1" s="1"/>
  <c r="DY49" i="1" s="1"/>
  <c r="E49" i="1" s="1"/>
  <c r="CI49" i="1"/>
  <c r="CE49" i="1"/>
  <c r="CK49" i="1"/>
  <c r="CJ49" i="1"/>
  <c r="CL49" i="1"/>
  <c r="CF49" i="1"/>
  <c r="AG49" i="1" l="1"/>
  <c r="AK49" i="1"/>
  <c r="AH49" i="1"/>
  <c r="AL49" i="1"/>
  <c r="AI49" i="1"/>
  <c r="AM49" i="1"/>
  <c r="AF49" i="1"/>
  <c r="AJ49" i="1"/>
  <c r="AN49" i="1"/>
  <c r="M49" i="1"/>
  <c r="AO49" i="1" l="1"/>
  <c r="AE49" i="1"/>
  <c r="G49" i="1" s="1"/>
  <c r="AP49" i="1" l="1"/>
  <c r="H49" i="1" s="1"/>
  <c r="K49" i="1" s="1"/>
  <c r="F49" i="1"/>
  <c r="D50" i="1" l="1"/>
  <c r="O49" i="1"/>
  <c r="L49" i="1"/>
  <c r="P49" i="1" s="1"/>
  <c r="B50" i="1"/>
  <c r="C50" i="1"/>
  <c r="I50" i="1"/>
  <c r="CR50" i="1" l="1"/>
  <c r="DD50" i="1" s="1"/>
  <c r="CV50" i="1"/>
  <c r="DH50" i="1" s="1"/>
  <c r="CY50" i="1"/>
  <c r="DK50" i="1" s="1"/>
  <c r="CS50" i="1"/>
  <c r="DE50" i="1" s="1"/>
  <c r="CW50" i="1"/>
  <c r="DI50" i="1" s="1"/>
  <c r="CP50" i="1"/>
  <c r="CT50" i="1"/>
  <c r="DF50" i="1" s="1"/>
  <c r="CX50" i="1"/>
  <c r="DJ50" i="1" s="1"/>
  <c r="CQ50" i="1"/>
  <c r="DC50" i="1" s="1"/>
  <c r="CU50" i="1"/>
  <c r="DG50" i="1" s="1"/>
  <c r="V50" i="1"/>
  <c r="Z50" i="1"/>
  <c r="J50" i="1"/>
  <c r="S50" i="1"/>
  <c r="W50" i="1"/>
  <c r="AA50" i="1"/>
  <c r="T50" i="1"/>
  <c r="X50" i="1"/>
  <c r="U50" i="1"/>
  <c r="Y50" i="1"/>
  <c r="EF50" i="1" l="1"/>
  <c r="EJ50" i="1"/>
  <c r="EL50" i="1"/>
  <c r="EK50" i="1"/>
  <c r="EH50" i="1"/>
  <c r="EG50" i="1"/>
  <c r="R50" i="1"/>
  <c r="AB50" i="1"/>
  <c r="AC50" i="1" s="1"/>
  <c r="AU50" i="1" s="1"/>
  <c r="DP50" i="1" s="1"/>
  <c r="ED50" i="1"/>
  <c r="DB50" i="1"/>
  <c r="CO50" i="1"/>
  <c r="EI50" i="1"/>
  <c r="EE50" i="1"/>
  <c r="AX50" i="1" l="1"/>
  <c r="DS50" i="1" s="1"/>
  <c r="EP50" i="1"/>
  <c r="ER50" i="1"/>
  <c r="EO50" i="1"/>
  <c r="EN50" i="1"/>
  <c r="EQ50" i="1"/>
  <c r="AZ50" i="1"/>
  <c r="DU50" i="1" s="1"/>
  <c r="AV50" i="1"/>
  <c r="DQ50" i="1" s="1"/>
  <c r="AY50" i="1"/>
  <c r="DT50" i="1" s="1"/>
  <c r="AT50" i="1"/>
  <c r="DO50" i="1" s="1"/>
  <c r="AS50" i="1"/>
  <c r="AW50" i="1"/>
  <c r="DR50" i="1" s="1"/>
  <c r="BA50" i="1"/>
  <c r="DV50" i="1" s="1"/>
  <c r="DN50" i="1" l="1"/>
  <c r="BB50" i="1"/>
  <c r="EV50" i="1"/>
  <c r="EX50" i="1"/>
  <c r="ET50" i="1"/>
  <c r="EU50" i="1"/>
  <c r="EW50" i="1"/>
  <c r="FJ50" i="1" l="1"/>
  <c r="FW50" i="1" s="1"/>
  <c r="BO50" i="1" s="1"/>
  <c r="N50" i="1" s="1"/>
  <c r="EZ50" i="1"/>
  <c r="FD50" i="1"/>
  <c r="FH50" i="1"/>
  <c r="FA50" i="1"/>
  <c r="FE50" i="1"/>
  <c r="FI50" i="1"/>
  <c r="FB50" i="1"/>
  <c r="FF50" i="1"/>
  <c r="FC50" i="1"/>
  <c r="FG50" i="1"/>
  <c r="FL50" i="1" l="1"/>
  <c r="FV50" i="1" s="1"/>
  <c r="BN50" i="1" s="1"/>
  <c r="CA50" i="1" s="1"/>
  <c r="FU50" i="1" l="1"/>
  <c r="BM50" i="1" s="1"/>
  <c r="BZ50" i="1" s="1"/>
  <c r="FS50" i="1"/>
  <c r="BK50" i="1" s="1"/>
  <c r="BX50" i="1" s="1"/>
  <c r="FN50" i="1"/>
  <c r="BF50" i="1" s="1"/>
  <c r="BS50" i="1" s="1"/>
  <c r="FP50" i="1"/>
  <c r="BH50" i="1" s="1"/>
  <c r="BU50" i="1" s="1"/>
  <c r="FR50" i="1"/>
  <c r="BJ50" i="1" s="1"/>
  <c r="BW50" i="1" s="1"/>
  <c r="FT50" i="1"/>
  <c r="BL50" i="1" s="1"/>
  <c r="BY50" i="1" s="1"/>
  <c r="FO50" i="1"/>
  <c r="BG50" i="1" s="1"/>
  <c r="BT50" i="1" s="1"/>
  <c r="FM50" i="1"/>
  <c r="BE50" i="1" s="1"/>
  <c r="BR50" i="1" s="1"/>
  <c r="FQ50" i="1"/>
  <c r="BI50" i="1" s="1"/>
  <c r="BV50" i="1" s="1"/>
  <c r="BQ50" i="1" l="1"/>
  <c r="CD50" i="1" s="1"/>
  <c r="CF50" i="1" l="1"/>
  <c r="CM50" i="1"/>
  <c r="DW50" i="1" s="1"/>
  <c r="DY50" i="1" s="1"/>
  <c r="E50" i="1" s="1"/>
  <c r="CG50" i="1"/>
  <c r="CL50" i="1"/>
  <c r="CI50" i="1"/>
  <c r="CJ50" i="1"/>
  <c r="CE50" i="1"/>
  <c r="CK50" i="1"/>
  <c r="CH50" i="1"/>
  <c r="AH50" i="1" l="1"/>
  <c r="AL50" i="1"/>
  <c r="AI50" i="1"/>
  <c r="AM50" i="1"/>
  <c r="AF50" i="1"/>
  <c r="AJ50" i="1"/>
  <c r="AN50" i="1"/>
  <c r="AG50" i="1"/>
  <c r="AK50" i="1"/>
  <c r="M50" i="1"/>
  <c r="AE50" i="1" l="1"/>
  <c r="G50" i="1" s="1"/>
  <c r="AO50" i="1"/>
  <c r="AP50" i="1" l="1"/>
  <c r="H50" i="1" s="1"/>
  <c r="K50" i="1" s="1"/>
  <c r="F50" i="1"/>
  <c r="L50" i="1" l="1"/>
  <c r="B51" i="1"/>
  <c r="C51" i="1"/>
  <c r="I51" i="1"/>
  <c r="D51" i="1"/>
  <c r="O50" i="1"/>
  <c r="P50" i="1" l="1"/>
  <c r="S51" i="1"/>
  <c r="W51" i="1"/>
  <c r="AA51" i="1"/>
  <c r="T51" i="1"/>
  <c r="X51" i="1"/>
  <c r="U51" i="1"/>
  <c r="Y51" i="1"/>
  <c r="V51" i="1"/>
  <c r="Z51" i="1"/>
  <c r="J51" i="1"/>
  <c r="CY51" i="1"/>
  <c r="CQ51" i="1"/>
  <c r="DC51" i="1" s="1"/>
  <c r="CU51" i="1"/>
  <c r="DG51" i="1" s="1"/>
  <c r="CR51" i="1"/>
  <c r="DD51" i="1" s="1"/>
  <c r="CV51" i="1"/>
  <c r="DH51" i="1" s="1"/>
  <c r="CS51" i="1"/>
  <c r="DE51" i="1" s="1"/>
  <c r="CW51" i="1"/>
  <c r="DI51" i="1" s="1"/>
  <c r="CP51" i="1"/>
  <c r="CT51" i="1"/>
  <c r="DF51" i="1" s="1"/>
  <c r="CX51" i="1"/>
  <c r="DJ51" i="1" s="1"/>
  <c r="DK51" i="1" l="1"/>
  <c r="EE51" i="1"/>
  <c r="CO51" i="1"/>
  <c r="DB51" i="1"/>
  <c r="EJ51" i="1"/>
  <c r="EL51" i="1"/>
  <c r="EK51" i="1"/>
  <c r="EF51" i="1"/>
  <c r="EH51" i="1"/>
  <c r="EG51" i="1"/>
  <c r="EI51" i="1"/>
  <c r="AB51" i="1"/>
  <c r="AC51" i="1" s="1"/>
  <c r="BA51" i="1" s="1"/>
  <c r="DV51" i="1" s="1"/>
  <c r="R51" i="1"/>
  <c r="ED51" i="1"/>
  <c r="AU51" i="1" l="1"/>
  <c r="DP51" i="1" s="1"/>
  <c r="ER51" i="1"/>
  <c r="EN51" i="1"/>
  <c r="EP51" i="1"/>
  <c r="EO51" i="1"/>
  <c r="EQ51" i="1"/>
  <c r="AY51" i="1"/>
  <c r="DT51" i="1" s="1"/>
  <c r="AW51" i="1"/>
  <c r="DR51" i="1" s="1"/>
  <c r="AS51" i="1"/>
  <c r="AX51" i="1"/>
  <c r="DS51" i="1" s="1"/>
  <c r="AZ51" i="1"/>
  <c r="DU51" i="1" s="1"/>
  <c r="AT51" i="1"/>
  <c r="DO51" i="1" s="1"/>
  <c r="AV51" i="1"/>
  <c r="DQ51" i="1" s="1"/>
  <c r="EX51" i="1" l="1"/>
  <c r="ET51" i="1"/>
  <c r="EV51" i="1"/>
  <c r="EU51" i="1"/>
  <c r="EW51" i="1"/>
  <c r="DN51" i="1"/>
  <c r="BB51" i="1"/>
  <c r="FA51" i="1" l="1"/>
  <c r="FE51" i="1"/>
  <c r="FI51" i="1"/>
  <c r="FB51" i="1"/>
  <c r="FF51" i="1"/>
  <c r="FC51" i="1"/>
  <c r="FG51" i="1"/>
  <c r="FJ51" i="1"/>
  <c r="FW51" i="1" s="1"/>
  <c r="BO51" i="1" s="1"/>
  <c r="N51" i="1" s="1"/>
  <c r="EZ51" i="1"/>
  <c r="FD51" i="1"/>
  <c r="FH51" i="1"/>
  <c r="FL51" i="1" l="1"/>
  <c r="FP51" i="1" s="1"/>
  <c r="BH51" i="1" s="1"/>
  <c r="BU51" i="1" s="1"/>
  <c r="FQ51" i="1" l="1"/>
  <c r="BI51" i="1" s="1"/>
  <c r="BV51" i="1" s="1"/>
  <c r="FO51" i="1"/>
  <c r="BG51" i="1" s="1"/>
  <c r="BT51" i="1" s="1"/>
  <c r="FM51" i="1"/>
  <c r="BE51" i="1" s="1"/>
  <c r="BR51" i="1" s="1"/>
  <c r="FV51" i="1"/>
  <c r="BN51" i="1" s="1"/>
  <c r="CA51" i="1" s="1"/>
  <c r="FT51" i="1"/>
  <c r="BL51" i="1" s="1"/>
  <c r="BY51" i="1" s="1"/>
  <c r="FR51" i="1"/>
  <c r="BJ51" i="1" s="1"/>
  <c r="BW51" i="1" s="1"/>
  <c r="FN51" i="1"/>
  <c r="BF51" i="1" s="1"/>
  <c r="BS51" i="1" s="1"/>
  <c r="FU51" i="1"/>
  <c r="BM51" i="1" s="1"/>
  <c r="BZ51" i="1" s="1"/>
  <c r="FS51" i="1"/>
  <c r="BK51" i="1" s="1"/>
  <c r="BX51" i="1" s="1"/>
  <c r="BQ51" i="1" l="1"/>
  <c r="CG51" i="1" s="1"/>
  <c r="CM51" i="1" l="1"/>
  <c r="DW51" i="1" s="1"/>
  <c r="DY51" i="1" s="1"/>
  <c r="E51" i="1" s="1"/>
  <c r="AM51" i="1" s="1"/>
  <c r="CJ51" i="1"/>
  <c r="CH51" i="1"/>
  <c r="CK51" i="1"/>
  <c r="CL51" i="1"/>
  <c r="CI51" i="1"/>
  <c r="CF51" i="1"/>
  <c r="CD51" i="1"/>
  <c r="CE51" i="1"/>
  <c r="AL51" i="1" l="1"/>
  <c r="AN51" i="1"/>
  <c r="AI51" i="1"/>
  <c r="AH51" i="1"/>
  <c r="AJ51" i="1"/>
  <c r="AK51" i="1"/>
  <c r="AF51" i="1"/>
  <c r="M51" i="1"/>
  <c r="AG51" i="1"/>
  <c r="AO51" i="1" l="1"/>
  <c r="F51" i="1" s="1"/>
  <c r="AE51" i="1"/>
  <c r="G51" i="1" s="1"/>
  <c r="AP51" i="1" l="1"/>
  <c r="H51" i="1" s="1"/>
  <c r="K51" i="1" s="1"/>
  <c r="B52" i="1" s="1"/>
  <c r="L51" i="1" l="1"/>
  <c r="O51" i="1"/>
  <c r="D52" i="1"/>
  <c r="Y52" i="1" s="1"/>
  <c r="I52" i="1"/>
  <c r="C52" i="1"/>
  <c r="P51" i="1" l="1"/>
  <c r="AA52" i="1"/>
  <c r="CV52" i="1"/>
  <c r="DH52" i="1" s="1"/>
  <c r="CQ52" i="1"/>
  <c r="DC52" i="1" s="1"/>
  <c r="X52" i="1"/>
  <c r="CU52" i="1"/>
  <c r="DG52" i="1" s="1"/>
  <c r="Z52" i="1"/>
  <c r="EK52" i="1" s="1"/>
  <c r="CS52" i="1"/>
  <c r="DE52" i="1" s="1"/>
  <c r="CY52" i="1"/>
  <c r="DK52" i="1" s="1"/>
  <c r="CP52" i="1"/>
  <c r="DB52" i="1" s="1"/>
  <c r="J52" i="1"/>
  <c r="U52" i="1"/>
  <c r="EF52" i="1" s="1"/>
  <c r="CX52" i="1"/>
  <c r="DJ52" i="1" s="1"/>
  <c r="W52" i="1"/>
  <c r="EH52" i="1" s="1"/>
  <c r="V52" i="1"/>
  <c r="EG52" i="1" s="1"/>
  <c r="T52" i="1"/>
  <c r="EE52" i="1" s="1"/>
  <c r="CW52" i="1"/>
  <c r="DI52" i="1" s="1"/>
  <c r="CR52" i="1"/>
  <c r="DD52" i="1" s="1"/>
  <c r="CT52" i="1"/>
  <c r="DF52" i="1" s="1"/>
  <c r="S52" i="1"/>
  <c r="ED52" i="1" s="1"/>
  <c r="EJ52" i="1"/>
  <c r="EL52" i="1"/>
  <c r="AB52" i="1" l="1"/>
  <c r="AC52" i="1" s="1"/>
  <c r="AS52" i="1" s="1"/>
  <c r="DN52" i="1" s="1"/>
  <c r="EI52" i="1"/>
  <c r="EO52" i="1" s="1"/>
  <c r="CO52" i="1"/>
  <c r="R52" i="1"/>
  <c r="EP52" i="1" l="1"/>
  <c r="AT52" i="1"/>
  <c r="DO52" i="1" s="1"/>
  <c r="ER52" i="1"/>
  <c r="EQ52" i="1"/>
  <c r="EN52" i="1"/>
  <c r="AU52" i="1"/>
  <c r="DP52" i="1" s="1"/>
  <c r="AY52" i="1"/>
  <c r="DT52" i="1" s="1"/>
  <c r="AZ52" i="1"/>
  <c r="DU52" i="1" s="1"/>
  <c r="AV52" i="1"/>
  <c r="DQ52" i="1" s="1"/>
  <c r="AW52" i="1"/>
  <c r="DR52" i="1" s="1"/>
  <c r="BA52" i="1"/>
  <c r="DV52" i="1" s="1"/>
  <c r="AX52" i="1"/>
  <c r="DS52" i="1" s="1"/>
  <c r="EW52" i="1" l="1"/>
  <c r="EV52" i="1"/>
  <c r="EU52" i="1"/>
  <c r="EX52" i="1"/>
  <c r="ET52" i="1"/>
  <c r="BB52" i="1"/>
  <c r="FG52" i="1" l="1"/>
  <c r="EZ52" i="1"/>
  <c r="FF52" i="1"/>
  <c r="FI52" i="1"/>
  <c r="FC52" i="1"/>
  <c r="FA52" i="1"/>
  <c r="FJ52" i="1"/>
  <c r="FW52" i="1" s="1"/>
  <c r="BO52" i="1" s="1"/>
  <c r="N52" i="1" s="1"/>
  <c r="FB52" i="1"/>
  <c r="FD52" i="1"/>
  <c r="FE52" i="1"/>
  <c r="FH52" i="1"/>
  <c r="FL52" i="1" l="1"/>
  <c r="FU52" i="1" s="1"/>
  <c r="BM52" i="1" s="1"/>
  <c r="BZ52" i="1" s="1"/>
  <c r="FP52" i="1" l="1"/>
  <c r="BH52" i="1" s="1"/>
  <c r="BU52" i="1" s="1"/>
  <c r="FS52" i="1"/>
  <c r="BK52" i="1" s="1"/>
  <c r="BX52" i="1" s="1"/>
  <c r="FR52" i="1"/>
  <c r="BJ52" i="1" s="1"/>
  <c r="BW52" i="1" s="1"/>
  <c r="FN52" i="1"/>
  <c r="BF52" i="1" s="1"/>
  <c r="BS52" i="1" s="1"/>
  <c r="FV52" i="1"/>
  <c r="BN52" i="1" s="1"/>
  <c r="CA52" i="1" s="1"/>
  <c r="FO52" i="1"/>
  <c r="BG52" i="1" s="1"/>
  <c r="BT52" i="1" s="1"/>
  <c r="FM52" i="1"/>
  <c r="BE52" i="1" s="1"/>
  <c r="BR52" i="1" s="1"/>
  <c r="FT52" i="1"/>
  <c r="BL52" i="1" s="1"/>
  <c r="BY52" i="1" s="1"/>
  <c r="FQ52" i="1"/>
  <c r="BI52" i="1" s="1"/>
  <c r="BV52" i="1" s="1"/>
  <c r="BQ52" i="1" l="1"/>
  <c r="CL52" i="1" s="1"/>
  <c r="CF52" i="1" l="1"/>
  <c r="CG52" i="1"/>
  <c r="CJ52" i="1"/>
  <c r="CK52" i="1"/>
  <c r="CM52" i="1"/>
  <c r="DW52" i="1" s="1"/>
  <c r="DY52" i="1" s="1"/>
  <c r="E52" i="1" s="1"/>
  <c r="AF52" i="1" s="1"/>
  <c r="CD52" i="1"/>
  <c r="CH52" i="1"/>
  <c r="CI52" i="1"/>
  <c r="CE52" i="1"/>
  <c r="M52" i="1" l="1"/>
  <c r="AG52" i="1"/>
  <c r="AL52" i="1"/>
  <c r="AI52" i="1"/>
  <c r="AN52" i="1"/>
  <c r="AJ52" i="1"/>
  <c r="AH52" i="1"/>
  <c r="AM52" i="1"/>
  <c r="AK52" i="1"/>
  <c r="AE52" i="1" l="1"/>
  <c r="G52" i="1" s="1"/>
  <c r="AO52" i="1"/>
  <c r="F52" i="1" s="1"/>
  <c r="AP52" i="1" l="1"/>
  <c r="H52" i="1" s="1"/>
  <c r="K52" i="1" s="1"/>
  <c r="C53" i="1" s="1"/>
  <c r="L52" i="1" l="1"/>
  <c r="D53" i="1"/>
  <c r="Y53" i="1" s="1"/>
  <c r="O52" i="1"/>
  <c r="B53" i="1"/>
  <c r="I53" i="1"/>
  <c r="P52" i="1" l="1"/>
  <c r="CU53" i="1"/>
  <c r="DG53" i="1" s="1"/>
  <c r="CY53" i="1"/>
  <c r="CV53" i="1"/>
  <c r="DH53" i="1" s="1"/>
  <c r="AA53" i="1"/>
  <c r="Z53" i="1"/>
  <c r="EK53" i="1" s="1"/>
  <c r="CT53" i="1"/>
  <c r="DF53" i="1" s="1"/>
  <c r="T53" i="1"/>
  <c r="EE53" i="1" s="1"/>
  <c r="U53" i="1"/>
  <c r="EF53" i="1" s="1"/>
  <c r="CW53" i="1"/>
  <c r="DI53" i="1" s="1"/>
  <c r="CR53" i="1"/>
  <c r="DD53" i="1" s="1"/>
  <c r="W53" i="1"/>
  <c r="EH53" i="1" s="1"/>
  <c r="V53" i="1"/>
  <c r="CP53" i="1"/>
  <c r="DB53" i="1" s="1"/>
  <c r="J53" i="1"/>
  <c r="CQ53" i="1"/>
  <c r="DC53" i="1" s="1"/>
  <c r="CX53" i="1"/>
  <c r="DJ53" i="1" s="1"/>
  <c r="CS53" i="1"/>
  <c r="DE53" i="1" s="1"/>
  <c r="X53" i="1"/>
  <c r="EI53" i="1" s="1"/>
  <c r="S53" i="1"/>
  <c r="ED53" i="1" s="1"/>
  <c r="EG53" i="1"/>
  <c r="EJ53" i="1"/>
  <c r="EL53" i="1"/>
  <c r="DK53" i="1" l="1"/>
  <c r="AB53" i="1"/>
  <c r="AC53" i="1" s="1"/>
  <c r="AV53" i="1" s="1"/>
  <c r="DQ53" i="1" s="1"/>
  <c r="CO53" i="1"/>
  <c r="R53" i="1"/>
  <c r="EO53" i="1"/>
  <c r="EN53" i="1"/>
  <c r="EQ53" i="1"/>
  <c r="EP53" i="1"/>
  <c r="ER53" i="1"/>
  <c r="AT53" i="1" l="1"/>
  <c r="DO53" i="1" s="1"/>
  <c r="AW53" i="1"/>
  <c r="DR53" i="1" s="1"/>
  <c r="AY53" i="1"/>
  <c r="DT53" i="1" s="1"/>
  <c r="AU53" i="1"/>
  <c r="DP53" i="1" s="1"/>
  <c r="AX53" i="1"/>
  <c r="DS53" i="1" s="1"/>
  <c r="AZ53" i="1"/>
  <c r="DU53" i="1" s="1"/>
  <c r="BA53" i="1"/>
  <c r="DV53" i="1" s="1"/>
  <c r="AS53" i="1"/>
  <c r="DN53" i="1" s="1"/>
  <c r="ET53" i="1"/>
  <c r="EV53" i="1"/>
  <c r="EU53" i="1"/>
  <c r="EX53" i="1"/>
  <c r="EW53" i="1"/>
  <c r="BB53" i="1" l="1"/>
  <c r="FC53" i="1"/>
  <c r="FG53" i="1"/>
  <c r="FJ53" i="1"/>
  <c r="FW53" i="1" s="1"/>
  <c r="BO53" i="1" s="1"/>
  <c r="N53" i="1" s="1"/>
  <c r="EZ53" i="1"/>
  <c r="FD53" i="1"/>
  <c r="FH53" i="1"/>
  <c r="FA53" i="1"/>
  <c r="FE53" i="1"/>
  <c r="FI53" i="1"/>
  <c r="FB53" i="1"/>
  <c r="FF53" i="1"/>
  <c r="FL53" i="1" l="1"/>
  <c r="FR53" i="1" s="1"/>
  <c r="BJ53" i="1" s="1"/>
  <c r="BW53" i="1" s="1"/>
  <c r="FP53" i="1" l="1"/>
  <c r="BH53" i="1" s="1"/>
  <c r="BU53" i="1" s="1"/>
  <c r="FS53" i="1"/>
  <c r="BK53" i="1" s="1"/>
  <c r="BX53" i="1" s="1"/>
  <c r="FN53" i="1"/>
  <c r="BF53" i="1" s="1"/>
  <c r="BS53" i="1" s="1"/>
  <c r="FT53" i="1"/>
  <c r="BL53" i="1" s="1"/>
  <c r="BY53" i="1" s="1"/>
  <c r="FM53" i="1"/>
  <c r="BE53" i="1" s="1"/>
  <c r="BR53" i="1" s="1"/>
  <c r="FQ53" i="1"/>
  <c r="BI53" i="1" s="1"/>
  <c r="BV53" i="1" s="1"/>
  <c r="FU53" i="1"/>
  <c r="BM53" i="1" s="1"/>
  <c r="BZ53" i="1" s="1"/>
  <c r="FV53" i="1"/>
  <c r="BN53" i="1" s="1"/>
  <c r="CA53" i="1" s="1"/>
  <c r="FO53" i="1"/>
  <c r="BG53" i="1" s="1"/>
  <c r="BT53" i="1" s="1"/>
  <c r="BQ53" i="1" l="1"/>
  <c r="CI53" i="1" s="1"/>
  <c r="CG53" i="1" l="1"/>
  <c r="CE53" i="1"/>
  <c r="CJ53" i="1"/>
  <c r="CH53" i="1"/>
  <c r="CK53" i="1"/>
  <c r="CD53" i="1"/>
  <c r="CM53" i="1"/>
  <c r="DW53" i="1" s="1"/>
  <c r="DY53" i="1" s="1"/>
  <c r="E53" i="1" s="1"/>
  <c r="CF53" i="1"/>
  <c r="CL53" i="1"/>
  <c r="AG53" i="1" l="1"/>
  <c r="AK53" i="1"/>
  <c r="AH53" i="1"/>
  <c r="AL53" i="1"/>
  <c r="AI53" i="1"/>
  <c r="AM53" i="1"/>
  <c r="AF53" i="1"/>
  <c r="AJ53" i="1"/>
  <c r="AN53" i="1"/>
  <c r="M53" i="1"/>
  <c r="AO53" i="1" l="1"/>
  <c r="AE53" i="1"/>
  <c r="G53" i="1" s="1"/>
  <c r="AP53" i="1" l="1"/>
  <c r="H53" i="1" s="1"/>
  <c r="K53" i="1" s="1"/>
  <c r="F53" i="1"/>
  <c r="D54" i="1" l="1"/>
  <c r="O53" i="1"/>
  <c r="L53" i="1"/>
  <c r="P53" i="1" s="1"/>
  <c r="B54" i="1"/>
  <c r="C54" i="1"/>
  <c r="I54" i="1"/>
  <c r="CR54" i="1" l="1"/>
  <c r="DD54" i="1" s="1"/>
  <c r="CV54" i="1"/>
  <c r="DH54" i="1" s="1"/>
  <c r="CY54" i="1"/>
  <c r="DK54" i="1" s="1"/>
  <c r="CS54" i="1"/>
  <c r="DE54" i="1" s="1"/>
  <c r="CW54" i="1"/>
  <c r="DI54" i="1" s="1"/>
  <c r="CP54" i="1"/>
  <c r="CT54" i="1"/>
  <c r="DF54" i="1" s="1"/>
  <c r="CX54" i="1"/>
  <c r="DJ54" i="1" s="1"/>
  <c r="CQ54" i="1"/>
  <c r="DC54" i="1" s="1"/>
  <c r="CU54" i="1"/>
  <c r="DG54" i="1" s="1"/>
  <c r="V54" i="1"/>
  <c r="Z54" i="1"/>
  <c r="J54" i="1"/>
  <c r="S54" i="1"/>
  <c r="W54" i="1"/>
  <c r="AA54" i="1"/>
  <c r="T54" i="1"/>
  <c r="X54" i="1"/>
  <c r="U54" i="1"/>
  <c r="Y54" i="1"/>
  <c r="EF54" i="1" l="1"/>
  <c r="EJ54" i="1"/>
  <c r="EL54" i="1"/>
  <c r="EK54" i="1"/>
  <c r="EH54" i="1"/>
  <c r="EG54" i="1"/>
  <c r="AB54" i="1"/>
  <c r="AC54" i="1" s="1"/>
  <c r="AZ54" i="1" s="1"/>
  <c r="DU54" i="1" s="1"/>
  <c r="R54" i="1"/>
  <c r="ED54" i="1"/>
  <c r="DB54" i="1"/>
  <c r="CO54" i="1"/>
  <c r="EI54" i="1"/>
  <c r="EE54" i="1"/>
  <c r="AY54" i="1" l="1"/>
  <c r="DT54" i="1" s="1"/>
  <c r="AS54" i="1"/>
  <c r="AW54" i="1"/>
  <c r="DR54" i="1" s="1"/>
  <c r="BA54" i="1"/>
  <c r="DV54" i="1" s="1"/>
  <c r="AU54" i="1"/>
  <c r="DP54" i="1" s="1"/>
  <c r="AX54" i="1"/>
  <c r="DS54" i="1" s="1"/>
  <c r="AT54" i="1"/>
  <c r="DO54" i="1" s="1"/>
  <c r="EP54" i="1"/>
  <c r="EQ54" i="1"/>
  <c r="ER54" i="1"/>
  <c r="EN54" i="1"/>
  <c r="EO54" i="1"/>
  <c r="AV54" i="1"/>
  <c r="DQ54" i="1" s="1"/>
  <c r="ET54" i="1" l="1"/>
  <c r="EW54" i="1"/>
  <c r="EU54" i="1"/>
  <c r="EV54" i="1"/>
  <c r="EX54" i="1"/>
  <c r="DN54" i="1"/>
  <c r="BB54" i="1"/>
  <c r="FJ54" i="1" l="1"/>
  <c r="FW54" i="1" s="1"/>
  <c r="BO54" i="1" s="1"/>
  <c r="N54" i="1" s="1"/>
  <c r="EZ54" i="1"/>
  <c r="FD54" i="1"/>
  <c r="FH54" i="1"/>
  <c r="FA54" i="1"/>
  <c r="FE54" i="1"/>
  <c r="FI54" i="1"/>
  <c r="FB54" i="1"/>
  <c r="FF54" i="1"/>
  <c r="FC54" i="1"/>
  <c r="FG54" i="1"/>
  <c r="FL54" i="1" l="1"/>
  <c r="FP54" i="1" s="1"/>
  <c r="BH54" i="1" s="1"/>
  <c r="BU54" i="1" s="1"/>
  <c r="FM54" i="1" l="1"/>
  <c r="BE54" i="1" s="1"/>
  <c r="BR54" i="1" s="1"/>
  <c r="FQ54" i="1"/>
  <c r="BI54" i="1" s="1"/>
  <c r="BV54" i="1" s="1"/>
  <c r="FV54" i="1"/>
  <c r="BN54" i="1" s="1"/>
  <c r="CA54" i="1" s="1"/>
  <c r="FN54" i="1"/>
  <c r="BF54" i="1" s="1"/>
  <c r="BS54" i="1" s="1"/>
  <c r="FR54" i="1"/>
  <c r="BJ54" i="1" s="1"/>
  <c r="BW54" i="1" s="1"/>
  <c r="FU54" i="1"/>
  <c r="BM54" i="1" s="1"/>
  <c r="BZ54" i="1" s="1"/>
  <c r="FO54" i="1"/>
  <c r="BG54" i="1" s="1"/>
  <c r="BT54" i="1" s="1"/>
  <c r="FT54" i="1"/>
  <c r="BL54" i="1" s="1"/>
  <c r="BY54" i="1" s="1"/>
  <c r="FS54" i="1"/>
  <c r="BK54" i="1" s="1"/>
  <c r="BX54" i="1" s="1"/>
  <c r="BQ54" i="1" l="1"/>
  <c r="CG54" i="1" s="1"/>
  <c r="CD54" i="1" l="1"/>
  <c r="CI54" i="1"/>
  <c r="CH54" i="1"/>
  <c r="CE54" i="1"/>
  <c r="CK54" i="1"/>
  <c r="CJ54" i="1"/>
  <c r="CL54" i="1"/>
  <c r="CM54" i="1"/>
  <c r="DW54" i="1" s="1"/>
  <c r="DY54" i="1" s="1"/>
  <c r="E54" i="1" s="1"/>
  <c r="CF54" i="1"/>
  <c r="AH54" i="1" l="1"/>
  <c r="AL54" i="1"/>
  <c r="AI54" i="1"/>
  <c r="AM54" i="1"/>
  <c r="AF54" i="1"/>
  <c r="AJ54" i="1"/>
  <c r="AN54" i="1"/>
  <c r="AG54" i="1"/>
  <c r="AK54" i="1"/>
  <c r="M54" i="1"/>
  <c r="AE54" i="1" l="1"/>
  <c r="G54" i="1" s="1"/>
  <c r="AO54" i="1"/>
  <c r="AP54" i="1" l="1"/>
  <c r="H54" i="1" s="1"/>
  <c r="K54" i="1" s="1"/>
  <c r="F54" i="1"/>
  <c r="L54" i="1" l="1"/>
  <c r="B55" i="1"/>
  <c r="C55" i="1"/>
  <c r="I55" i="1"/>
  <c r="D55" i="1"/>
  <c r="O54" i="1"/>
  <c r="P54" i="1" l="1"/>
  <c r="S55" i="1"/>
  <c r="W55" i="1"/>
  <c r="AA55" i="1"/>
  <c r="T55" i="1"/>
  <c r="X55" i="1"/>
  <c r="U55" i="1"/>
  <c r="Y55" i="1"/>
  <c r="V55" i="1"/>
  <c r="Z55" i="1"/>
  <c r="J55" i="1"/>
  <c r="CY55" i="1"/>
  <c r="CR55" i="1"/>
  <c r="DD55" i="1" s="1"/>
  <c r="CV55" i="1"/>
  <c r="DH55" i="1" s="1"/>
  <c r="CP55" i="1"/>
  <c r="CS55" i="1"/>
  <c r="DE55" i="1" s="1"/>
  <c r="CW55" i="1"/>
  <c r="DI55" i="1" s="1"/>
  <c r="CT55" i="1"/>
  <c r="DF55" i="1" s="1"/>
  <c r="CX55" i="1"/>
  <c r="DJ55" i="1" s="1"/>
  <c r="CQ55" i="1"/>
  <c r="DC55" i="1" s="1"/>
  <c r="CU55" i="1"/>
  <c r="DG55" i="1" s="1"/>
  <c r="DK55" i="1" l="1"/>
  <c r="EE55" i="1"/>
  <c r="DB55" i="1"/>
  <c r="CO55" i="1"/>
  <c r="EJ55" i="1"/>
  <c r="EL55" i="1"/>
  <c r="EK55" i="1"/>
  <c r="EF55" i="1"/>
  <c r="EH55" i="1"/>
  <c r="EG55" i="1"/>
  <c r="EI55" i="1"/>
  <c r="R55" i="1"/>
  <c r="AB55" i="1"/>
  <c r="AC55" i="1" s="1"/>
  <c r="BA55" i="1" s="1"/>
  <c r="DV55" i="1" s="1"/>
  <c r="ED55" i="1"/>
  <c r="AV55" i="1" l="1"/>
  <c r="DQ55" i="1" s="1"/>
  <c r="AS55" i="1"/>
  <c r="AT55" i="1"/>
  <c r="DO55" i="1" s="1"/>
  <c r="AW55" i="1"/>
  <c r="DR55" i="1" s="1"/>
  <c r="EO55" i="1"/>
  <c r="EN55" i="1"/>
  <c r="EP55" i="1"/>
  <c r="ER55" i="1"/>
  <c r="EQ55" i="1"/>
  <c r="AX55" i="1"/>
  <c r="DS55" i="1" s="1"/>
  <c r="AZ55" i="1"/>
  <c r="DU55" i="1" s="1"/>
  <c r="AY55" i="1"/>
  <c r="DT55" i="1" s="1"/>
  <c r="AU55" i="1"/>
  <c r="DP55" i="1" s="1"/>
  <c r="EU55" i="1" l="1"/>
  <c r="EX55" i="1"/>
  <c r="EV55" i="1"/>
  <c r="EW55" i="1"/>
  <c r="ET55" i="1"/>
  <c r="DN55" i="1"/>
  <c r="BB55" i="1"/>
  <c r="FA55" i="1" l="1"/>
  <c r="FE55" i="1"/>
  <c r="FI55" i="1"/>
  <c r="FB55" i="1"/>
  <c r="FF55" i="1"/>
  <c r="FC55" i="1"/>
  <c r="FG55" i="1"/>
  <c r="FJ55" i="1"/>
  <c r="FW55" i="1" s="1"/>
  <c r="BO55" i="1" s="1"/>
  <c r="N55" i="1" s="1"/>
  <c r="EZ55" i="1"/>
  <c r="FD55" i="1"/>
  <c r="FH55" i="1"/>
  <c r="FL55" i="1" l="1"/>
  <c r="FQ55" i="1" s="1"/>
  <c r="BI55" i="1" s="1"/>
  <c r="BV55" i="1" s="1"/>
  <c r="FO55" i="1" l="1"/>
  <c r="BG55" i="1" s="1"/>
  <c r="BT55" i="1" s="1"/>
  <c r="FT55" i="1"/>
  <c r="BL55" i="1" s="1"/>
  <c r="BY55" i="1" s="1"/>
  <c r="FV55" i="1"/>
  <c r="BN55" i="1" s="1"/>
  <c r="CA55" i="1" s="1"/>
  <c r="FN55" i="1"/>
  <c r="BF55" i="1" s="1"/>
  <c r="BS55" i="1" s="1"/>
  <c r="FR55" i="1"/>
  <c r="BJ55" i="1" s="1"/>
  <c r="BW55" i="1" s="1"/>
  <c r="FS55" i="1"/>
  <c r="BK55" i="1" s="1"/>
  <c r="BX55" i="1" s="1"/>
  <c r="FP55" i="1"/>
  <c r="BH55" i="1" s="1"/>
  <c r="BU55" i="1" s="1"/>
  <c r="FU55" i="1"/>
  <c r="BM55" i="1" s="1"/>
  <c r="BZ55" i="1" s="1"/>
  <c r="FM55" i="1"/>
  <c r="BE55" i="1" s="1"/>
  <c r="BR55" i="1" s="1"/>
  <c r="BQ55" i="1" l="1"/>
  <c r="CH55" i="1" s="1"/>
  <c r="CJ55" i="1" l="1"/>
  <c r="CK55" i="1"/>
  <c r="CF55" i="1"/>
  <c r="CE55" i="1"/>
  <c r="CI55" i="1"/>
  <c r="CM55" i="1"/>
  <c r="DW55" i="1" s="1"/>
  <c r="DY55" i="1" s="1"/>
  <c r="E55" i="1" s="1"/>
  <c r="CL55" i="1"/>
  <c r="CD55" i="1"/>
  <c r="CG55" i="1"/>
  <c r="AI55" i="1" l="1"/>
  <c r="AM55" i="1"/>
  <c r="AF55" i="1"/>
  <c r="AJ55" i="1"/>
  <c r="AN55" i="1"/>
  <c r="AG55" i="1"/>
  <c r="AK55" i="1"/>
  <c r="AH55" i="1"/>
  <c r="AL55" i="1"/>
  <c r="M55" i="1"/>
  <c r="AO55" i="1" l="1"/>
  <c r="AE55" i="1"/>
  <c r="G55" i="1" s="1"/>
  <c r="F55" i="1" l="1"/>
  <c r="AP55" i="1"/>
  <c r="H55" i="1" s="1"/>
  <c r="K55" i="1" s="1"/>
  <c r="L55" i="1" l="1"/>
  <c r="C56" i="1"/>
  <c r="I56" i="1"/>
  <c r="B56" i="1"/>
  <c r="D56" i="1"/>
  <c r="O55" i="1"/>
  <c r="P55" i="1" l="1"/>
  <c r="T56" i="1"/>
  <c r="X56" i="1"/>
  <c r="J56" i="1"/>
  <c r="U56" i="1"/>
  <c r="Y56" i="1"/>
  <c r="V56" i="1"/>
  <c r="Z56" i="1"/>
  <c r="S56" i="1"/>
  <c r="W56" i="1"/>
  <c r="AA56" i="1"/>
  <c r="CP56" i="1"/>
  <c r="CT56" i="1"/>
  <c r="DF56" i="1" s="1"/>
  <c r="CX56" i="1"/>
  <c r="DJ56" i="1" s="1"/>
  <c r="CQ56" i="1"/>
  <c r="DC56" i="1" s="1"/>
  <c r="CU56" i="1"/>
  <c r="DG56" i="1" s="1"/>
  <c r="CR56" i="1"/>
  <c r="DD56" i="1" s="1"/>
  <c r="CV56" i="1"/>
  <c r="DH56" i="1" s="1"/>
  <c r="CY56" i="1"/>
  <c r="CS56" i="1"/>
  <c r="DE56" i="1" s="1"/>
  <c r="CW56" i="1"/>
  <c r="DI56" i="1" s="1"/>
  <c r="DK56" i="1" l="1"/>
  <c r="CO56" i="1"/>
  <c r="DB56" i="1"/>
  <c r="EK56" i="1"/>
  <c r="EF56" i="1"/>
  <c r="EL56" i="1"/>
  <c r="EG56" i="1"/>
  <c r="EH56" i="1"/>
  <c r="EI56" i="1"/>
  <c r="AB56" i="1"/>
  <c r="AC56" i="1" s="1"/>
  <c r="AW56" i="1" s="1"/>
  <c r="DR56" i="1" s="1"/>
  <c r="ED56" i="1"/>
  <c r="R56" i="1"/>
  <c r="EJ56" i="1"/>
  <c r="EE56" i="1"/>
  <c r="AY56" i="1" l="1"/>
  <c r="DT56" i="1" s="1"/>
  <c r="BA56" i="1"/>
  <c r="DV56" i="1" s="1"/>
  <c r="AZ56" i="1"/>
  <c r="DU56" i="1" s="1"/>
  <c r="AU56" i="1"/>
  <c r="DP56" i="1" s="1"/>
  <c r="AS56" i="1"/>
  <c r="AX56" i="1"/>
  <c r="DS56" i="1" s="1"/>
  <c r="AV56" i="1"/>
  <c r="DQ56" i="1" s="1"/>
  <c r="AT56" i="1"/>
  <c r="DO56" i="1" s="1"/>
  <c r="ER56" i="1"/>
  <c r="EP56" i="1"/>
  <c r="EO56" i="1"/>
  <c r="EN56" i="1"/>
  <c r="EQ56" i="1"/>
  <c r="EV56" i="1" l="1"/>
  <c r="EW56" i="1"/>
  <c r="EX56" i="1"/>
  <c r="EU56" i="1"/>
  <c r="ET56" i="1"/>
  <c r="BB56" i="1"/>
  <c r="DN56" i="1"/>
  <c r="FB56" i="1" l="1"/>
  <c r="FF56" i="1"/>
  <c r="FC56" i="1"/>
  <c r="FG56" i="1"/>
  <c r="FJ56" i="1"/>
  <c r="FW56" i="1" s="1"/>
  <c r="BO56" i="1" s="1"/>
  <c r="N56" i="1" s="1"/>
  <c r="EZ56" i="1"/>
  <c r="FD56" i="1"/>
  <c r="FH56" i="1"/>
  <c r="FA56" i="1"/>
  <c r="FE56" i="1"/>
  <c r="FI56" i="1"/>
  <c r="FL56" i="1" l="1"/>
  <c r="FR56" i="1" s="1"/>
  <c r="BJ56" i="1" s="1"/>
  <c r="BW56" i="1" s="1"/>
  <c r="FT56" i="1" l="1"/>
  <c r="BL56" i="1" s="1"/>
  <c r="BY56" i="1" s="1"/>
  <c r="FS56" i="1"/>
  <c r="BK56" i="1" s="1"/>
  <c r="BX56" i="1" s="1"/>
  <c r="FP56" i="1"/>
  <c r="BH56" i="1" s="1"/>
  <c r="BU56" i="1" s="1"/>
  <c r="FU56" i="1"/>
  <c r="BM56" i="1" s="1"/>
  <c r="BZ56" i="1" s="1"/>
  <c r="FM56" i="1"/>
  <c r="BE56" i="1" s="1"/>
  <c r="BR56" i="1" s="1"/>
  <c r="FQ56" i="1"/>
  <c r="BI56" i="1" s="1"/>
  <c r="BV56" i="1" s="1"/>
  <c r="FN56" i="1"/>
  <c r="BF56" i="1" s="1"/>
  <c r="BS56" i="1" s="1"/>
  <c r="FV56" i="1"/>
  <c r="BN56" i="1" s="1"/>
  <c r="CA56" i="1" s="1"/>
  <c r="FO56" i="1"/>
  <c r="BG56" i="1" s="1"/>
  <c r="BT56" i="1" s="1"/>
  <c r="BQ56" i="1" l="1"/>
  <c r="CI56" i="1" s="1"/>
  <c r="CK56" i="1" l="1"/>
  <c r="CJ56" i="1"/>
  <c r="CG56" i="1"/>
  <c r="CD56" i="1"/>
  <c r="CH56" i="1"/>
  <c r="CL56" i="1"/>
  <c r="CM56" i="1"/>
  <c r="DW56" i="1" s="1"/>
  <c r="DY56" i="1" s="1"/>
  <c r="E56" i="1" s="1"/>
  <c r="CF56" i="1"/>
  <c r="CE56" i="1"/>
  <c r="AF56" i="1" l="1"/>
  <c r="AJ56" i="1"/>
  <c r="AN56" i="1"/>
  <c r="AG56" i="1"/>
  <c r="AK56" i="1"/>
  <c r="AH56" i="1"/>
  <c r="AL56" i="1"/>
  <c r="AI56" i="1"/>
  <c r="AM56" i="1"/>
  <c r="M56" i="1"/>
  <c r="AO56" i="1" l="1"/>
  <c r="AE56" i="1"/>
  <c r="G56" i="1" s="1"/>
  <c r="F56" i="1" l="1"/>
  <c r="AP56" i="1"/>
  <c r="H56" i="1" s="1"/>
  <c r="K56" i="1" s="1"/>
  <c r="C57" i="1" l="1"/>
  <c r="I57" i="1"/>
  <c r="D57" i="1"/>
  <c r="O56" i="1"/>
  <c r="L56" i="1"/>
  <c r="B57" i="1"/>
  <c r="P56" i="1" l="1"/>
  <c r="U57" i="1"/>
  <c r="Y57" i="1"/>
  <c r="V57" i="1"/>
  <c r="Z57" i="1"/>
  <c r="S57" i="1"/>
  <c r="W57" i="1"/>
  <c r="AA57" i="1"/>
  <c r="T57" i="1"/>
  <c r="X57" i="1"/>
  <c r="J57" i="1"/>
  <c r="CP57" i="1"/>
  <c r="CS57" i="1"/>
  <c r="DE57" i="1" s="1"/>
  <c r="CW57" i="1"/>
  <c r="DI57" i="1" s="1"/>
  <c r="CT57" i="1"/>
  <c r="DF57" i="1" s="1"/>
  <c r="CX57" i="1"/>
  <c r="DJ57" i="1" s="1"/>
  <c r="CY57" i="1"/>
  <c r="DK57" i="1" s="1"/>
  <c r="CQ57" i="1"/>
  <c r="DC57" i="1" s="1"/>
  <c r="CU57" i="1"/>
  <c r="DG57" i="1" s="1"/>
  <c r="CR57" i="1"/>
  <c r="DD57" i="1" s="1"/>
  <c r="CV57" i="1"/>
  <c r="DH57" i="1" s="1"/>
  <c r="DB57" i="1" l="1"/>
  <c r="CO57" i="1"/>
  <c r="EE57" i="1"/>
  <c r="EK57" i="1"/>
  <c r="EL57" i="1"/>
  <c r="EG57" i="1"/>
  <c r="EH57" i="1"/>
  <c r="EJ57" i="1"/>
  <c r="EI57" i="1"/>
  <c r="R57" i="1"/>
  <c r="AB57" i="1"/>
  <c r="AC57" i="1" s="1"/>
  <c r="AX57" i="1" s="1"/>
  <c r="DS57" i="1" s="1"/>
  <c r="ED57" i="1"/>
  <c r="EF57" i="1"/>
  <c r="AW57" i="1" l="1"/>
  <c r="DR57" i="1" s="1"/>
  <c r="BA57" i="1"/>
  <c r="DV57" i="1" s="1"/>
  <c r="AT57" i="1"/>
  <c r="DO57" i="1" s="1"/>
  <c r="AZ57" i="1"/>
  <c r="DU57" i="1" s="1"/>
  <c r="AU57" i="1"/>
  <c r="DP57" i="1" s="1"/>
  <c r="AS57" i="1"/>
  <c r="AY57" i="1"/>
  <c r="DT57" i="1" s="1"/>
  <c r="AV57" i="1"/>
  <c r="DQ57" i="1" s="1"/>
  <c r="EQ57" i="1"/>
  <c r="EN57" i="1"/>
  <c r="EO57" i="1"/>
  <c r="ER57" i="1"/>
  <c r="EP57" i="1"/>
  <c r="EU57" i="1" l="1"/>
  <c r="EW57" i="1"/>
  <c r="EV57" i="1"/>
  <c r="EX57" i="1"/>
  <c r="ET57" i="1"/>
  <c r="DN57" i="1"/>
  <c r="BB57" i="1"/>
  <c r="FA57" i="1" l="1"/>
  <c r="FE57" i="1"/>
  <c r="FJ57" i="1"/>
  <c r="FW57" i="1" s="1"/>
  <c r="BO57" i="1" s="1"/>
  <c r="N57" i="1" s="1"/>
  <c r="FI57" i="1"/>
  <c r="FB57" i="1"/>
  <c r="FF57" i="1"/>
  <c r="FC57" i="1"/>
  <c r="FG57" i="1"/>
  <c r="EZ57" i="1"/>
  <c r="FD57" i="1"/>
  <c r="FH57" i="1"/>
  <c r="FL57" i="1" l="1"/>
  <c r="FQ57" i="1" s="1"/>
  <c r="BI57" i="1" s="1"/>
  <c r="BV57" i="1" s="1"/>
  <c r="FS57" i="1" l="1"/>
  <c r="BK57" i="1" s="1"/>
  <c r="BX57" i="1" s="1"/>
  <c r="FT57" i="1"/>
  <c r="BL57" i="1" s="1"/>
  <c r="BY57" i="1" s="1"/>
  <c r="FO57" i="1"/>
  <c r="BG57" i="1" s="1"/>
  <c r="BT57" i="1" s="1"/>
  <c r="FP57" i="1"/>
  <c r="BH57" i="1" s="1"/>
  <c r="BU57" i="1" s="1"/>
  <c r="FM57" i="1"/>
  <c r="BE57" i="1" s="1"/>
  <c r="BR57" i="1" s="1"/>
  <c r="FR57" i="1"/>
  <c r="BJ57" i="1" s="1"/>
  <c r="BW57" i="1" s="1"/>
  <c r="FU57" i="1"/>
  <c r="BM57" i="1" s="1"/>
  <c r="BZ57" i="1" s="1"/>
  <c r="FV57" i="1"/>
  <c r="BN57" i="1" s="1"/>
  <c r="CA57" i="1" s="1"/>
  <c r="FN57" i="1"/>
  <c r="BF57" i="1" s="1"/>
  <c r="BS57" i="1" s="1"/>
  <c r="BQ57" i="1" l="1"/>
  <c r="CH57" i="1" s="1"/>
  <c r="CJ57" i="1" l="1"/>
  <c r="CG57" i="1"/>
  <c r="CM57" i="1"/>
  <c r="DW57" i="1" s="1"/>
  <c r="DY57" i="1" s="1"/>
  <c r="E57" i="1" s="1"/>
  <c r="AI57" i="1" s="1"/>
  <c r="CE57" i="1"/>
  <c r="CI57" i="1"/>
  <c r="CK57" i="1"/>
  <c r="CD57" i="1"/>
  <c r="CF57" i="1"/>
  <c r="CL57" i="1"/>
  <c r="AJ57" i="1" l="1"/>
  <c r="M57" i="1"/>
  <c r="AG57" i="1"/>
  <c r="AM57" i="1"/>
  <c r="AH57" i="1"/>
  <c r="AK57" i="1"/>
  <c r="AF57" i="1"/>
  <c r="AL57" i="1"/>
  <c r="AN57" i="1"/>
  <c r="AO57" i="1" l="1"/>
  <c r="F57" i="1" s="1"/>
  <c r="AE57" i="1"/>
  <c r="G57" i="1" s="1"/>
  <c r="AP57" i="1" l="1"/>
  <c r="H57" i="1" s="1"/>
  <c r="K57" i="1" s="1"/>
  <c r="C58" i="1" s="1"/>
  <c r="L57" i="1" l="1"/>
  <c r="D58" i="1"/>
  <c r="X58" i="1" s="1"/>
  <c r="B58" i="1"/>
  <c r="I58" i="1"/>
  <c r="O57" i="1"/>
  <c r="CT58" i="1" l="1"/>
  <c r="DF58" i="1" s="1"/>
  <c r="T58" i="1"/>
  <c r="CQ58" i="1"/>
  <c r="DC58" i="1" s="1"/>
  <c r="CS58" i="1"/>
  <c r="DE58" i="1" s="1"/>
  <c r="CY58" i="1"/>
  <c r="CV58" i="1"/>
  <c r="DH58" i="1" s="1"/>
  <c r="CU58" i="1"/>
  <c r="DG58" i="1" s="1"/>
  <c r="CW58" i="1"/>
  <c r="DI58" i="1" s="1"/>
  <c r="P57" i="1"/>
  <c r="CR58" i="1"/>
  <c r="DD58" i="1" s="1"/>
  <c r="CX58" i="1"/>
  <c r="DJ58" i="1" s="1"/>
  <c r="CP58" i="1"/>
  <c r="DB58" i="1" s="1"/>
  <c r="AA58" i="1"/>
  <c r="EL58" i="1" s="1"/>
  <c r="W58" i="1"/>
  <c r="EH58" i="1" s="1"/>
  <c r="S58" i="1"/>
  <c r="ED58" i="1" s="1"/>
  <c r="Z58" i="1"/>
  <c r="EK58" i="1" s="1"/>
  <c r="V58" i="1"/>
  <c r="EG58" i="1" s="1"/>
  <c r="Y58" i="1"/>
  <c r="EJ58" i="1" s="1"/>
  <c r="U58" i="1"/>
  <c r="EF58" i="1" s="1"/>
  <c r="J58" i="1"/>
  <c r="EI58" i="1"/>
  <c r="EE58" i="1"/>
  <c r="DK58" i="1" l="1"/>
  <c r="CO58" i="1"/>
  <c r="R58" i="1"/>
  <c r="AB58" i="1"/>
  <c r="AC58" i="1" s="1"/>
  <c r="AW58" i="1" s="1"/>
  <c r="DR58" i="1" s="1"/>
  <c r="EQ58" i="1"/>
  <c r="EN58" i="1"/>
  <c r="EO58" i="1"/>
  <c r="ER58" i="1"/>
  <c r="EP58" i="1"/>
  <c r="BA58" i="1" l="1"/>
  <c r="DV58" i="1" s="1"/>
  <c r="AX58" i="1"/>
  <c r="DS58" i="1" s="1"/>
  <c r="AS58" i="1"/>
  <c r="DN58" i="1" s="1"/>
  <c r="AY58" i="1"/>
  <c r="DT58" i="1" s="1"/>
  <c r="AU58" i="1"/>
  <c r="DP58" i="1" s="1"/>
  <c r="AZ58" i="1"/>
  <c r="DU58" i="1" s="1"/>
  <c r="AT58" i="1"/>
  <c r="DO58" i="1" s="1"/>
  <c r="AV58" i="1"/>
  <c r="DQ58" i="1" s="1"/>
  <c r="EW58" i="1"/>
  <c r="EX58" i="1"/>
  <c r="EV58" i="1"/>
  <c r="EU58" i="1"/>
  <c r="ET58" i="1"/>
  <c r="BB58" i="1" l="1"/>
  <c r="FB58" i="1"/>
  <c r="FF58" i="1"/>
  <c r="FC58" i="1"/>
  <c r="FG58" i="1"/>
  <c r="FJ58" i="1"/>
  <c r="FW58" i="1" s="1"/>
  <c r="BO58" i="1" s="1"/>
  <c r="N58" i="1" s="1"/>
  <c r="EZ58" i="1"/>
  <c r="FD58" i="1"/>
  <c r="FH58" i="1"/>
  <c r="FA58" i="1"/>
  <c r="FE58" i="1"/>
  <c r="FI58" i="1"/>
  <c r="FL58" i="1" l="1"/>
  <c r="FR58" i="1" s="1"/>
  <c r="BJ58" i="1" s="1"/>
  <c r="BW58" i="1" s="1"/>
  <c r="FQ58" i="1" l="1"/>
  <c r="BI58" i="1" s="1"/>
  <c r="BV58" i="1" s="1"/>
  <c r="FT58" i="1"/>
  <c r="BL58" i="1" s="1"/>
  <c r="BY58" i="1" s="1"/>
  <c r="FU58" i="1"/>
  <c r="BM58" i="1" s="1"/>
  <c r="BZ58" i="1" s="1"/>
  <c r="FP58" i="1"/>
  <c r="BH58" i="1" s="1"/>
  <c r="BU58" i="1" s="1"/>
  <c r="FS58" i="1"/>
  <c r="BK58" i="1" s="1"/>
  <c r="BX58" i="1" s="1"/>
  <c r="FM58" i="1"/>
  <c r="BE58" i="1" s="1"/>
  <c r="BR58" i="1" s="1"/>
  <c r="FN58" i="1"/>
  <c r="BF58" i="1" s="1"/>
  <c r="BS58" i="1" s="1"/>
  <c r="FV58" i="1"/>
  <c r="BN58" i="1" s="1"/>
  <c r="CA58" i="1" s="1"/>
  <c r="FO58" i="1"/>
  <c r="BG58" i="1" s="1"/>
  <c r="BT58" i="1" s="1"/>
  <c r="BQ58" i="1" l="1"/>
  <c r="CD58" i="1" s="1"/>
  <c r="CF58" i="1" l="1"/>
  <c r="CI58" i="1"/>
  <c r="CG58" i="1"/>
  <c r="CK58" i="1"/>
  <c r="CJ58" i="1"/>
  <c r="CL58" i="1"/>
  <c r="CH58" i="1"/>
  <c r="CM58" i="1"/>
  <c r="DW58" i="1" s="1"/>
  <c r="DY58" i="1" s="1"/>
  <c r="E58" i="1" s="1"/>
  <c r="CE58" i="1"/>
  <c r="AF58" i="1" l="1"/>
  <c r="AJ58" i="1"/>
  <c r="AN58" i="1"/>
  <c r="AG58" i="1"/>
  <c r="AK58" i="1"/>
  <c r="AH58" i="1"/>
  <c r="AL58" i="1"/>
  <c r="AI58" i="1"/>
  <c r="AM58" i="1"/>
  <c r="M58" i="1"/>
  <c r="AE58" i="1" l="1"/>
  <c r="G58" i="1" s="1"/>
  <c r="AO58" i="1"/>
  <c r="F58" i="1" l="1"/>
  <c r="AP58" i="1"/>
  <c r="H58" i="1" s="1"/>
  <c r="K58" i="1" s="1"/>
  <c r="C59" i="1" l="1"/>
  <c r="D59" i="1"/>
  <c r="O58" i="1"/>
  <c r="L58" i="1"/>
  <c r="I59" i="1"/>
  <c r="B59" i="1"/>
  <c r="P58" i="1" l="1"/>
  <c r="U59" i="1"/>
  <c r="Y59" i="1"/>
  <c r="V59" i="1"/>
  <c r="Z59" i="1"/>
  <c r="S59" i="1"/>
  <c r="W59" i="1"/>
  <c r="AA59" i="1"/>
  <c r="J59" i="1"/>
  <c r="T59" i="1"/>
  <c r="X59" i="1"/>
  <c r="CP59" i="1"/>
  <c r="CT59" i="1"/>
  <c r="DF59" i="1" s="1"/>
  <c r="CX59" i="1"/>
  <c r="DJ59" i="1" s="1"/>
  <c r="CQ59" i="1"/>
  <c r="DC59" i="1" s="1"/>
  <c r="CU59" i="1"/>
  <c r="DG59" i="1" s="1"/>
  <c r="CY59" i="1"/>
  <c r="DK59" i="1" s="1"/>
  <c r="CR59" i="1"/>
  <c r="DD59" i="1" s="1"/>
  <c r="CV59" i="1"/>
  <c r="DH59" i="1" s="1"/>
  <c r="CS59" i="1"/>
  <c r="DE59" i="1" s="1"/>
  <c r="CW59" i="1"/>
  <c r="DI59" i="1" s="1"/>
  <c r="CO59" i="1" l="1"/>
  <c r="DB59" i="1"/>
  <c r="EL59" i="1"/>
  <c r="EG59" i="1"/>
  <c r="EI59" i="1"/>
  <c r="EH59" i="1"/>
  <c r="EE59" i="1"/>
  <c r="R59" i="1"/>
  <c r="AB59" i="1"/>
  <c r="AC59" i="1" s="1"/>
  <c r="AX59" i="1" s="1"/>
  <c r="DS59" i="1" s="1"/>
  <c r="ED59" i="1"/>
  <c r="EJ59" i="1"/>
  <c r="EK59" i="1"/>
  <c r="EF59" i="1"/>
  <c r="BA59" i="1" l="1"/>
  <c r="DV59" i="1" s="1"/>
  <c r="AU59" i="1"/>
  <c r="DP59" i="1" s="1"/>
  <c r="AY59" i="1"/>
  <c r="DT59" i="1" s="1"/>
  <c r="AS59" i="1"/>
  <c r="AW59" i="1"/>
  <c r="DR59" i="1" s="1"/>
  <c r="AV59" i="1"/>
  <c r="DQ59" i="1" s="1"/>
  <c r="AZ59" i="1"/>
  <c r="DU59" i="1" s="1"/>
  <c r="EP59" i="1"/>
  <c r="EN59" i="1"/>
  <c r="EQ59" i="1"/>
  <c r="EO59" i="1"/>
  <c r="ER59" i="1"/>
  <c r="AT59" i="1"/>
  <c r="DO59" i="1" s="1"/>
  <c r="DN59" i="1" l="1"/>
  <c r="BB59" i="1"/>
  <c r="EW59" i="1"/>
  <c r="EV59" i="1"/>
  <c r="EX59" i="1"/>
  <c r="EU59" i="1"/>
  <c r="ET59" i="1"/>
  <c r="FC59" i="1" l="1"/>
  <c r="FG59" i="1"/>
  <c r="FJ59" i="1"/>
  <c r="FW59" i="1" s="1"/>
  <c r="BO59" i="1" s="1"/>
  <c r="N59" i="1" s="1"/>
  <c r="EZ59" i="1"/>
  <c r="FD59" i="1"/>
  <c r="FH59" i="1"/>
  <c r="FA59" i="1"/>
  <c r="FE59" i="1"/>
  <c r="FI59" i="1"/>
  <c r="FB59" i="1"/>
  <c r="FF59" i="1"/>
  <c r="FL59" i="1" l="1"/>
  <c r="FN59" i="1" s="1"/>
  <c r="BF59" i="1" s="1"/>
  <c r="BS59" i="1" s="1"/>
  <c r="FS59" i="1" l="1"/>
  <c r="BK59" i="1" s="1"/>
  <c r="BX59" i="1" s="1"/>
  <c r="FM59" i="1"/>
  <c r="BE59" i="1" s="1"/>
  <c r="BR59" i="1" s="1"/>
  <c r="FT59" i="1"/>
  <c r="BL59" i="1" s="1"/>
  <c r="BY59" i="1" s="1"/>
  <c r="FP59" i="1"/>
  <c r="BH59" i="1" s="1"/>
  <c r="BU59" i="1" s="1"/>
  <c r="FU59" i="1"/>
  <c r="BM59" i="1" s="1"/>
  <c r="BZ59" i="1" s="1"/>
  <c r="FO59" i="1"/>
  <c r="BG59" i="1" s="1"/>
  <c r="BT59" i="1" s="1"/>
  <c r="FQ59" i="1"/>
  <c r="BI59" i="1" s="1"/>
  <c r="BV59" i="1" s="1"/>
  <c r="FR59" i="1"/>
  <c r="BJ59" i="1" s="1"/>
  <c r="BW59" i="1" s="1"/>
  <c r="FV59" i="1"/>
  <c r="BN59" i="1" s="1"/>
  <c r="CA59" i="1" s="1"/>
  <c r="BQ59" i="1" l="1"/>
  <c r="CE59" i="1" s="1"/>
  <c r="CF59" i="1" l="1"/>
  <c r="CH59" i="1"/>
  <c r="CJ59" i="1"/>
  <c r="CD59" i="1"/>
  <c r="CG59" i="1"/>
  <c r="CL59" i="1"/>
  <c r="CI59" i="1"/>
  <c r="CM59" i="1"/>
  <c r="DW59" i="1" s="1"/>
  <c r="DY59" i="1" s="1"/>
  <c r="E59" i="1" s="1"/>
  <c r="CK59" i="1"/>
  <c r="AG59" i="1" l="1"/>
  <c r="AK59" i="1"/>
  <c r="AH59" i="1"/>
  <c r="AL59" i="1"/>
  <c r="AI59" i="1"/>
  <c r="AM59" i="1"/>
  <c r="AF59" i="1"/>
  <c r="AJ59" i="1"/>
  <c r="AN59" i="1"/>
  <c r="M59" i="1"/>
  <c r="AO59" i="1" l="1"/>
  <c r="AE59" i="1"/>
  <c r="G59" i="1" s="1"/>
  <c r="AP59" i="1" l="1"/>
  <c r="H59" i="1" s="1"/>
  <c r="K59" i="1" s="1"/>
  <c r="F59" i="1"/>
  <c r="D60" i="1" l="1"/>
  <c r="O59" i="1"/>
  <c r="L59" i="1"/>
  <c r="B60" i="1"/>
  <c r="C60" i="1"/>
  <c r="I60" i="1"/>
  <c r="P59" i="1" l="1"/>
  <c r="CR60" i="1"/>
  <c r="DD60" i="1" s="1"/>
  <c r="CV60" i="1"/>
  <c r="DH60" i="1" s="1"/>
  <c r="CY60" i="1"/>
  <c r="CP60" i="1"/>
  <c r="CS60" i="1"/>
  <c r="DE60" i="1" s="1"/>
  <c r="CW60" i="1"/>
  <c r="DI60" i="1" s="1"/>
  <c r="CT60" i="1"/>
  <c r="DF60" i="1" s="1"/>
  <c r="CX60" i="1"/>
  <c r="DJ60" i="1" s="1"/>
  <c r="CQ60" i="1"/>
  <c r="DC60" i="1" s="1"/>
  <c r="CU60" i="1"/>
  <c r="DG60" i="1" s="1"/>
  <c r="V60" i="1"/>
  <c r="Z60" i="1"/>
  <c r="S60" i="1"/>
  <c r="W60" i="1"/>
  <c r="AA60" i="1"/>
  <c r="J60" i="1"/>
  <c r="T60" i="1"/>
  <c r="X60" i="1"/>
  <c r="U60" i="1"/>
  <c r="Y60" i="1"/>
  <c r="DK60" i="1" l="1"/>
  <c r="EI60" i="1"/>
  <c r="R60" i="1"/>
  <c r="AB60" i="1"/>
  <c r="AC60" i="1" s="1"/>
  <c r="AX60" i="1" s="1"/>
  <c r="DS60" i="1" s="1"/>
  <c r="ED60" i="1"/>
  <c r="EJ60" i="1"/>
  <c r="EK60" i="1"/>
  <c r="DB60" i="1"/>
  <c r="CO60" i="1"/>
  <c r="EH60" i="1"/>
  <c r="EE60" i="1"/>
  <c r="EF60" i="1"/>
  <c r="EL60" i="1"/>
  <c r="EG60" i="1"/>
  <c r="AU60" i="1" l="1"/>
  <c r="DP60" i="1" s="1"/>
  <c r="AW60" i="1"/>
  <c r="DR60" i="1" s="1"/>
  <c r="AT60" i="1"/>
  <c r="DO60" i="1" s="1"/>
  <c r="AS60" i="1"/>
  <c r="BA60" i="1"/>
  <c r="DV60" i="1" s="1"/>
  <c r="AY60" i="1"/>
  <c r="DT60" i="1" s="1"/>
  <c r="AV60" i="1"/>
  <c r="DQ60" i="1" s="1"/>
  <c r="AZ60" i="1"/>
  <c r="DU60" i="1" s="1"/>
  <c r="EQ60" i="1"/>
  <c r="ER60" i="1"/>
  <c r="EP60" i="1"/>
  <c r="EO60" i="1"/>
  <c r="EN60" i="1"/>
  <c r="DN60" i="1" l="1"/>
  <c r="BB60" i="1"/>
  <c r="EU60" i="1"/>
  <c r="EV60" i="1"/>
  <c r="EW60" i="1"/>
  <c r="ET60" i="1"/>
  <c r="EX60" i="1"/>
  <c r="FJ60" i="1" l="1"/>
  <c r="FW60" i="1" s="1"/>
  <c r="BO60" i="1" s="1"/>
  <c r="N60" i="1" s="1"/>
  <c r="EZ60" i="1"/>
  <c r="FD60" i="1"/>
  <c r="FH60" i="1"/>
  <c r="FA60" i="1"/>
  <c r="FE60" i="1"/>
  <c r="FI60" i="1"/>
  <c r="FB60" i="1"/>
  <c r="FF60" i="1"/>
  <c r="FC60" i="1"/>
  <c r="FG60" i="1"/>
  <c r="FL60" i="1" l="1"/>
  <c r="FO60" i="1" s="1"/>
  <c r="BG60" i="1" s="1"/>
  <c r="BT60" i="1" s="1"/>
  <c r="FQ60" i="1" l="1"/>
  <c r="BI60" i="1" s="1"/>
  <c r="BV60" i="1" s="1"/>
  <c r="FN60" i="1"/>
  <c r="BF60" i="1" s="1"/>
  <c r="BS60" i="1" s="1"/>
  <c r="FU60" i="1"/>
  <c r="BM60" i="1" s="1"/>
  <c r="BZ60" i="1" s="1"/>
  <c r="FR60" i="1"/>
  <c r="BJ60" i="1" s="1"/>
  <c r="BW60" i="1" s="1"/>
  <c r="FV60" i="1"/>
  <c r="BN60" i="1" s="1"/>
  <c r="CA60" i="1" s="1"/>
  <c r="FS60" i="1"/>
  <c r="BK60" i="1" s="1"/>
  <c r="BX60" i="1" s="1"/>
  <c r="FP60" i="1"/>
  <c r="BH60" i="1" s="1"/>
  <c r="BU60" i="1" s="1"/>
  <c r="FM60" i="1"/>
  <c r="BE60" i="1" s="1"/>
  <c r="BR60" i="1" s="1"/>
  <c r="FT60" i="1"/>
  <c r="BL60" i="1" s="1"/>
  <c r="BY60" i="1" s="1"/>
  <c r="BQ60" i="1" l="1"/>
  <c r="CF60" i="1" s="1"/>
  <c r="CM60" i="1" l="1"/>
  <c r="DW60" i="1" s="1"/>
  <c r="DY60" i="1" s="1"/>
  <c r="E60" i="1" s="1"/>
  <c r="CI60" i="1"/>
  <c r="CL60" i="1"/>
  <c r="CE60" i="1"/>
  <c r="CJ60" i="1"/>
  <c r="CH60" i="1"/>
  <c r="CD60" i="1"/>
  <c r="CK60" i="1"/>
  <c r="CG60" i="1"/>
  <c r="AH60" i="1" l="1"/>
  <c r="AL60" i="1"/>
  <c r="AI60" i="1"/>
  <c r="AM60" i="1"/>
  <c r="AF60" i="1"/>
  <c r="AJ60" i="1"/>
  <c r="AN60" i="1"/>
  <c r="AG60" i="1"/>
  <c r="AK60" i="1"/>
  <c r="M60" i="1"/>
  <c r="AE60" i="1" l="1"/>
  <c r="G60" i="1" s="1"/>
  <c r="AO60" i="1"/>
  <c r="AP60" i="1" l="1"/>
  <c r="H60" i="1" s="1"/>
  <c r="K60" i="1" s="1"/>
  <c r="F60" i="1"/>
  <c r="L60" i="1" l="1"/>
  <c r="B61" i="1"/>
  <c r="C61" i="1"/>
  <c r="I61" i="1"/>
  <c r="D61" i="1"/>
  <c r="O60" i="1"/>
  <c r="P60" i="1" l="1"/>
  <c r="S61" i="1"/>
  <c r="W61" i="1"/>
  <c r="AA61" i="1"/>
  <c r="J61" i="1"/>
  <c r="T61" i="1"/>
  <c r="X61" i="1"/>
  <c r="U61" i="1"/>
  <c r="Y61" i="1"/>
  <c r="V61" i="1"/>
  <c r="Z61" i="1"/>
  <c r="CY61" i="1"/>
  <c r="DK61" i="1" s="1"/>
  <c r="CP61" i="1"/>
  <c r="CS61" i="1"/>
  <c r="DE61" i="1" s="1"/>
  <c r="CW61" i="1"/>
  <c r="DI61" i="1" s="1"/>
  <c r="CT61" i="1"/>
  <c r="DF61" i="1" s="1"/>
  <c r="CX61" i="1"/>
  <c r="DJ61" i="1" s="1"/>
  <c r="CQ61" i="1"/>
  <c r="DC61" i="1" s="1"/>
  <c r="CU61" i="1"/>
  <c r="DG61" i="1" s="1"/>
  <c r="CR61" i="1"/>
  <c r="DD61" i="1" s="1"/>
  <c r="CV61" i="1"/>
  <c r="DH61" i="1" s="1"/>
  <c r="EJ61" i="1" l="1"/>
  <c r="EK61" i="1"/>
  <c r="EF61" i="1"/>
  <c r="EL61" i="1"/>
  <c r="EG61" i="1"/>
  <c r="EI61" i="1"/>
  <c r="EH61" i="1"/>
  <c r="DB61" i="1"/>
  <c r="CO61" i="1"/>
  <c r="EE61" i="1"/>
  <c r="R61" i="1"/>
  <c r="AB61" i="1"/>
  <c r="AC61" i="1" s="1"/>
  <c r="AY61" i="1" s="1"/>
  <c r="DT61" i="1" s="1"/>
  <c r="ED61" i="1"/>
  <c r="AX61" i="1" l="1"/>
  <c r="DS61" i="1" s="1"/>
  <c r="BA61" i="1"/>
  <c r="DV61" i="1" s="1"/>
  <c r="AZ61" i="1"/>
  <c r="DU61" i="1" s="1"/>
  <c r="AT61" i="1"/>
  <c r="DO61" i="1" s="1"/>
  <c r="AU61" i="1"/>
  <c r="DP61" i="1" s="1"/>
  <c r="AS61" i="1"/>
  <c r="ER61" i="1"/>
  <c r="EQ61" i="1"/>
  <c r="EN61" i="1"/>
  <c r="EP61" i="1"/>
  <c r="EO61" i="1"/>
  <c r="AW61" i="1"/>
  <c r="DR61" i="1" s="1"/>
  <c r="AV61" i="1"/>
  <c r="DQ61" i="1" s="1"/>
  <c r="DN61" i="1" l="1"/>
  <c r="BB61" i="1"/>
  <c r="EU61" i="1"/>
  <c r="EV61" i="1"/>
  <c r="ET61" i="1"/>
  <c r="EW61" i="1"/>
  <c r="EX61" i="1"/>
  <c r="FA61" i="1" l="1"/>
  <c r="FE61" i="1"/>
  <c r="FI61" i="1"/>
  <c r="FB61" i="1"/>
  <c r="FF61" i="1"/>
  <c r="FC61" i="1"/>
  <c r="FG61" i="1"/>
  <c r="FJ61" i="1"/>
  <c r="FW61" i="1" s="1"/>
  <c r="BO61" i="1" s="1"/>
  <c r="N61" i="1" s="1"/>
  <c r="EZ61" i="1"/>
  <c r="FD61" i="1"/>
  <c r="FH61" i="1"/>
  <c r="FL61" i="1" l="1"/>
  <c r="FT61" i="1" s="1"/>
  <c r="BL61" i="1" s="1"/>
  <c r="BY61" i="1" s="1"/>
  <c r="FS61" i="1" l="1"/>
  <c r="BK61" i="1" s="1"/>
  <c r="BX61" i="1" s="1"/>
  <c r="FO61" i="1"/>
  <c r="BG61" i="1" s="1"/>
  <c r="BT61" i="1" s="1"/>
  <c r="FR61" i="1"/>
  <c r="BJ61" i="1" s="1"/>
  <c r="BW61" i="1" s="1"/>
  <c r="FM61" i="1"/>
  <c r="BE61" i="1" s="1"/>
  <c r="BR61" i="1" s="1"/>
  <c r="FP61" i="1"/>
  <c r="BH61" i="1" s="1"/>
  <c r="BU61" i="1" s="1"/>
  <c r="FU61" i="1"/>
  <c r="BM61" i="1" s="1"/>
  <c r="BZ61" i="1" s="1"/>
  <c r="FV61" i="1"/>
  <c r="BN61" i="1" s="1"/>
  <c r="CA61" i="1" s="1"/>
  <c r="FN61" i="1"/>
  <c r="BF61" i="1" s="1"/>
  <c r="BS61" i="1" s="1"/>
  <c r="FQ61" i="1"/>
  <c r="BI61" i="1" s="1"/>
  <c r="BV61" i="1" s="1"/>
  <c r="BQ61" i="1" l="1"/>
  <c r="CK61" i="1" s="1"/>
  <c r="CL61" i="1" l="1"/>
  <c r="CE61" i="1"/>
  <c r="CF61" i="1"/>
  <c r="CH61" i="1"/>
  <c r="CD61" i="1"/>
  <c r="CJ61" i="1"/>
  <c r="CI61" i="1"/>
  <c r="CG61" i="1"/>
  <c r="CM61" i="1"/>
  <c r="DW61" i="1" s="1"/>
  <c r="DY61" i="1" s="1"/>
  <c r="E61" i="1" s="1"/>
  <c r="AI61" i="1" l="1"/>
  <c r="AM61" i="1"/>
  <c r="AF61" i="1"/>
  <c r="AJ61" i="1"/>
  <c r="AN61" i="1"/>
  <c r="AG61" i="1"/>
  <c r="AK61" i="1"/>
  <c r="AH61" i="1"/>
  <c r="AL61" i="1"/>
  <c r="M61" i="1"/>
  <c r="AE61" i="1" l="1"/>
  <c r="G61" i="1" s="1"/>
  <c r="AO61" i="1"/>
  <c r="F61" i="1" l="1"/>
  <c r="AP61" i="1"/>
  <c r="H61" i="1" s="1"/>
  <c r="K61" i="1" s="1"/>
  <c r="L61" i="1" l="1"/>
  <c r="B62" i="1"/>
  <c r="C62" i="1"/>
  <c r="I62" i="1"/>
  <c r="D62" i="1"/>
  <c r="O61" i="1"/>
  <c r="P61" i="1" l="1"/>
  <c r="T62" i="1"/>
  <c r="X62" i="1"/>
  <c r="U62" i="1"/>
  <c r="Y62" i="1"/>
  <c r="V62" i="1"/>
  <c r="Z62" i="1"/>
  <c r="S62" i="1"/>
  <c r="W62" i="1"/>
  <c r="AA62" i="1"/>
  <c r="J62" i="1"/>
  <c r="CP62" i="1"/>
  <c r="CS62" i="1"/>
  <c r="DE62" i="1" s="1"/>
  <c r="CW62" i="1"/>
  <c r="DI62" i="1" s="1"/>
  <c r="CT62" i="1"/>
  <c r="DF62" i="1" s="1"/>
  <c r="CX62" i="1"/>
  <c r="DJ62" i="1" s="1"/>
  <c r="CQ62" i="1"/>
  <c r="DC62" i="1" s="1"/>
  <c r="CU62" i="1"/>
  <c r="DG62" i="1" s="1"/>
  <c r="CY62" i="1"/>
  <c r="CR62" i="1"/>
  <c r="DD62" i="1" s="1"/>
  <c r="CV62" i="1"/>
  <c r="DH62" i="1" s="1"/>
  <c r="DK62" i="1" l="1"/>
  <c r="DB62" i="1"/>
  <c r="CO62" i="1"/>
  <c r="AB62" i="1"/>
  <c r="AC62" i="1" s="1"/>
  <c r="AS62" i="1" s="1"/>
  <c r="R62" i="1"/>
  <c r="ED62" i="1"/>
  <c r="EJ62" i="1"/>
  <c r="EK62" i="1"/>
  <c r="EF62" i="1"/>
  <c r="EL62" i="1"/>
  <c r="EG62" i="1"/>
  <c r="EI62" i="1"/>
  <c r="EH62" i="1"/>
  <c r="EE62" i="1"/>
  <c r="DN62" i="1" l="1"/>
  <c r="AV62" i="1"/>
  <c r="DQ62" i="1" s="1"/>
  <c r="AY62" i="1"/>
  <c r="DT62" i="1" s="1"/>
  <c r="BA62" i="1"/>
  <c r="DV62" i="1" s="1"/>
  <c r="EN62" i="1"/>
  <c r="ER62" i="1"/>
  <c r="EO62" i="1"/>
  <c r="EP62" i="1"/>
  <c r="EQ62" i="1"/>
  <c r="AU62" i="1"/>
  <c r="DP62" i="1" s="1"/>
  <c r="AT62" i="1"/>
  <c r="DO62" i="1" s="1"/>
  <c r="AX62" i="1"/>
  <c r="DS62" i="1" s="1"/>
  <c r="AZ62" i="1"/>
  <c r="DU62" i="1" s="1"/>
  <c r="AW62" i="1"/>
  <c r="DR62" i="1" s="1"/>
  <c r="EV62" i="1" l="1"/>
  <c r="EW62" i="1"/>
  <c r="EU62" i="1"/>
  <c r="EX62" i="1"/>
  <c r="ET62" i="1"/>
  <c r="BB62" i="1"/>
  <c r="FB62" i="1" l="1"/>
  <c r="FF62" i="1"/>
  <c r="FC62" i="1"/>
  <c r="FG62" i="1"/>
  <c r="FJ62" i="1"/>
  <c r="FW62" i="1" s="1"/>
  <c r="BO62" i="1" s="1"/>
  <c r="N62" i="1" s="1"/>
  <c r="EZ62" i="1"/>
  <c r="FD62" i="1"/>
  <c r="FH62" i="1"/>
  <c r="FA62" i="1"/>
  <c r="FE62" i="1"/>
  <c r="FI62" i="1"/>
  <c r="FL62" i="1" l="1"/>
  <c r="FU62" i="1" s="1"/>
  <c r="BM62" i="1" s="1"/>
  <c r="BZ62" i="1" s="1"/>
  <c r="FQ62" i="1" l="1"/>
  <c r="BI62" i="1" s="1"/>
  <c r="BV62" i="1" s="1"/>
  <c r="FV62" i="1"/>
  <c r="BN62" i="1" s="1"/>
  <c r="CA62" i="1" s="1"/>
  <c r="FM62" i="1"/>
  <c r="BE62" i="1" s="1"/>
  <c r="BR62" i="1" s="1"/>
  <c r="FO62" i="1"/>
  <c r="BG62" i="1" s="1"/>
  <c r="BT62" i="1" s="1"/>
  <c r="FR62" i="1"/>
  <c r="BJ62" i="1" s="1"/>
  <c r="BW62" i="1" s="1"/>
  <c r="FT62" i="1"/>
  <c r="BL62" i="1" s="1"/>
  <c r="BY62" i="1" s="1"/>
  <c r="FN62" i="1"/>
  <c r="BF62" i="1" s="1"/>
  <c r="BS62" i="1" s="1"/>
  <c r="FS62" i="1"/>
  <c r="BK62" i="1" s="1"/>
  <c r="BX62" i="1" s="1"/>
  <c r="FP62" i="1"/>
  <c r="BH62" i="1" s="1"/>
  <c r="BU62" i="1" s="1"/>
  <c r="BQ62" i="1" l="1"/>
  <c r="CL62" i="1" s="1"/>
  <c r="CK62" i="1" l="1"/>
  <c r="CM62" i="1"/>
  <c r="DW62" i="1" s="1"/>
  <c r="DY62" i="1" s="1"/>
  <c r="E62" i="1" s="1"/>
  <c r="AF62" i="1" s="1"/>
  <c r="CH62" i="1"/>
  <c r="CD62" i="1"/>
  <c r="CF62" i="1"/>
  <c r="CI62" i="1"/>
  <c r="CJ62" i="1"/>
  <c r="CG62" i="1"/>
  <c r="CE62" i="1"/>
  <c r="AI62" i="1" l="1"/>
  <c r="AG62" i="1"/>
  <c r="AL62" i="1"/>
  <c r="AN62" i="1"/>
  <c r="AJ62" i="1"/>
  <c r="M62" i="1"/>
  <c r="AH62" i="1"/>
  <c r="AM62" i="1"/>
  <c r="AK62" i="1"/>
  <c r="AE62" i="1" l="1"/>
  <c r="G62" i="1" s="1"/>
  <c r="AO62" i="1"/>
  <c r="F62" i="1" s="1"/>
  <c r="AP62" i="1" l="1"/>
  <c r="H62" i="1" s="1"/>
  <c r="K62" i="1" s="1"/>
  <c r="C63" i="1" s="1"/>
  <c r="L62" i="1" l="1"/>
  <c r="O62" i="1"/>
  <c r="D63" i="1"/>
  <c r="Z63" i="1" s="1"/>
  <c r="B63" i="1"/>
  <c r="I63" i="1"/>
  <c r="P62" i="1" l="1"/>
  <c r="CU63" i="1"/>
  <c r="DG63" i="1" s="1"/>
  <c r="CQ63" i="1"/>
  <c r="DC63" i="1" s="1"/>
  <c r="CX63" i="1"/>
  <c r="DJ63" i="1" s="1"/>
  <c r="CT63" i="1"/>
  <c r="DF63" i="1" s="1"/>
  <c r="CS63" i="1"/>
  <c r="DE63" i="1" s="1"/>
  <c r="CY63" i="1"/>
  <c r="DK63" i="1" s="1"/>
  <c r="CR63" i="1"/>
  <c r="DD63" i="1" s="1"/>
  <c r="CP63" i="1"/>
  <c r="DB63" i="1" s="1"/>
  <c r="AA63" i="1"/>
  <c r="EL63" i="1" s="1"/>
  <c r="CW63" i="1"/>
  <c r="DI63" i="1" s="1"/>
  <c r="U63" i="1"/>
  <c r="EF63" i="1" s="1"/>
  <c r="CV63" i="1"/>
  <c r="DH63" i="1" s="1"/>
  <c r="T63" i="1"/>
  <c r="EE63" i="1" s="1"/>
  <c r="V63" i="1"/>
  <c r="EG63" i="1" s="1"/>
  <c r="J63" i="1"/>
  <c r="Y63" i="1"/>
  <c r="EJ63" i="1" s="1"/>
  <c r="X63" i="1"/>
  <c r="EI63" i="1" s="1"/>
  <c r="W63" i="1"/>
  <c r="EH63" i="1" s="1"/>
  <c r="S63" i="1"/>
  <c r="EK63" i="1"/>
  <c r="AB63" i="1" l="1"/>
  <c r="AC63" i="1" s="1"/>
  <c r="AV63" i="1" s="1"/>
  <c r="DQ63" i="1" s="1"/>
  <c r="CO63" i="1"/>
  <c r="ED63" i="1"/>
  <c r="ER63" i="1" s="1"/>
  <c r="R63" i="1"/>
  <c r="AS63" i="1" l="1"/>
  <c r="DN63" i="1" s="1"/>
  <c r="EQ63" i="1"/>
  <c r="EN63" i="1"/>
  <c r="EO63" i="1"/>
  <c r="EP63" i="1"/>
  <c r="AY63" i="1"/>
  <c r="DT63" i="1" s="1"/>
  <c r="BA63" i="1"/>
  <c r="DV63" i="1" s="1"/>
  <c r="AX63" i="1"/>
  <c r="DS63" i="1" s="1"/>
  <c r="AZ63" i="1"/>
  <c r="DU63" i="1" s="1"/>
  <c r="AT63" i="1"/>
  <c r="DO63" i="1" s="1"/>
  <c r="AU63" i="1"/>
  <c r="DP63" i="1" s="1"/>
  <c r="AW63" i="1"/>
  <c r="DR63" i="1" s="1"/>
  <c r="EU63" i="1" l="1"/>
  <c r="EX63" i="1"/>
  <c r="ET63" i="1"/>
  <c r="EW63" i="1"/>
  <c r="BB63" i="1"/>
  <c r="EV63" i="1"/>
  <c r="FJ63" i="1" l="1"/>
  <c r="FW63" i="1" s="1"/>
  <c r="BO63" i="1" s="1"/>
  <c r="N63" i="1" s="1"/>
  <c r="FF63" i="1"/>
  <c r="FH63" i="1"/>
  <c r="FB63" i="1"/>
  <c r="EZ63" i="1"/>
  <c r="FI63" i="1"/>
  <c r="FE63" i="1"/>
  <c r="FG63" i="1"/>
  <c r="FD63" i="1"/>
  <c r="FC63" i="1"/>
  <c r="FA63" i="1"/>
  <c r="FL63" i="1" l="1"/>
  <c r="FU63" i="1" s="1"/>
  <c r="BM63" i="1" s="1"/>
  <c r="BZ63" i="1" s="1"/>
  <c r="FM63" i="1" l="1"/>
  <c r="BE63" i="1" s="1"/>
  <c r="BR63" i="1" s="1"/>
  <c r="FS63" i="1"/>
  <c r="BK63" i="1" s="1"/>
  <c r="BX63" i="1" s="1"/>
  <c r="FR63" i="1"/>
  <c r="BJ63" i="1" s="1"/>
  <c r="BW63" i="1" s="1"/>
  <c r="FO63" i="1"/>
  <c r="BG63" i="1" s="1"/>
  <c r="BT63" i="1" s="1"/>
  <c r="FN63" i="1"/>
  <c r="BF63" i="1" s="1"/>
  <c r="BS63" i="1" s="1"/>
  <c r="FQ63" i="1"/>
  <c r="BI63" i="1" s="1"/>
  <c r="BV63" i="1" s="1"/>
  <c r="FP63" i="1"/>
  <c r="BH63" i="1" s="1"/>
  <c r="BU63" i="1" s="1"/>
  <c r="FT63" i="1"/>
  <c r="BL63" i="1" s="1"/>
  <c r="BY63" i="1" s="1"/>
  <c r="FV63" i="1"/>
  <c r="BN63" i="1" s="1"/>
  <c r="CA63" i="1" s="1"/>
  <c r="BQ63" i="1" l="1"/>
  <c r="CL63" i="1" s="1"/>
  <c r="CH63" i="1" l="1"/>
  <c r="CI63" i="1"/>
  <c r="CM63" i="1"/>
  <c r="DW63" i="1" s="1"/>
  <c r="DY63" i="1" s="1"/>
  <c r="E63" i="1" s="1"/>
  <c r="AH63" i="1" s="1"/>
  <c r="CE63" i="1"/>
  <c r="CK63" i="1"/>
  <c r="CG63" i="1"/>
  <c r="CF63" i="1"/>
  <c r="CJ63" i="1"/>
  <c r="CD63" i="1"/>
  <c r="AI63" i="1" l="1"/>
  <c r="M63" i="1"/>
  <c r="AK63" i="1"/>
  <c r="AL63" i="1"/>
  <c r="AM63" i="1"/>
  <c r="AN63" i="1"/>
  <c r="AG63" i="1"/>
  <c r="AJ63" i="1"/>
  <c r="AF63" i="1"/>
  <c r="AE63" i="1" l="1"/>
  <c r="G63" i="1" s="1"/>
  <c r="AO63" i="1"/>
  <c r="AP63" i="1" s="1"/>
  <c r="H63" i="1" s="1"/>
  <c r="K63" i="1" s="1"/>
  <c r="F63" i="1" l="1"/>
  <c r="O63" i="1" s="1"/>
  <c r="D64" i="1"/>
  <c r="L63" i="1"/>
  <c r="B64" i="1"/>
  <c r="C64" i="1"/>
  <c r="I64" i="1"/>
  <c r="P63" i="1" l="1"/>
  <c r="CR64" i="1"/>
  <c r="DD64" i="1" s="1"/>
  <c r="CV64" i="1"/>
  <c r="DH64" i="1" s="1"/>
  <c r="CY64" i="1"/>
  <c r="CS64" i="1"/>
  <c r="DE64" i="1" s="1"/>
  <c r="CW64" i="1"/>
  <c r="DI64" i="1" s="1"/>
  <c r="CP64" i="1"/>
  <c r="CT64" i="1"/>
  <c r="DF64" i="1" s="1"/>
  <c r="CX64" i="1"/>
  <c r="DJ64" i="1" s="1"/>
  <c r="CQ64" i="1"/>
  <c r="DC64" i="1" s="1"/>
  <c r="CU64" i="1"/>
  <c r="DG64" i="1" s="1"/>
  <c r="V64" i="1"/>
  <c r="Z64" i="1"/>
  <c r="S64" i="1"/>
  <c r="W64" i="1"/>
  <c r="AA64" i="1"/>
  <c r="J64" i="1"/>
  <c r="T64" i="1"/>
  <c r="X64" i="1"/>
  <c r="U64" i="1"/>
  <c r="Y64" i="1"/>
  <c r="DK64" i="1" l="1"/>
  <c r="EF64" i="1"/>
  <c r="EL64" i="1"/>
  <c r="EG64" i="1"/>
  <c r="EJ64" i="1"/>
  <c r="EK64" i="1"/>
  <c r="EI64" i="1"/>
  <c r="EH64" i="1"/>
  <c r="DB64" i="1"/>
  <c r="CO64" i="1"/>
  <c r="EE64" i="1"/>
  <c r="AB64" i="1"/>
  <c r="AC64" i="1" s="1"/>
  <c r="AU64" i="1" s="1"/>
  <c r="DP64" i="1" s="1"/>
  <c r="ED64" i="1"/>
  <c r="R64" i="1"/>
  <c r="AX64" i="1" l="1"/>
  <c r="DS64" i="1" s="1"/>
  <c r="AY64" i="1"/>
  <c r="DT64" i="1" s="1"/>
  <c r="BA64" i="1"/>
  <c r="DV64" i="1" s="1"/>
  <c r="AT64" i="1"/>
  <c r="DO64" i="1" s="1"/>
  <c r="AZ64" i="1"/>
  <c r="DU64" i="1" s="1"/>
  <c r="AV64" i="1"/>
  <c r="DQ64" i="1" s="1"/>
  <c r="AS64" i="1"/>
  <c r="ER64" i="1"/>
  <c r="EP64" i="1"/>
  <c r="EN64" i="1"/>
  <c r="EO64" i="1"/>
  <c r="EQ64" i="1"/>
  <c r="AW64" i="1"/>
  <c r="DR64" i="1" s="1"/>
  <c r="DN64" i="1" l="1"/>
  <c r="BB64" i="1"/>
  <c r="EW64" i="1"/>
  <c r="EV64" i="1"/>
  <c r="EU64" i="1"/>
  <c r="EX64" i="1"/>
  <c r="ET64" i="1"/>
  <c r="FJ64" i="1" l="1"/>
  <c r="FW64" i="1" s="1"/>
  <c r="BO64" i="1" s="1"/>
  <c r="N64" i="1" s="1"/>
  <c r="EZ64" i="1"/>
  <c r="FD64" i="1"/>
  <c r="FH64" i="1"/>
  <c r="FA64" i="1"/>
  <c r="FE64" i="1"/>
  <c r="FI64" i="1"/>
  <c r="FB64" i="1"/>
  <c r="FF64" i="1"/>
  <c r="FC64" i="1"/>
  <c r="FG64" i="1"/>
  <c r="FL64" i="1" l="1"/>
  <c r="FT64" i="1" s="1"/>
  <c r="BL64" i="1" s="1"/>
  <c r="BY64" i="1" s="1"/>
  <c r="FS64" i="1" l="1"/>
  <c r="BK64" i="1" s="1"/>
  <c r="BX64" i="1" s="1"/>
  <c r="FM64" i="1"/>
  <c r="BE64" i="1" s="1"/>
  <c r="BR64" i="1" s="1"/>
  <c r="FP64" i="1"/>
  <c r="BH64" i="1" s="1"/>
  <c r="BU64" i="1" s="1"/>
  <c r="FU64" i="1"/>
  <c r="BM64" i="1" s="1"/>
  <c r="BZ64" i="1" s="1"/>
  <c r="FQ64" i="1"/>
  <c r="BI64" i="1" s="1"/>
  <c r="BV64" i="1" s="1"/>
  <c r="FO64" i="1"/>
  <c r="BG64" i="1" s="1"/>
  <c r="BT64" i="1" s="1"/>
  <c r="FV64" i="1"/>
  <c r="BN64" i="1" s="1"/>
  <c r="CA64" i="1" s="1"/>
  <c r="FN64" i="1"/>
  <c r="BF64" i="1" s="1"/>
  <c r="BS64" i="1" s="1"/>
  <c r="FR64" i="1"/>
  <c r="BJ64" i="1" s="1"/>
  <c r="BW64" i="1" s="1"/>
  <c r="BQ64" i="1" l="1"/>
  <c r="CK64" i="1" s="1"/>
  <c r="CM64" i="1" l="1"/>
  <c r="DW64" i="1" s="1"/>
  <c r="DY64" i="1" s="1"/>
  <c r="E64" i="1" s="1"/>
  <c r="CD64" i="1"/>
  <c r="CJ64" i="1"/>
  <c r="CL64" i="1"/>
  <c r="CH64" i="1"/>
  <c r="CF64" i="1"/>
  <c r="CE64" i="1"/>
  <c r="CI64" i="1"/>
  <c r="CG64" i="1"/>
  <c r="AH64" i="1" l="1"/>
  <c r="AL64" i="1"/>
  <c r="AI64" i="1"/>
  <c r="AM64" i="1"/>
  <c r="AF64" i="1"/>
  <c r="AJ64" i="1"/>
  <c r="AN64" i="1"/>
  <c r="AG64" i="1"/>
  <c r="AK64" i="1"/>
  <c r="M64" i="1"/>
  <c r="AE64" i="1" l="1"/>
  <c r="G64" i="1" s="1"/>
  <c r="AO64" i="1"/>
  <c r="AP64" i="1" l="1"/>
  <c r="H64" i="1" s="1"/>
  <c r="K64" i="1" s="1"/>
  <c r="F64" i="1"/>
  <c r="L64" i="1" l="1"/>
  <c r="B65" i="1"/>
  <c r="C65" i="1"/>
  <c r="I65" i="1"/>
  <c r="D65" i="1"/>
  <c r="O64" i="1"/>
  <c r="P64" i="1" l="1"/>
  <c r="S65" i="1"/>
  <c r="W65" i="1"/>
  <c r="AA65" i="1"/>
  <c r="J65" i="1"/>
  <c r="T65" i="1"/>
  <c r="X65" i="1"/>
  <c r="U65" i="1"/>
  <c r="Y65" i="1"/>
  <c r="V65" i="1"/>
  <c r="Z65" i="1"/>
  <c r="CY65" i="1"/>
  <c r="CQ65" i="1"/>
  <c r="DC65" i="1" s="1"/>
  <c r="CU65" i="1"/>
  <c r="DG65" i="1" s="1"/>
  <c r="CR65" i="1"/>
  <c r="DD65" i="1" s="1"/>
  <c r="CV65" i="1"/>
  <c r="DH65" i="1" s="1"/>
  <c r="CS65" i="1"/>
  <c r="DE65" i="1" s="1"/>
  <c r="CW65" i="1"/>
  <c r="DI65" i="1" s="1"/>
  <c r="CP65" i="1"/>
  <c r="CT65" i="1"/>
  <c r="DF65" i="1" s="1"/>
  <c r="CX65" i="1"/>
  <c r="DJ65" i="1" s="1"/>
  <c r="DK65" i="1" l="1"/>
  <c r="EJ65" i="1"/>
  <c r="CO65" i="1"/>
  <c r="DB65" i="1"/>
  <c r="EF65" i="1"/>
  <c r="EL65" i="1"/>
  <c r="EK65" i="1"/>
  <c r="EI65" i="1"/>
  <c r="EH65" i="1"/>
  <c r="EG65" i="1"/>
  <c r="EE65" i="1"/>
  <c r="AB65" i="1"/>
  <c r="AC65" i="1" s="1"/>
  <c r="AY65" i="1" s="1"/>
  <c r="DT65" i="1" s="1"/>
  <c r="ED65" i="1"/>
  <c r="R65" i="1"/>
  <c r="AV65" i="1" l="1"/>
  <c r="DQ65" i="1" s="1"/>
  <c r="AX65" i="1"/>
  <c r="DS65" i="1" s="1"/>
  <c r="BA65" i="1"/>
  <c r="DV65" i="1" s="1"/>
  <c r="AS65" i="1"/>
  <c r="AW65" i="1"/>
  <c r="DR65" i="1" s="1"/>
  <c r="AZ65" i="1"/>
  <c r="DU65" i="1" s="1"/>
  <c r="AU65" i="1"/>
  <c r="DP65" i="1" s="1"/>
  <c r="AT65" i="1"/>
  <c r="DO65" i="1" s="1"/>
  <c r="ER65" i="1"/>
  <c r="EO65" i="1"/>
  <c r="EN65" i="1"/>
  <c r="EP65" i="1"/>
  <c r="EQ65" i="1"/>
  <c r="DN65" i="1" l="1"/>
  <c r="BB65" i="1"/>
  <c r="EW65" i="1"/>
  <c r="ET65" i="1"/>
  <c r="EU65" i="1"/>
  <c r="EV65" i="1"/>
  <c r="EX65" i="1"/>
  <c r="FA65" i="1" l="1"/>
  <c r="FE65" i="1"/>
  <c r="FI65" i="1"/>
  <c r="FB65" i="1"/>
  <c r="FF65" i="1"/>
  <c r="FC65" i="1"/>
  <c r="FG65" i="1"/>
  <c r="FJ65" i="1"/>
  <c r="FW65" i="1" s="1"/>
  <c r="BO65" i="1" s="1"/>
  <c r="N65" i="1" s="1"/>
  <c r="EZ65" i="1"/>
  <c r="FD65" i="1"/>
  <c r="FH65" i="1"/>
  <c r="FL65" i="1" l="1"/>
  <c r="FO65" i="1" s="1"/>
  <c r="BG65" i="1" s="1"/>
  <c r="BT65" i="1" s="1"/>
  <c r="FN65" i="1" l="1"/>
  <c r="BF65" i="1" s="1"/>
  <c r="BS65" i="1" s="1"/>
  <c r="FT65" i="1"/>
  <c r="BL65" i="1" s="1"/>
  <c r="BY65" i="1" s="1"/>
  <c r="FS65" i="1"/>
  <c r="BK65" i="1" s="1"/>
  <c r="BX65" i="1" s="1"/>
  <c r="FP65" i="1"/>
  <c r="BH65" i="1" s="1"/>
  <c r="BU65" i="1" s="1"/>
  <c r="FU65" i="1"/>
  <c r="BM65" i="1" s="1"/>
  <c r="BZ65" i="1" s="1"/>
  <c r="FV65" i="1"/>
  <c r="BN65" i="1" s="1"/>
  <c r="CA65" i="1" s="1"/>
  <c r="FR65" i="1"/>
  <c r="BJ65" i="1" s="1"/>
  <c r="BW65" i="1" s="1"/>
  <c r="FM65" i="1"/>
  <c r="BE65" i="1" s="1"/>
  <c r="BR65" i="1" s="1"/>
  <c r="FQ65" i="1"/>
  <c r="BI65" i="1" s="1"/>
  <c r="BV65" i="1" s="1"/>
  <c r="BQ65" i="1" l="1"/>
  <c r="CF65" i="1" s="1"/>
  <c r="CK65" i="1" l="1"/>
  <c r="CE65" i="1"/>
  <c r="CJ65" i="1"/>
  <c r="CM65" i="1"/>
  <c r="DW65" i="1" s="1"/>
  <c r="DY65" i="1" s="1"/>
  <c r="E65" i="1" s="1"/>
  <c r="CH65" i="1"/>
  <c r="CG65" i="1"/>
  <c r="CD65" i="1"/>
  <c r="CL65" i="1"/>
  <c r="CI65" i="1"/>
  <c r="AI65" i="1" l="1"/>
  <c r="AM65" i="1"/>
  <c r="AF65" i="1"/>
  <c r="AJ65" i="1"/>
  <c r="AN65" i="1"/>
  <c r="AG65" i="1"/>
  <c r="AK65" i="1"/>
  <c r="AH65" i="1"/>
  <c r="AL65" i="1"/>
  <c r="M65" i="1"/>
  <c r="AO65" i="1" l="1"/>
  <c r="AE65" i="1"/>
  <c r="G65" i="1" s="1"/>
  <c r="AP65" i="1" l="1"/>
  <c r="H65" i="1" s="1"/>
  <c r="K65" i="1" s="1"/>
  <c r="F65" i="1"/>
  <c r="D66" i="1" l="1"/>
  <c r="L65" i="1"/>
  <c r="B66" i="1"/>
  <c r="C66" i="1"/>
  <c r="I66" i="1"/>
  <c r="O65" i="1"/>
  <c r="P65" i="1" l="1"/>
  <c r="CP66" i="1"/>
  <c r="CS66" i="1"/>
  <c r="DE66" i="1" s="1"/>
  <c r="CW66" i="1"/>
  <c r="DI66" i="1" s="1"/>
  <c r="CT66" i="1"/>
  <c r="DF66" i="1" s="1"/>
  <c r="CX66" i="1"/>
  <c r="DJ66" i="1" s="1"/>
  <c r="CQ66" i="1"/>
  <c r="DC66" i="1" s="1"/>
  <c r="CU66" i="1"/>
  <c r="DG66" i="1" s="1"/>
  <c r="CY66" i="1"/>
  <c r="DK66" i="1" s="1"/>
  <c r="CR66" i="1"/>
  <c r="DD66" i="1" s="1"/>
  <c r="CV66" i="1"/>
  <c r="DH66" i="1" s="1"/>
  <c r="T66" i="1"/>
  <c r="X66" i="1"/>
  <c r="U66" i="1"/>
  <c r="Y66" i="1"/>
  <c r="V66" i="1"/>
  <c r="Z66" i="1"/>
  <c r="S66" i="1"/>
  <c r="W66" i="1"/>
  <c r="AA66" i="1"/>
  <c r="J66" i="1"/>
  <c r="AB66" i="1" l="1"/>
  <c r="AC66" i="1" s="1"/>
  <c r="AS66" i="1" s="1"/>
  <c r="ED66" i="1"/>
  <c r="R66" i="1"/>
  <c r="EF66" i="1"/>
  <c r="EK66" i="1"/>
  <c r="EI66" i="1"/>
  <c r="EL66" i="1"/>
  <c r="EG66" i="1"/>
  <c r="EE66" i="1"/>
  <c r="EJ66" i="1"/>
  <c r="EH66" i="1"/>
  <c r="DB66" i="1"/>
  <c r="CO66" i="1"/>
  <c r="DN66" i="1" l="1"/>
  <c r="AY66" i="1"/>
  <c r="DT66" i="1" s="1"/>
  <c r="AV66" i="1"/>
  <c r="DQ66" i="1" s="1"/>
  <c r="AW66" i="1"/>
  <c r="DR66" i="1" s="1"/>
  <c r="AT66" i="1"/>
  <c r="DO66" i="1" s="1"/>
  <c r="BA66" i="1"/>
  <c r="DV66" i="1" s="1"/>
  <c r="AZ66" i="1"/>
  <c r="DU66" i="1" s="1"/>
  <c r="EN66" i="1"/>
  <c r="EP66" i="1"/>
  <c r="ER66" i="1"/>
  <c r="EO66" i="1"/>
  <c r="EQ66" i="1"/>
  <c r="AX66" i="1"/>
  <c r="DS66" i="1" s="1"/>
  <c r="AU66" i="1"/>
  <c r="DP66" i="1" s="1"/>
  <c r="EW66" i="1" l="1"/>
  <c r="ET66" i="1"/>
  <c r="EX66" i="1"/>
  <c r="EV66" i="1"/>
  <c r="EU66" i="1"/>
  <c r="BB66" i="1"/>
  <c r="FB66" i="1" l="1"/>
  <c r="FF66" i="1"/>
  <c r="FC66" i="1"/>
  <c r="FG66" i="1"/>
  <c r="FJ66" i="1"/>
  <c r="FW66" i="1" s="1"/>
  <c r="BO66" i="1" s="1"/>
  <c r="N66" i="1" s="1"/>
  <c r="EZ66" i="1"/>
  <c r="FD66" i="1"/>
  <c r="FH66" i="1"/>
  <c r="FA66" i="1"/>
  <c r="FE66" i="1"/>
  <c r="FI66" i="1"/>
  <c r="FL66" i="1" l="1"/>
  <c r="FU66" i="1" s="1"/>
  <c r="BM66" i="1" s="1"/>
  <c r="BZ66" i="1" s="1"/>
  <c r="FQ66" i="1" l="1"/>
  <c r="BI66" i="1" s="1"/>
  <c r="BV66" i="1" s="1"/>
  <c r="FM66" i="1"/>
  <c r="BE66" i="1" s="1"/>
  <c r="BR66" i="1" s="1"/>
  <c r="FO66" i="1"/>
  <c r="BG66" i="1" s="1"/>
  <c r="BT66" i="1" s="1"/>
  <c r="FN66" i="1"/>
  <c r="BF66" i="1" s="1"/>
  <c r="BS66" i="1" s="1"/>
  <c r="FT66" i="1"/>
  <c r="BL66" i="1" s="1"/>
  <c r="BY66" i="1" s="1"/>
  <c r="FV66" i="1"/>
  <c r="BN66" i="1" s="1"/>
  <c r="CA66" i="1" s="1"/>
  <c r="FR66" i="1"/>
  <c r="BJ66" i="1" s="1"/>
  <c r="BW66" i="1" s="1"/>
  <c r="FS66" i="1"/>
  <c r="BK66" i="1" s="1"/>
  <c r="BX66" i="1" s="1"/>
  <c r="FP66" i="1"/>
  <c r="BH66" i="1" s="1"/>
  <c r="BU66" i="1" s="1"/>
  <c r="BQ66" i="1" l="1"/>
  <c r="CL66" i="1" s="1"/>
  <c r="CE66" i="1" l="1"/>
  <c r="CG66" i="1"/>
  <c r="CJ66" i="1"/>
  <c r="CD66" i="1"/>
  <c r="CH66" i="1"/>
  <c r="CK66" i="1"/>
  <c r="CM66" i="1"/>
  <c r="DW66" i="1" s="1"/>
  <c r="DY66" i="1" s="1"/>
  <c r="E66" i="1" s="1"/>
  <c r="AF66" i="1" s="1"/>
  <c r="CF66" i="1"/>
  <c r="CI66" i="1"/>
  <c r="AM66" i="1" l="1"/>
  <c r="AK66" i="1"/>
  <c r="AI66" i="1"/>
  <c r="AG66" i="1"/>
  <c r="AN66" i="1"/>
  <c r="M66" i="1"/>
  <c r="AH66" i="1"/>
  <c r="AJ66" i="1"/>
  <c r="AL66" i="1"/>
  <c r="AE66" i="1" l="1"/>
  <c r="G66" i="1" s="1"/>
  <c r="AO66" i="1"/>
  <c r="F66" i="1" s="1"/>
  <c r="AP66" i="1" l="1"/>
  <c r="H66" i="1" s="1"/>
  <c r="K66" i="1" s="1"/>
  <c r="C67" i="1" s="1"/>
  <c r="L66" i="1" l="1"/>
  <c r="O66" i="1"/>
  <c r="D67" i="1"/>
  <c r="Z67" i="1" s="1"/>
  <c r="B67" i="1"/>
  <c r="I67" i="1"/>
  <c r="P66" i="1" l="1"/>
  <c r="CV67" i="1"/>
  <c r="DH67" i="1" s="1"/>
  <c r="CY67" i="1"/>
  <c r="DK67" i="1" s="1"/>
  <c r="CQ67" i="1"/>
  <c r="DC67" i="1" s="1"/>
  <c r="CS67" i="1"/>
  <c r="DE67" i="1" s="1"/>
  <c r="CT67" i="1"/>
  <c r="DF67" i="1" s="1"/>
  <c r="AA67" i="1"/>
  <c r="EL67" i="1" s="1"/>
  <c r="V67" i="1"/>
  <c r="EG67" i="1" s="1"/>
  <c r="CP67" i="1"/>
  <c r="DB67" i="1" s="1"/>
  <c r="CU67" i="1"/>
  <c r="DG67" i="1" s="1"/>
  <c r="X67" i="1"/>
  <c r="EI67" i="1" s="1"/>
  <c r="W67" i="1"/>
  <c r="EH67" i="1" s="1"/>
  <c r="Y67" i="1"/>
  <c r="EJ67" i="1" s="1"/>
  <c r="T67" i="1"/>
  <c r="S67" i="1"/>
  <c r="ED67" i="1" s="1"/>
  <c r="U67" i="1"/>
  <c r="EF67" i="1" s="1"/>
  <c r="CW67" i="1"/>
  <c r="DI67" i="1" s="1"/>
  <c r="CR67" i="1"/>
  <c r="DD67" i="1" s="1"/>
  <c r="CX67" i="1"/>
  <c r="DJ67" i="1" s="1"/>
  <c r="J67" i="1"/>
  <c r="EK67" i="1"/>
  <c r="R67" i="1" l="1"/>
  <c r="AB67" i="1"/>
  <c r="AC67" i="1" s="1"/>
  <c r="AV67" i="1" s="1"/>
  <c r="DQ67" i="1" s="1"/>
  <c r="EE67" i="1"/>
  <c r="EO67" i="1" s="1"/>
  <c r="CO67" i="1"/>
  <c r="EN67" i="1" l="1"/>
  <c r="EP67" i="1"/>
  <c r="EQ67" i="1"/>
  <c r="AT67" i="1"/>
  <c r="DO67" i="1" s="1"/>
  <c r="ER67" i="1"/>
  <c r="AX67" i="1"/>
  <c r="DS67" i="1" s="1"/>
  <c r="AZ67" i="1"/>
  <c r="DU67" i="1" s="1"/>
  <c r="AW67" i="1"/>
  <c r="DR67" i="1" s="1"/>
  <c r="AY67" i="1"/>
  <c r="DT67" i="1" s="1"/>
  <c r="AS67" i="1"/>
  <c r="DN67" i="1" s="1"/>
  <c r="AU67" i="1"/>
  <c r="DP67" i="1" s="1"/>
  <c r="BA67" i="1"/>
  <c r="DV67" i="1" s="1"/>
  <c r="EU67" i="1" l="1"/>
  <c r="EV67" i="1"/>
  <c r="EX67" i="1"/>
  <c r="ET67" i="1"/>
  <c r="EW67" i="1"/>
  <c r="BB67" i="1"/>
  <c r="FD67" i="1" l="1"/>
  <c r="FC67" i="1"/>
  <c r="FB67" i="1"/>
  <c r="FE67" i="1"/>
  <c r="FA67" i="1"/>
  <c r="FF67" i="1"/>
  <c r="FJ67" i="1"/>
  <c r="FW67" i="1" s="1"/>
  <c r="BO67" i="1" s="1"/>
  <c r="N67" i="1" s="1"/>
  <c r="FI67" i="1"/>
  <c r="EZ67" i="1"/>
  <c r="FH67" i="1"/>
  <c r="FG67" i="1"/>
  <c r="FL67" i="1" l="1"/>
  <c r="FR67" i="1" s="1"/>
  <c r="BJ67" i="1" s="1"/>
  <c r="BW67" i="1" s="1"/>
  <c r="FV67" i="1" l="1"/>
  <c r="BN67" i="1" s="1"/>
  <c r="CA67" i="1" s="1"/>
  <c r="FM67" i="1"/>
  <c r="BE67" i="1" s="1"/>
  <c r="BR67" i="1" s="1"/>
  <c r="FO67" i="1"/>
  <c r="BG67" i="1" s="1"/>
  <c r="BT67" i="1" s="1"/>
  <c r="FT67" i="1"/>
  <c r="BL67" i="1" s="1"/>
  <c r="BY67" i="1" s="1"/>
  <c r="FQ67" i="1"/>
  <c r="BI67" i="1" s="1"/>
  <c r="BV67" i="1" s="1"/>
  <c r="FU67" i="1"/>
  <c r="BM67" i="1" s="1"/>
  <c r="BZ67" i="1" s="1"/>
  <c r="FS67" i="1"/>
  <c r="BK67" i="1" s="1"/>
  <c r="BX67" i="1" s="1"/>
  <c r="FN67" i="1"/>
  <c r="BF67" i="1" s="1"/>
  <c r="BS67" i="1" s="1"/>
  <c r="FP67" i="1"/>
  <c r="BH67" i="1" s="1"/>
  <c r="BU67" i="1" s="1"/>
  <c r="BQ67" i="1" l="1"/>
  <c r="CM67" i="1" s="1"/>
  <c r="DW67" i="1" s="1"/>
  <c r="DY67" i="1" s="1"/>
  <c r="E67" i="1" s="1"/>
  <c r="AG67" i="1" s="1"/>
  <c r="CD67" i="1" l="1"/>
  <c r="CJ67" i="1"/>
  <c r="CL67" i="1"/>
  <c r="CH67" i="1"/>
  <c r="CG67" i="1"/>
  <c r="CF67" i="1"/>
  <c r="CE67" i="1"/>
  <c r="CK67" i="1"/>
  <c r="CI67" i="1"/>
  <c r="AJ67" i="1"/>
  <c r="AF67" i="1"/>
  <c r="AH67" i="1"/>
  <c r="M67" i="1"/>
  <c r="AM67" i="1"/>
  <c r="AK67" i="1"/>
  <c r="AL67" i="1"/>
  <c r="AN67" i="1"/>
  <c r="AI67" i="1"/>
  <c r="AE67" i="1" l="1"/>
  <c r="G67" i="1" s="1"/>
  <c r="AO67" i="1"/>
  <c r="AP67" i="1" s="1"/>
  <c r="H67" i="1" s="1"/>
  <c r="K67" i="1" s="1"/>
  <c r="F67" i="1" l="1"/>
  <c r="O67" i="1" s="1"/>
  <c r="D68" i="1"/>
  <c r="L67" i="1"/>
  <c r="B68" i="1"/>
  <c r="C68" i="1"/>
  <c r="I68" i="1"/>
  <c r="P67" i="1" l="1"/>
  <c r="CT68" i="1"/>
  <c r="DF68" i="1" s="1"/>
  <c r="CX68" i="1"/>
  <c r="DJ68" i="1" s="1"/>
  <c r="CY68" i="1"/>
  <c r="CQ68" i="1"/>
  <c r="DC68" i="1" s="1"/>
  <c r="CU68" i="1"/>
  <c r="DG68" i="1" s="1"/>
  <c r="CR68" i="1"/>
  <c r="DD68" i="1" s="1"/>
  <c r="CV68" i="1"/>
  <c r="DH68" i="1" s="1"/>
  <c r="CP68" i="1"/>
  <c r="CS68" i="1"/>
  <c r="DE68" i="1" s="1"/>
  <c r="CW68" i="1"/>
  <c r="DI68" i="1" s="1"/>
  <c r="V68" i="1"/>
  <c r="Z68" i="1"/>
  <c r="S68" i="1"/>
  <c r="W68" i="1"/>
  <c r="AA68" i="1"/>
  <c r="J68" i="1"/>
  <c r="T68" i="1"/>
  <c r="X68" i="1"/>
  <c r="U68" i="1"/>
  <c r="Y68" i="1"/>
  <c r="DK68" i="1" l="1"/>
  <c r="EH68" i="1"/>
  <c r="EE68" i="1"/>
  <c r="EJ68" i="1"/>
  <c r="EK68" i="1"/>
  <c r="DB68" i="1"/>
  <c r="CO68" i="1"/>
  <c r="EI68" i="1"/>
  <c r="AB68" i="1"/>
  <c r="AC68" i="1" s="1"/>
  <c r="AW68" i="1" s="1"/>
  <c r="DR68" i="1" s="1"/>
  <c r="ED68" i="1"/>
  <c r="R68" i="1"/>
  <c r="EF68" i="1"/>
  <c r="EL68" i="1"/>
  <c r="EG68" i="1"/>
  <c r="AX68" i="1" l="1"/>
  <c r="DS68" i="1" s="1"/>
  <c r="AZ68" i="1"/>
  <c r="DU68" i="1" s="1"/>
  <c r="EQ68" i="1"/>
  <c r="EN68" i="1"/>
  <c r="EP68" i="1"/>
  <c r="EO68" i="1"/>
  <c r="ER68" i="1"/>
  <c r="AT68" i="1"/>
  <c r="DO68" i="1" s="1"/>
  <c r="BA68" i="1"/>
  <c r="DV68" i="1" s="1"/>
  <c r="AV68" i="1"/>
  <c r="DQ68" i="1" s="1"/>
  <c r="AU68" i="1"/>
  <c r="DP68" i="1" s="1"/>
  <c r="AS68" i="1"/>
  <c r="AY68" i="1"/>
  <c r="DT68" i="1" s="1"/>
  <c r="EU68" i="1" l="1"/>
  <c r="EX68" i="1"/>
  <c r="EW68" i="1"/>
  <c r="EV68" i="1"/>
  <c r="ET68" i="1"/>
  <c r="DN68" i="1"/>
  <c r="BB68" i="1"/>
  <c r="FJ68" i="1" l="1"/>
  <c r="FW68" i="1" s="1"/>
  <c r="BO68" i="1" s="1"/>
  <c r="N68" i="1" s="1"/>
  <c r="EZ68" i="1"/>
  <c r="FD68" i="1"/>
  <c r="FH68" i="1"/>
  <c r="FA68" i="1"/>
  <c r="FE68" i="1"/>
  <c r="FI68" i="1"/>
  <c r="FB68" i="1"/>
  <c r="FF68" i="1"/>
  <c r="FC68" i="1"/>
  <c r="FG68" i="1"/>
  <c r="FL68" i="1" l="1"/>
  <c r="FP68" i="1" s="1"/>
  <c r="BH68" i="1" s="1"/>
  <c r="BU68" i="1" s="1"/>
  <c r="FU68" i="1" l="1"/>
  <c r="BM68" i="1" s="1"/>
  <c r="BZ68" i="1" s="1"/>
  <c r="FM68" i="1"/>
  <c r="BE68" i="1" s="1"/>
  <c r="BR68" i="1" s="1"/>
  <c r="FQ68" i="1"/>
  <c r="BI68" i="1" s="1"/>
  <c r="BV68" i="1" s="1"/>
  <c r="FO68" i="1"/>
  <c r="BG68" i="1" s="1"/>
  <c r="BT68" i="1" s="1"/>
  <c r="FR68" i="1"/>
  <c r="BJ68" i="1" s="1"/>
  <c r="BW68" i="1" s="1"/>
  <c r="FV68" i="1"/>
  <c r="BN68" i="1" s="1"/>
  <c r="CA68" i="1" s="1"/>
  <c r="FN68" i="1"/>
  <c r="BF68" i="1" s="1"/>
  <c r="BS68" i="1" s="1"/>
  <c r="FT68" i="1"/>
  <c r="BL68" i="1" s="1"/>
  <c r="BY68" i="1" s="1"/>
  <c r="FS68" i="1"/>
  <c r="BK68" i="1" s="1"/>
  <c r="BX68" i="1" s="1"/>
  <c r="BQ68" i="1" l="1"/>
  <c r="CG68" i="1" s="1"/>
  <c r="CJ68" i="1" l="1"/>
  <c r="CD68" i="1"/>
  <c r="CL68" i="1"/>
  <c r="CF68" i="1"/>
  <c r="CE68" i="1"/>
  <c r="CI68" i="1"/>
  <c r="CK68" i="1"/>
  <c r="CM68" i="1"/>
  <c r="DW68" i="1" s="1"/>
  <c r="DY68" i="1" s="1"/>
  <c r="E68" i="1" s="1"/>
  <c r="CH68" i="1"/>
  <c r="AH68" i="1" l="1"/>
  <c r="AL68" i="1"/>
  <c r="AI68" i="1"/>
  <c r="AM68" i="1"/>
  <c r="AF68" i="1"/>
  <c r="AJ68" i="1"/>
  <c r="AN68" i="1"/>
  <c r="AG68" i="1"/>
  <c r="AK68" i="1"/>
  <c r="M68" i="1"/>
  <c r="AE68" i="1" l="1"/>
  <c r="G68" i="1" s="1"/>
  <c r="AO68" i="1"/>
  <c r="AP68" i="1" l="1"/>
  <c r="H68" i="1" s="1"/>
  <c r="K68" i="1" s="1"/>
  <c r="F68" i="1"/>
  <c r="L68" i="1" l="1"/>
  <c r="B69" i="1"/>
  <c r="C69" i="1"/>
  <c r="I69" i="1"/>
  <c r="D69" i="1"/>
  <c r="O68" i="1"/>
  <c r="P68" i="1" l="1"/>
  <c r="S69" i="1"/>
  <c r="W69" i="1"/>
  <c r="AA69" i="1"/>
  <c r="J69" i="1"/>
  <c r="T69" i="1"/>
  <c r="X69" i="1"/>
  <c r="U69" i="1"/>
  <c r="Y69" i="1"/>
  <c r="V69" i="1"/>
  <c r="Z69" i="1"/>
  <c r="CY69" i="1"/>
  <c r="CR69" i="1"/>
  <c r="DD69" i="1" s="1"/>
  <c r="CV69" i="1"/>
  <c r="DH69" i="1" s="1"/>
  <c r="CP69" i="1"/>
  <c r="CS69" i="1"/>
  <c r="DE69" i="1" s="1"/>
  <c r="CW69" i="1"/>
  <c r="DI69" i="1" s="1"/>
  <c r="CT69" i="1"/>
  <c r="DF69" i="1" s="1"/>
  <c r="CX69" i="1"/>
  <c r="DJ69" i="1" s="1"/>
  <c r="CQ69" i="1"/>
  <c r="DC69" i="1" s="1"/>
  <c r="CU69" i="1"/>
  <c r="DG69" i="1" s="1"/>
  <c r="DK69" i="1" l="1"/>
  <c r="EJ69" i="1"/>
  <c r="DB69" i="1"/>
  <c r="CO69" i="1"/>
  <c r="EK69" i="1"/>
  <c r="EF69" i="1"/>
  <c r="EL69" i="1"/>
  <c r="EG69" i="1"/>
  <c r="EI69" i="1"/>
  <c r="EH69" i="1"/>
  <c r="EE69" i="1"/>
  <c r="ED69" i="1"/>
  <c r="AB69" i="1"/>
  <c r="AC69" i="1" s="1"/>
  <c r="AU69" i="1" s="1"/>
  <c r="DP69" i="1" s="1"/>
  <c r="R69" i="1"/>
  <c r="EO69" i="1" l="1"/>
  <c r="EQ69" i="1"/>
  <c r="EN69" i="1"/>
  <c r="ER69" i="1"/>
  <c r="EP69" i="1"/>
  <c r="AW69" i="1"/>
  <c r="DR69" i="1" s="1"/>
  <c r="AV69" i="1"/>
  <c r="DQ69" i="1" s="1"/>
  <c r="AY69" i="1"/>
  <c r="DT69" i="1" s="1"/>
  <c r="BA69" i="1"/>
  <c r="DV69" i="1" s="1"/>
  <c r="AS69" i="1"/>
  <c r="AT69" i="1"/>
  <c r="DO69" i="1" s="1"/>
  <c r="AX69" i="1"/>
  <c r="DS69" i="1" s="1"/>
  <c r="AZ69" i="1"/>
  <c r="DU69" i="1" s="1"/>
  <c r="ET69" i="1" l="1"/>
  <c r="EV69" i="1"/>
  <c r="EX69" i="1"/>
  <c r="EW69" i="1"/>
  <c r="EU69" i="1"/>
  <c r="DN69" i="1"/>
  <c r="BB69" i="1"/>
  <c r="FA69" i="1" l="1"/>
  <c r="FE69" i="1"/>
  <c r="FI69" i="1"/>
  <c r="FB69" i="1"/>
  <c r="FF69" i="1"/>
  <c r="FC69" i="1"/>
  <c r="FG69" i="1"/>
  <c r="FJ69" i="1"/>
  <c r="FW69" i="1" s="1"/>
  <c r="BO69" i="1" s="1"/>
  <c r="N69" i="1" s="1"/>
  <c r="EZ69" i="1"/>
  <c r="FD69" i="1"/>
  <c r="FH69" i="1"/>
  <c r="FL69" i="1" l="1"/>
  <c r="FP69" i="1" s="1"/>
  <c r="BH69" i="1" s="1"/>
  <c r="BU69" i="1" s="1"/>
  <c r="FQ69" i="1" l="1"/>
  <c r="BI69" i="1" s="1"/>
  <c r="BV69" i="1" s="1"/>
  <c r="FM69" i="1"/>
  <c r="BE69" i="1" s="1"/>
  <c r="BR69" i="1" s="1"/>
  <c r="FV69" i="1"/>
  <c r="BN69" i="1" s="1"/>
  <c r="CA69" i="1" s="1"/>
  <c r="FO69" i="1"/>
  <c r="BG69" i="1" s="1"/>
  <c r="BT69" i="1" s="1"/>
  <c r="FT69" i="1"/>
  <c r="BL69" i="1" s="1"/>
  <c r="BY69" i="1" s="1"/>
  <c r="FR69" i="1"/>
  <c r="BJ69" i="1" s="1"/>
  <c r="BW69" i="1" s="1"/>
  <c r="FN69" i="1"/>
  <c r="BF69" i="1" s="1"/>
  <c r="BS69" i="1" s="1"/>
  <c r="FU69" i="1"/>
  <c r="BM69" i="1" s="1"/>
  <c r="BZ69" i="1" s="1"/>
  <c r="FS69" i="1"/>
  <c r="BK69" i="1" s="1"/>
  <c r="BX69" i="1" s="1"/>
  <c r="BQ69" i="1" l="1"/>
  <c r="CG69" i="1" s="1"/>
  <c r="CD69" i="1" l="1"/>
  <c r="CI69" i="1"/>
  <c r="CH69" i="1"/>
  <c r="CF69" i="1"/>
  <c r="CK69" i="1"/>
  <c r="CE69" i="1"/>
  <c r="CL69" i="1"/>
  <c r="CJ69" i="1"/>
  <c r="CM69" i="1"/>
  <c r="DW69" i="1" s="1"/>
  <c r="DY69" i="1" s="1"/>
  <c r="E69" i="1" s="1"/>
  <c r="AI69" i="1" l="1"/>
  <c r="AM69" i="1"/>
  <c r="AF69" i="1"/>
  <c r="AJ69" i="1"/>
  <c r="AN69" i="1"/>
  <c r="AG69" i="1"/>
  <c r="AK69" i="1"/>
  <c r="AH69" i="1"/>
  <c r="AL69" i="1"/>
  <c r="M69" i="1"/>
  <c r="AE69" i="1" l="1"/>
  <c r="G69" i="1" s="1"/>
  <c r="AO69" i="1"/>
  <c r="F69" i="1" l="1"/>
  <c r="AP69" i="1"/>
  <c r="H69" i="1" s="1"/>
  <c r="K69" i="1" s="1"/>
  <c r="L69" i="1" l="1"/>
  <c r="B70" i="1"/>
  <c r="C70" i="1"/>
  <c r="I70" i="1"/>
  <c r="D70" i="1"/>
  <c r="O69" i="1"/>
  <c r="P69" i="1" l="1"/>
  <c r="CS70" i="1"/>
  <c r="DE70" i="1" s="1"/>
  <c r="CW70" i="1"/>
  <c r="DI70" i="1" s="1"/>
  <c r="CP70" i="1"/>
  <c r="CT70" i="1"/>
  <c r="DF70" i="1" s="1"/>
  <c r="CX70" i="1"/>
  <c r="DJ70" i="1" s="1"/>
  <c r="CQ70" i="1"/>
  <c r="DC70" i="1" s="1"/>
  <c r="CU70" i="1"/>
  <c r="DG70" i="1" s="1"/>
  <c r="CY70" i="1"/>
  <c r="DK70" i="1" s="1"/>
  <c r="CR70" i="1"/>
  <c r="DD70" i="1" s="1"/>
  <c r="CV70" i="1"/>
  <c r="DH70" i="1" s="1"/>
  <c r="T70" i="1"/>
  <c r="X70" i="1"/>
  <c r="U70" i="1"/>
  <c r="Y70" i="1"/>
  <c r="V70" i="1"/>
  <c r="Z70" i="1"/>
  <c r="S70" i="1"/>
  <c r="W70" i="1"/>
  <c r="AA70" i="1"/>
  <c r="J70" i="1"/>
  <c r="EK70" i="1" l="1"/>
  <c r="EF70" i="1"/>
  <c r="EL70" i="1"/>
  <c r="EG70" i="1"/>
  <c r="EI70" i="1"/>
  <c r="EH70" i="1"/>
  <c r="EE70" i="1"/>
  <c r="CO70" i="1"/>
  <c r="DB70" i="1"/>
  <c r="AB70" i="1"/>
  <c r="AC70" i="1" s="1"/>
  <c r="AU70" i="1" s="1"/>
  <c r="DP70" i="1" s="1"/>
  <c r="ED70" i="1"/>
  <c r="R70" i="1"/>
  <c r="EJ70" i="1"/>
  <c r="AY70" i="1" l="1"/>
  <c r="DT70" i="1" s="1"/>
  <c r="AW70" i="1"/>
  <c r="DR70" i="1" s="1"/>
  <c r="AV70" i="1"/>
  <c r="DQ70" i="1" s="1"/>
  <c r="AS70" i="1"/>
  <c r="EO70" i="1"/>
  <c r="EQ70" i="1"/>
  <c r="ER70" i="1"/>
  <c r="EP70" i="1"/>
  <c r="EN70" i="1"/>
  <c r="BA70" i="1"/>
  <c r="DV70" i="1" s="1"/>
  <c r="AT70" i="1"/>
  <c r="DO70" i="1" s="1"/>
  <c r="AX70" i="1"/>
  <c r="DS70" i="1" s="1"/>
  <c r="AZ70" i="1"/>
  <c r="DU70" i="1" s="1"/>
  <c r="BB70" i="1" l="1"/>
  <c r="DN70" i="1"/>
  <c r="EU70" i="1"/>
  <c r="EX70" i="1"/>
  <c r="EW70" i="1"/>
  <c r="EV70" i="1"/>
  <c r="ET70" i="1"/>
  <c r="FB70" i="1" l="1"/>
  <c r="FF70" i="1"/>
  <c r="FC70" i="1"/>
  <c r="FG70" i="1"/>
  <c r="FJ70" i="1"/>
  <c r="FW70" i="1" s="1"/>
  <c r="BO70" i="1" s="1"/>
  <c r="N70" i="1" s="1"/>
  <c r="EZ70" i="1"/>
  <c r="FD70" i="1"/>
  <c r="FH70" i="1"/>
  <c r="FA70" i="1"/>
  <c r="FE70" i="1"/>
  <c r="FI70" i="1"/>
  <c r="FL70" i="1" l="1"/>
  <c r="FV70" i="1" s="1"/>
  <c r="BN70" i="1" s="1"/>
  <c r="CA70" i="1" s="1"/>
  <c r="FT70" i="1" l="1"/>
  <c r="BL70" i="1" s="1"/>
  <c r="BY70" i="1" s="1"/>
  <c r="FN70" i="1"/>
  <c r="BF70" i="1" s="1"/>
  <c r="BS70" i="1" s="1"/>
  <c r="FO70" i="1"/>
  <c r="BG70" i="1" s="1"/>
  <c r="BT70" i="1" s="1"/>
  <c r="FR70" i="1"/>
  <c r="BJ70" i="1" s="1"/>
  <c r="BW70" i="1" s="1"/>
  <c r="FS70" i="1"/>
  <c r="BK70" i="1" s="1"/>
  <c r="BX70" i="1" s="1"/>
  <c r="FP70" i="1"/>
  <c r="BH70" i="1" s="1"/>
  <c r="BU70" i="1" s="1"/>
  <c r="FU70" i="1"/>
  <c r="BM70" i="1" s="1"/>
  <c r="BZ70" i="1" s="1"/>
  <c r="FM70" i="1"/>
  <c r="BE70" i="1" s="1"/>
  <c r="BR70" i="1" s="1"/>
  <c r="FQ70" i="1"/>
  <c r="BI70" i="1" s="1"/>
  <c r="BV70" i="1" s="1"/>
  <c r="BQ70" i="1" l="1"/>
  <c r="CM70" i="1" s="1"/>
  <c r="DW70" i="1" s="1"/>
  <c r="DY70" i="1" s="1"/>
  <c r="E70" i="1" s="1"/>
  <c r="CE70" i="1" l="1"/>
  <c r="CI70" i="1"/>
  <c r="CK70" i="1"/>
  <c r="CG70" i="1"/>
  <c r="CD70" i="1"/>
  <c r="CH70" i="1"/>
  <c r="CF70" i="1"/>
  <c r="AF70" i="1"/>
  <c r="AJ70" i="1"/>
  <c r="AN70" i="1"/>
  <c r="AG70" i="1"/>
  <c r="AK70" i="1"/>
  <c r="AH70" i="1"/>
  <c r="AL70" i="1"/>
  <c r="AI70" i="1"/>
  <c r="AM70" i="1"/>
  <c r="M70" i="1"/>
  <c r="CJ70" i="1"/>
  <c r="CL70" i="1"/>
  <c r="AE70" i="1" l="1"/>
  <c r="G70" i="1" s="1"/>
  <c r="AO70" i="1"/>
  <c r="F70" i="1" l="1"/>
  <c r="AP70" i="1"/>
  <c r="H70" i="1" s="1"/>
  <c r="K70" i="1" s="1"/>
  <c r="C71" i="1" l="1"/>
  <c r="I71" i="1"/>
  <c r="D71" i="1"/>
  <c r="O70" i="1"/>
  <c r="L70" i="1"/>
  <c r="B71" i="1"/>
  <c r="P70" i="1" l="1"/>
  <c r="U71" i="1"/>
  <c r="Y71" i="1"/>
  <c r="V71" i="1"/>
  <c r="Z71" i="1"/>
  <c r="S71" i="1"/>
  <c r="W71" i="1"/>
  <c r="AA71" i="1"/>
  <c r="J71" i="1"/>
  <c r="T71" i="1"/>
  <c r="X71" i="1"/>
  <c r="CT71" i="1"/>
  <c r="DF71" i="1" s="1"/>
  <c r="CX71" i="1"/>
  <c r="DJ71" i="1" s="1"/>
  <c r="CQ71" i="1"/>
  <c r="DC71" i="1" s="1"/>
  <c r="CU71" i="1"/>
  <c r="DG71" i="1" s="1"/>
  <c r="CY71" i="1"/>
  <c r="CR71" i="1"/>
  <c r="DD71" i="1" s="1"/>
  <c r="CV71" i="1"/>
  <c r="DH71" i="1" s="1"/>
  <c r="CP71" i="1"/>
  <c r="CS71" i="1"/>
  <c r="DE71" i="1" s="1"/>
  <c r="CW71" i="1"/>
  <c r="DI71" i="1" s="1"/>
  <c r="DK71" i="1" l="1"/>
  <c r="EL71" i="1"/>
  <c r="EG71" i="1"/>
  <c r="DB71" i="1"/>
  <c r="CO71" i="1"/>
  <c r="EI71" i="1"/>
  <c r="EH71" i="1"/>
  <c r="EE71" i="1"/>
  <c r="ED71" i="1"/>
  <c r="AB71" i="1"/>
  <c r="AC71" i="1" s="1"/>
  <c r="AV71" i="1" s="1"/>
  <c r="DQ71" i="1" s="1"/>
  <c r="R71" i="1"/>
  <c r="EJ71" i="1"/>
  <c r="EK71" i="1"/>
  <c r="EF71" i="1"/>
  <c r="AT71" i="1" l="1"/>
  <c r="DO71" i="1" s="1"/>
  <c r="AZ71" i="1"/>
  <c r="DU71" i="1" s="1"/>
  <c r="AY71" i="1"/>
  <c r="DT71" i="1" s="1"/>
  <c r="ER71" i="1"/>
  <c r="EQ71" i="1"/>
  <c r="EN71" i="1"/>
  <c r="EP71" i="1"/>
  <c r="EO71" i="1"/>
  <c r="AU71" i="1"/>
  <c r="DP71" i="1" s="1"/>
  <c r="AS71" i="1"/>
  <c r="AW71" i="1"/>
  <c r="DR71" i="1" s="1"/>
  <c r="BA71" i="1"/>
  <c r="DV71" i="1" s="1"/>
  <c r="AX71" i="1"/>
  <c r="DS71" i="1" s="1"/>
  <c r="DN71" i="1" l="1"/>
  <c r="BB71" i="1"/>
  <c r="EU71" i="1"/>
  <c r="EX71" i="1"/>
  <c r="EW71" i="1"/>
  <c r="ET71" i="1"/>
  <c r="EV71" i="1"/>
  <c r="FC71" i="1" l="1"/>
  <c r="FG71" i="1"/>
  <c r="FJ71" i="1"/>
  <c r="FW71" i="1" s="1"/>
  <c r="BO71" i="1" s="1"/>
  <c r="N71" i="1" s="1"/>
  <c r="EZ71" i="1"/>
  <c r="FD71" i="1"/>
  <c r="FH71" i="1"/>
  <c r="FA71" i="1"/>
  <c r="FE71" i="1"/>
  <c r="FI71" i="1"/>
  <c r="FB71" i="1"/>
  <c r="FF71" i="1"/>
  <c r="FL71" i="1" l="1"/>
  <c r="FR71" i="1" s="1"/>
  <c r="BJ71" i="1" s="1"/>
  <c r="BW71" i="1" s="1"/>
  <c r="FT71" i="1" l="1"/>
  <c r="BL71" i="1" s="1"/>
  <c r="BY71" i="1" s="1"/>
  <c r="FN71" i="1"/>
  <c r="BF71" i="1" s="1"/>
  <c r="BS71" i="1" s="1"/>
  <c r="FM71" i="1"/>
  <c r="BE71" i="1" s="1"/>
  <c r="BR71" i="1" s="1"/>
  <c r="FP71" i="1"/>
  <c r="BH71" i="1" s="1"/>
  <c r="BU71" i="1" s="1"/>
  <c r="FU71" i="1"/>
  <c r="BM71" i="1" s="1"/>
  <c r="BZ71" i="1" s="1"/>
  <c r="FQ71" i="1"/>
  <c r="BI71" i="1" s="1"/>
  <c r="BV71" i="1" s="1"/>
  <c r="FO71" i="1"/>
  <c r="BG71" i="1" s="1"/>
  <c r="BT71" i="1" s="1"/>
  <c r="FV71" i="1"/>
  <c r="BN71" i="1" s="1"/>
  <c r="CA71" i="1" s="1"/>
  <c r="FS71" i="1"/>
  <c r="BK71" i="1" s="1"/>
  <c r="BX71" i="1" s="1"/>
  <c r="BQ71" i="1" l="1"/>
  <c r="CH71" i="1" s="1"/>
  <c r="CG71" i="1" l="1"/>
  <c r="CI71" i="1"/>
  <c r="CE71" i="1"/>
  <c r="CK71" i="1"/>
  <c r="CM71" i="1"/>
  <c r="DW71" i="1" s="1"/>
  <c r="DY71" i="1" s="1"/>
  <c r="E71" i="1" s="1"/>
  <c r="CD71" i="1"/>
  <c r="CL71" i="1"/>
  <c r="CJ71" i="1"/>
  <c r="CF71" i="1"/>
  <c r="AG71" i="1" l="1"/>
  <c r="AK71" i="1"/>
  <c r="AH71" i="1"/>
  <c r="AL71" i="1"/>
  <c r="AI71" i="1"/>
  <c r="AM71" i="1"/>
  <c r="AF71" i="1"/>
  <c r="AJ71" i="1"/>
  <c r="AN71" i="1"/>
  <c r="M71" i="1"/>
  <c r="AO71" i="1" l="1"/>
  <c r="AE71" i="1"/>
  <c r="G71" i="1" s="1"/>
  <c r="AP71" i="1" l="1"/>
  <c r="H71" i="1" s="1"/>
  <c r="K71" i="1" s="1"/>
  <c r="F71" i="1"/>
  <c r="D72" i="1" l="1"/>
  <c r="O71" i="1"/>
  <c r="L71" i="1"/>
  <c r="B72" i="1"/>
  <c r="C72" i="1"/>
  <c r="I72" i="1"/>
  <c r="P71" i="1" l="1"/>
  <c r="CQ72" i="1"/>
  <c r="DC72" i="1" s="1"/>
  <c r="CU72" i="1"/>
  <c r="DG72" i="1" s="1"/>
  <c r="CY72" i="1"/>
  <c r="DK72" i="1" s="1"/>
  <c r="CR72" i="1"/>
  <c r="DD72" i="1" s="1"/>
  <c r="CV72" i="1"/>
  <c r="DH72" i="1" s="1"/>
  <c r="CS72" i="1"/>
  <c r="DE72" i="1" s="1"/>
  <c r="CW72" i="1"/>
  <c r="DI72" i="1" s="1"/>
  <c r="CP72" i="1"/>
  <c r="CT72" i="1"/>
  <c r="DF72" i="1" s="1"/>
  <c r="CX72" i="1"/>
  <c r="DJ72" i="1" s="1"/>
  <c r="V72" i="1"/>
  <c r="Z72" i="1"/>
  <c r="S72" i="1"/>
  <c r="W72" i="1"/>
  <c r="AA72" i="1"/>
  <c r="J72" i="1"/>
  <c r="T72" i="1"/>
  <c r="X72" i="1"/>
  <c r="U72" i="1"/>
  <c r="Y72" i="1"/>
  <c r="EI72" i="1" l="1"/>
  <c r="EE72" i="1"/>
  <c r="EJ72" i="1"/>
  <c r="EK72" i="1"/>
  <c r="CO72" i="1"/>
  <c r="DB72" i="1"/>
  <c r="EL72" i="1"/>
  <c r="EG72" i="1"/>
  <c r="EF72" i="1"/>
  <c r="EH72" i="1"/>
  <c r="ED72" i="1"/>
  <c r="R72" i="1"/>
  <c r="AB72" i="1"/>
  <c r="AC72" i="1" s="1"/>
  <c r="AX72" i="1" s="1"/>
  <c r="DS72" i="1" s="1"/>
  <c r="AT72" i="1" l="1"/>
  <c r="DO72" i="1" s="1"/>
  <c r="EQ72" i="1"/>
  <c r="EO72" i="1"/>
  <c r="EP72" i="1"/>
  <c r="EN72" i="1"/>
  <c r="ER72" i="1"/>
  <c r="AS72" i="1"/>
  <c r="AU72" i="1"/>
  <c r="DP72" i="1" s="1"/>
  <c r="BA72" i="1"/>
  <c r="DV72" i="1" s="1"/>
  <c r="AZ72" i="1"/>
  <c r="DU72" i="1" s="1"/>
  <c r="AV72" i="1"/>
  <c r="DQ72" i="1" s="1"/>
  <c r="AW72" i="1"/>
  <c r="DR72" i="1" s="1"/>
  <c r="AY72" i="1"/>
  <c r="DT72" i="1" s="1"/>
  <c r="DN72" i="1" l="1"/>
  <c r="BB72" i="1"/>
  <c r="EV72" i="1"/>
  <c r="ET72" i="1"/>
  <c r="EU72" i="1"/>
  <c r="EW72" i="1"/>
  <c r="EX72" i="1"/>
  <c r="FJ72" i="1" l="1"/>
  <c r="FW72" i="1" s="1"/>
  <c r="BO72" i="1" s="1"/>
  <c r="N72" i="1" s="1"/>
  <c r="EZ72" i="1"/>
  <c r="FD72" i="1"/>
  <c r="FH72" i="1"/>
  <c r="FA72" i="1"/>
  <c r="FE72" i="1"/>
  <c r="FI72" i="1"/>
  <c r="FB72" i="1"/>
  <c r="FF72" i="1"/>
  <c r="FC72" i="1"/>
  <c r="FG72" i="1"/>
  <c r="FL72" i="1" l="1"/>
  <c r="FO72" i="1" s="1"/>
  <c r="BG72" i="1" s="1"/>
  <c r="BT72" i="1" s="1"/>
  <c r="FN72" i="1" l="1"/>
  <c r="BF72" i="1" s="1"/>
  <c r="BS72" i="1" s="1"/>
  <c r="FV72" i="1"/>
  <c r="BN72" i="1" s="1"/>
  <c r="CA72" i="1" s="1"/>
  <c r="FS72" i="1"/>
  <c r="BK72" i="1" s="1"/>
  <c r="BX72" i="1" s="1"/>
  <c r="FU72" i="1"/>
  <c r="BM72" i="1" s="1"/>
  <c r="BZ72" i="1" s="1"/>
  <c r="FR72" i="1"/>
  <c r="BJ72" i="1" s="1"/>
  <c r="BW72" i="1" s="1"/>
  <c r="FT72" i="1"/>
  <c r="BL72" i="1" s="1"/>
  <c r="BY72" i="1" s="1"/>
  <c r="FP72" i="1"/>
  <c r="BH72" i="1" s="1"/>
  <c r="BU72" i="1" s="1"/>
  <c r="FM72" i="1"/>
  <c r="BE72" i="1" s="1"/>
  <c r="BR72" i="1" s="1"/>
  <c r="FQ72" i="1"/>
  <c r="BI72" i="1" s="1"/>
  <c r="BV72" i="1" s="1"/>
  <c r="BQ72" i="1" l="1"/>
  <c r="CF72" i="1" s="1"/>
  <c r="CH72" i="1" l="1"/>
  <c r="CJ72" i="1"/>
  <c r="CK72" i="1"/>
  <c r="CM72" i="1"/>
  <c r="DW72" i="1" s="1"/>
  <c r="DY72" i="1" s="1"/>
  <c r="E72" i="1" s="1"/>
  <c r="CL72" i="1"/>
  <c r="CE72" i="1"/>
  <c r="CD72" i="1"/>
  <c r="CI72" i="1"/>
  <c r="CG72" i="1"/>
  <c r="AH72" i="1" l="1"/>
  <c r="AL72" i="1"/>
  <c r="AI72" i="1"/>
  <c r="AM72" i="1"/>
  <c r="AF72" i="1"/>
  <c r="AJ72" i="1"/>
  <c r="AN72" i="1"/>
  <c r="AG72" i="1"/>
  <c r="AK72" i="1"/>
  <c r="M72" i="1"/>
  <c r="AE72" i="1" l="1"/>
  <c r="G72" i="1" s="1"/>
  <c r="AO72" i="1"/>
  <c r="AP72" i="1" l="1"/>
  <c r="H72" i="1" s="1"/>
  <c r="K72" i="1" s="1"/>
  <c r="F72" i="1"/>
  <c r="L72" i="1" l="1"/>
  <c r="B73" i="1"/>
  <c r="C73" i="1"/>
  <c r="I73" i="1"/>
  <c r="D73" i="1"/>
  <c r="O72" i="1"/>
  <c r="P72" i="1" l="1"/>
  <c r="S73" i="1"/>
  <c r="W73" i="1"/>
  <c r="AA73" i="1"/>
  <c r="J73" i="1"/>
  <c r="T73" i="1"/>
  <c r="X73" i="1"/>
  <c r="U73" i="1"/>
  <c r="Y73" i="1"/>
  <c r="V73" i="1"/>
  <c r="Z73" i="1"/>
  <c r="CY73" i="1"/>
  <c r="CT73" i="1"/>
  <c r="DF73" i="1" s="1"/>
  <c r="CX73" i="1"/>
  <c r="DJ73" i="1" s="1"/>
  <c r="CQ73" i="1"/>
  <c r="DC73" i="1" s="1"/>
  <c r="CU73" i="1"/>
  <c r="DG73" i="1" s="1"/>
  <c r="CR73" i="1"/>
  <c r="DD73" i="1" s="1"/>
  <c r="CV73" i="1"/>
  <c r="DH73" i="1" s="1"/>
  <c r="CP73" i="1"/>
  <c r="CS73" i="1"/>
  <c r="DE73" i="1" s="1"/>
  <c r="CW73" i="1"/>
  <c r="DI73" i="1" s="1"/>
  <c r="DK73" i="1" l="1"/>
  <c r="EJ73" i="1"/>
  <c r="DB73" i="1"/>
  <c r="CO73" i="1"/>
  <c r="EK73" i="1"/>
  <c r="EF73" i="1"/>
  <c r="EL73" i="1"/>
  <c r="EG73" i="1"/>
  <c r="EI73" i="1"/>
  <c r="EH73" i="1"/>
  <c r="EE73" i="1"/>
  <c r="AB73" i="1"/>
  <c r="AC73" i="1" s="1"/>
  <c r="AV73" i="1" s="1"/>
  <c r="DQ73" i="1" s="1"/>
  <c r="R73" i="1"/>
  <c r="ED73" i="1"/>
  <c r="AU73" i="1" l="1"/>
  <c r="DP73" i="1" s="1"/>
  <c r="EN73" i="1"/>
  <c r="ER73" i="1"/>
  <c r="EQ73" i="1"/>
  <c r="EP73" i="1"/>
  <c r="EO73" i="1"/>
  <c r="AY73" i="1"/>
  <c r="DT73" i="1" s="1"/>
  <c r="AX73" i="1"/>
  <c r="DS73" i="1" s="1"/>
  <c r="AS73" i="1"/>
  <c r="AT73" i="1"/>
  <c r="DO73" i="1" s="1"/>
  <c r="BA73" i="1"/>
  <c r="DV73" i="1" s="1"/>
  <c r="AZ73" i="1"/>
  <c r="DU73" i="1" s="1"/>
  <c r="AW73" i="1"/>
  <c r="DR73" i="1" s="1"/>
  <c r="EW73" i="1" l="1"/>
  <c r="ET73" i="1"/>
  <c r="EV73" i="1"/>
  <c r="EX73" i="1"/>
  <c r="EU73" i="1"/>
  <c r="DN73" i="1"/>
  <c r="BB73" i="1"/>
  <c r="FA73" i="1" l="1"/>
  <c r="FE73" i="1"/>
  <c r="FI73" i="1"/>
  <c r="FB73" i="1"/>
  <c r="FF73" i="1"/>
  <c r="FC73" i="1"/>
  <c r="FG73" i="1"/>
  <c r="FJ73" i="1"/>
  <c r="FW73" i="1" s="1"/>
  <c r="BO73" i="1" s="1"/>
  <c r="N73" i="1" s="1"/>
  <c r="EZ73" i="1"/>
  <c r="FD73" i="1"/>
  <c r="FH73" i="1"/>
  <c r="FL73" i="1" l="1"/>
  <c r="FP73" i="1" s="1"/>
  <c r="BH73" i="1" s="1"/>
  <c r="BU73" i="1" s="1"/>
  <c r="FQ73" i="1" l="1"/>
  <c r="BI73" i="1" s="1"/>
  <c r="BV73" i="1" s="1"/>
  <c r="FV73" i="1"/>
  <c r="BN73" i="1" s="1"/>
  <c r="CA73" i="1" s="1"/>
  <c r="FM73" i="1"/>
  <c r="BE73" i="1" s="1"/>
  <c r="BR73" i="1" s="1"/>
  <c r="FO73" i="1"/>
  <c r="BG73" i="1" s="1"/>
  <c r="BT73" i="1" s="1"/>
  <c r="FT73" i="1"/>
  <c r="BL73" i="1" s="1"/>
  <c r="BY73" i="1" s="1"/>
  <c r="FR73" i="1"/>
  <c r="BJ73" i="1" s="1"/>
  <c r="BW73" i="1" s="1"/>
  <c r="FN73" i="1"/>
  <c r="BF73" i="1" s="1"/>
  <c r="BS73" i="1" s="1"/>
  <c r="FU73" i="1"/>
  <c r="BM73" i="1" s="1"/>
  <c r="BZ73" i="1" s="1"/>
  <c r="FS73" i="1"/>
  <c r="BK73" i="1" s="1"/>
  <c r="BX73" i="1" s="1"/>
  <c r="BQ73" i="1" l="1"/>
  <c r="CG73" i="1" s="1"/>
  <c r="CH73" i="1" l="1"/>
  <c r="CL73" i="1"/>
  <c r="CF73" i="1"/>
  <c r="CK73" i="1"/>
  <c r="CM73" i="1"/>
  <c r="DW73" i="1" s="1"/>
  <c r="DY73" i="1" s="1"/>
  <c r="E73" i="1" s="1"/>
  <c r="AF73" i="1" s="1"/>
  <c r="CJ73" i="1"/>
  <c r="CD73" i="1"/>
  <c r="CI73" i="1"/>
  <c r="CE73" i="1"/>
  <c r="AG73" i="1" l="1"/>
  <c r="AI73" i="1"/>
  <c r="M73" i="1"/>
  <c r="AM73" i="1"/>
  <c r="AL73" i="1"/>
  <c r="AN73" i="1"/>
  <c r="AH73" i="1"/>
  <c r="AJ73" i="1"/>
  <c r="AK73" i="1"/>
  <c r="AE73" i="1" l="1"/>
  <c r="G73" i="1" s="1"/>
  <c r="AO73" i="1"/>
  <c r="F73" i="1" s="1"/>
  <c r="AP73" i="1" l="1"/>
  <c r="H73" i="1" s="1"/>
  <c r="K73" i="1" s="1"/>
  <c r="L73" i="1" s="1"/>
  <c r="D74" i="1" l="1"/>
  <c r="T74" i="1" s="1"/>
  <c r="I74" i="1"/>
  <c r="C74" i="1"/>
  <c r="O73" i="1"/>
  <c r="P73" i="1" s="1"/>
  <c r="B74" i="1"/>
  <c r="CQ74" i="1" l="1"/>
  <c r="DC74" i="1" s="1"/>
  <c r="CX74" i="1"/>
  <c r="DJ74" i="1" s="1"/>
  <c r="CP74" i="1"/>
  <c r="DB74" i="1" s="1"/>
  <c r="CW74" i="1"/>
  <c r="DI74" i="1" s="1"/>
  <c r="CV74" i="1"/>
  <c r="DH74" i="1" s="1"/>
  <c r="CT74" i="1"/>
  <c r="DF74" i="1" s="1"/>
  <c r="CR74" i="1"/>
  <c r="DD74" i="1" s="1"/>
  <c r="CY74" i="1"/>
  <c r="DK74" i="1" s="1"/>
  <c r="CU74" i="1"/>
  <c r="DG74" i="1" s="1"/>
  <c r="CS74" i="1"/>
  <c r="DE74" i="1" s="1"/>
  <c r="J74" i="1"/>
  <c r="AA74" i="1"/>
  <c r="EL74" i="1" s="1"/>
  <c r="W74" i="1"/>
  <c r="EH74" i="1" s="1"/>
  <c r="S74" i="1"/>
  <c r="ED74" i="1" s="1"/>
  <c r="Z74" i="1"/>
  <c r="EK74" i="1" s="1"/>
  <c r="Y74" i="1"/>
  <c r="EJ74" i="1" s="1"/>
  <c r="U74" i="1"/>
  <c r="EF74" i="1" s="1"/>
  <c r="X74" i="1"/>
  <c r="EI74" i="1" s="1"/>
  <c r="V74" i="1"/>
  <c r="EE74" i="1"/>
  <c r="R74" i="1" l="1"/>
  <c r="AB74" i="1"/>
  <c r="AC74" i="1" s="1"/>
  <c r="AS74" i="1" s="1"/>
  <c r="DN74" i="1" s="1"/>
  <c r="CO74" i="1"/>
  <c r="EG74" i="1"/>
  <c r="ER74" i="1" s="1"/>
  <c r="AY74" i="1" l="1"/>
  <c r="DT74" i="1" s="1"/>
  <c r="BA74" i="1"/>
  <c r="DV74" i="1" s="1"/>
  <c r="AT74" i="1"/>
  <c r="DO74" i="1" s="1"/>
  <c r="EQ74" i="1"/>
  <c r="AZ74" i="1"/>
  <c r="DU74" i="1" s="1"/>
  <c r="EP74" i="1"/>
  <c r="EN74" i="1"/>
  <c r="EO74" i="1"/>
  <c r="AX74" i="1"/>
  <c r="DS74" i="1" s="1"/>
  <c r="AU74" i="1"/>
  <c r="DP74" i="1" s="1"/>
  <c r="AW74" i="1"/>
  <c r="DR74" i="1" s="1"/>
  <c r="AV74" i="1"/>
  <c r="DQ74" i="1" s="1"/>
  <c r="EX74" i="1" l="1"/>
  <c r="EW74" i="1"/>
  <c r="ET74" i="1"/>
  <c r="EV74" i="1"/>
  <c r="EU74" i="1"/>
  <c r="BB74" i="1"/>
  <c r="FB74" i="1" l="1"/>
  <c r="FE74" i="1"/>
  <c r="FA74" i="1"/>
  <c r="FG74" i="1"/>
  <c r="EZ74" i="1"/>
  <c r="FH74" i="1"/>
  <c r="FC74" i="1"/>
  <c r="FI74" i="1"/>
  <c r="FD74" i="1"/>
  <c r="FF74" i="1"/>
  <c r="FJ74" i="1"/>
  <c r="FW74" i="1" s="1"/>
  <c r="BO74" i="1" s="1"/>
  <c r="N74" i="1" s="1"/>
  <c r="FL74" i="1" l="1"/>
  <c r="FV74" i="1" s="1"/>
  <c r="BN74" i="1" s="1"/>
  <c r="CA74" i="1" s="1"/>
  <c r="FU74" i="1" l="1"/>
  <c r="BM74" i="1" s="1"/>
  <c r="BZ74" i="1" s="1"/>
  <c r="FO74" i="1"/>
  <c r="BG74" i="1" s="1"/>
  <c r="BT74" i="1" s="1"/>
  <c r="FS74" i="1"/>
  <c r="BK74" i="1" s="1"/>
  <c r="BX74" i="1" s="1"/>
  <c r="FM74" i="1"/>
  <c r="BE74" i="1" s="1"/>
  <c r="BR74" i="1" s="1"/>
  <c r="FP74" i="1"/>
  <c r="BH74" i="1" s="1"/>
  <c r="BU74" i="1" s="1"/>
  <c r="FR74" i="1"/>
  <c r="BJ74" i="1" s="1"/>
  <c r="BW74" i="1" s="1"/>
  <c r="FQ74" i="1"/>
  <c r="BI74" i="1" s="1"/>
  <c r="BV74" i="1" s="1"/>
  <c r="FT74" i="1"/>
  <c r="BL74" i="1" s="1"/>
  <c r="BY74" i="1" s="1"/>
  <c r="FN74" i="1"/>
  <c r="BF74" i="1" s="1"/>
  <c r="BS74" i="1" s="1"/>
  <c r="BQ74" i="1" l="1"/>
  <c r="CJ74" i="1" s="1"/>
  <c r="CG74" i="1" l="1"/>
  <c r="CI74" i="1"/>
  <c r="CF74" i="1"/>
  <c r="CH74" i="1"/>
  <c r="CL74" i="1"/>
  <c r="CD74" i="1"/>
  <c r="CE74" i="1"/>
  <c r="CM74" i="1"/>
  <c r="DW74" i="1" s="1"/>
  <c r="DY74" i="1" s="1"/>
  <c r="E74" i="1" s="1"/>
  <c r="AG74" i="1" s="1"/>
  <c r="CK74" i="1"/>
  <c r="M74" i="1" l="1"/>
  <c r="AN74" i="1"/>
  <c r="AH74" i="1"/>
  <c r="AJ74" i="1"/>
  <c r="AL74" i="1"/>
  <c r="AM74" i="1"/>
  <c r="AK74" i="1"/>
  <c r="AF74" i="1"/>
  <c r="AI74" i="1"/>
  <c r="AE74" i="1" l="1"/>
  <c r="G74" i="1" s="1"/>
  <c r="AO74" i="1"/>
  <c r="F74" i="1" s="1"/>
  <c r="AP74" i="1" l="1"/>
  <c r="H74" i="1" s="1"/>
  <c r="K74" i="1" s="1"/>
  <c r="C75" i="1" s="1"/>
  <c r="L74" i="1" l="1"/>
  <c r="O74" i="1"/>
  <c r="D75" i="1"/>
  <c r="Z75" i="1" s="1"/>
  <c r="B75" i="1"/>
  <c r="I75" i="1"/>
  <c r="P74" i="1" l="1"/>
  <c r="CP75" i="1"/>
  <c r="DB75" i="1" s="1"/>
  <c r="CW75" i="1"/>
  <c r="DI75" i="1" s="1"/>
  <c r="U75" i="1"/>
  <c r="EF75" i="1" s="1"/>
  <c r="CX75" i="1"/>
  <c r="DJ75" i="1" s="1"/>
  <c r="CT75" i="1"/>
  <c r="DF75" i="1" s="1"/>
  <c r="CR75" i="1"/>
  <c r="DD75" i="1" s="1"/>
  <c r="CQ75" i="1"/>
  <c r="DC75" i="1" s="1"/>
  <c r="CS75" i="1"/>
  <c r="DE75" i="1" s="1"/>
  <c r="CY75" i="1"/>
  <c r="DK75" i="1" s="1"/>
  <c r="CV75" i="1"/>
  <c r="DH75" i="1" s="1"/>
  <c r="T75" i="1"/>
  <c r="EE75" i="1" s="1"/>
  <c r="CU75" i="1"/>
  <c r="DG75" i="1" s="1"/>
  <c r="W75" i="1"/>
  <c r="EH75" i="1" s="1"/>
  <c r="X75" i="1"/>
  <c r="EI75" i="1" s="1"/>
  <c r="S75" i="1"/>
  <c r="ED75" i="1" s="1"/>
  <c r="AA75" i="1"/>
  <c r="EL75" i="1" s="1"/>
  <c r="V75" i="1"/>
  <c r="EG75" i="1" s="1"/>
  <c r="Y75" i="1"/>
  <c r="J75" i="1"/>
  <c r="EK75" i="1"/>
  <c r="R75" i="1" l="1"/>
  <c r="AB75" i="1"/>
  <c r="AC75" i="1" s="1"/>
  <c r="AX75" i="1" s="1"/>
  <c r="DS75" i="1" s="1"/>
  <c r="CO75" i="1"/>
  <c r="EJ75" i="1"/>
  <c r="EN75" i="1" s="1"/>
  <c r="EQ75" i="1" l="1"/>
  <c r="EO75" i="1"/>
  <c r="AT75" i="1"/>
  <c r="DO75" i="1" s="1"/>
  <c r="AW75" i="1"/>
  <c r="DR75" i="1" s="1"/>
  <c r="AU75" i="1"/>
  <c r="DP75" i="1" s="1"/>
  <c r="ER75" i="1"/>
  <c r="EP75" i="1"/>
  <c r="AS75" i="1"/>
  <c r="DN75" i="1" s="1"/>
  <c r="AY75" i="1"/>
  <c r="DT75" i="1" s="1"/>
  <c r="BA75" i="1"/>
  <c r="DV75" i="1" s="1"/>
  <c r="AV75" i="1"/>
  <c r="DQ75" i="1" s="1"/>
  <c r="AZ75" i="1"/>
  <c r="DU75" i="1" s="1"/>
  <c r="ET75" i="1" l="1"/>
  <c r="EV75" i="1"/>
  <c r="EU75" i="1"/>
  <c r="EX75" i="1"/>
  <c r="EW75" i="1"/>
  <c r="BB75" i="1"/>
  <c r="FG75" i="1" l="1"/>
  <c r="FD75" i="1"/>
  <c r="FE75" i="1"/>
  <c r="FJ75" i="1"/>
  <c r="FW75" i="1" s="1"/>
  <c r="BO75" i="1" s="1"/>
  <c r="N75" i="1" s="1"/>
  <c r="FI75" i="1"/>
  <c r="FF75" i="1"/>
  <c r="FA75" i="1"/>
  <c r="FC75" i="1"/>
  <c r="FB75" i="1"/>
  <c r="FH75" i="1"/>
  <c r="EZ75" i="1"/>
  <c r="FL75" i="1" l="1"/>
  <c r="FR75" i="1" s="1"/>
  <c r="BJ75" i="1" s="1"/>
  <c r="BW75" i="1" s="1"/>
  <c r="FV75" i="1" l="1"/>
  <c r="BN75" i="1" s="1"/>
  <c r="CA75" i="1" s="1"/>
  <c r="FO75" i="1"/>
  <c r="BG75" i="1" s="1"/>
  <c r="BT75" i="1" s="1"/>
  <c r="FM75" i="1"/>
  <c r="BE75" i="1" s="1"/>
  <c r="BR75" i="1" s="1"/>
  <c r="FS75" i="1"/>
  <c r="BK75" i="1" s="1"/>
  <c r="BX75" i="1" s="1"/>
  <c r="FU75" i="1"/>
  <c r="BM75" i="1" s="1"/>
  <c r="BZ75" i="1" s="1"/>
  <c r="FP75" i="1"/>
  <c r="BH75" i="1" s="1"/>
  <c r="BU75" i="1" s="1"/>
  <c r="FQ75" i="1"/>
  <c r="BI75" i="1" s="1"/>
  <c r="BV75" i="1" s="1"/>
  <c r="FN75" i="1"/>
  <c r="BF75" i="1" s="1"/>
  <c r="BS75" i="1" s="1"/>
  <c r="FT75" i="1"/>
  <c r="BL75" i="1" s="1"/>
  <c r="BY75" i="1" s="1"/>
  <c r="BQ75" i="1" l="1"/>
  <c r="CE75" i="1" s="1"/>
  <c r="CG75" i="1" l="1"/>
  <c r="CK75" i="1"/>
  <c r="CI75" i="1"/>
  <c r="CH75" i="1"/>
  <c r="CJ75" i="1"/>
  <c r="CM75" i="1"/>
  <c r="DW75" i="1" s="1"/>
  <c r="DY75" i="1" s="1"/>
  <c r="E75" i="1" s="1"/>
  <c r="AH75" i="1" s="1"/>
  <c r="CD75" i="1"/>
  <c r="CL75" i="1"/>
  <c r="CF75" i="1"/>
  <c r="AG75" i="1" l="1"/>
  <c r="AI75" i="1"/>
  <c r="AN75" i="1"/>
  <c r="AF75" i="1"/>
  <c r="AK75" i="1"/>
  <c r="AL75" i="1"/>
  <c r="AJ75" i="1"/>
  <c r="AM75" i="1"/>
  <c r="M75" i="1"/>
  <c r="AE75" i="1" l="1"/>
  <c r="G75" i="1" s="1"/>
  <c r="AO75" i="1"/>
  <c r="AP75" i="1" s="1"/>
  <c r="H75" i="1" s="1"/>
  <c r="K75" i="1" s="1"/>
  <c r="B76" i="1" s="1"/>
  <c r="L75" i="1" l="1"/>
  <c r="I76" i="1"/>
  <c r="C76" i="1"/>
  <c r="D76" i="1"/>
  <c r="Z76" i="1" s="1"/>
  <c r="F75" i="1"/>
  <c r="O75" i="1" s="1"/>
  <c r="P75" i="1" l="1"/>
  <c r="T76" i="1"/>
  <c r="S76" i="1"/>
  <c r="ED76" i="1" s="1"/>
  <c r="CY76" i="1"/>
  <c r="U76" i="1"/>
  <c r="AA76" i="1"/>
  <c r="V76" i="1"/>
  <c r="EG76" i="1" s="1"/>
  <c r="X76" i="1"/>
  <c r="EI76" i="1" s="1"/>
  <c r="W76" i="1"/>
  <c r="EH76" i="1" s="1"/>
  <c r="CU76" i="1"/>
  <c r="DG76" i="1" s="1"/>
  <c r="CP76" i="1"/>
  <c r="DB76" i="1" s="1"/>
  <c r="Y76" i="1"/>
  <c r="EJ76" i="1" s="1"/>
  <c r="J76" i="1"/>
  <c r="CV76" i="1"/>
  <c r="DH76" i="1" s="1"/>
  <c r="CQ76" i="1"/>
  <c r="DC76" i="1" s="1"/>
  <c r="CW76" i="1"/>
  <c r="DI76" i="1" s="1"/>
  <c r="CR76" i="1"/>
  <c r="DD76" i="1" s="1"/>
  <c r="CX76" i="1"/>
  <c r="DJ76" i="1" s="1"/>
  <c r="CS76" i="1"/>
  <c r="DE76" i="1" s="1"/>
  <c r="CT76" i="1"/>
  <c r="DF76" i="1" s="1"/>
  <c r="EF76" i="1"/>
  <c r="EE76" i="1"/>
  <c r="EK76" i="1"/>
  <c r="EL76" i="1"/>
  <c r="DK76" i="1" l="1"/>
  <c r="R76" i="1"/>
  <c r="AB76" i="1"/>
  <c r="AC76" i="1" s="1"/>
  <c r="AU76" i="1" s="1"/>
  <c r="DP76" i="1" s="1"/>
  <c r="CO76" i="1"/>
  <c r="EQ76" i="1"/>
  <c r="EO76" i="1"/>
  <c r="EN76" i="1"/>
  <c r="ER76" i="1"/>
  <c r="EP76" i="1"/>
  <c r="AV76" i="1" l="1"/>
  <c r="DQ76" i="1" s="1"/>
  <c r="AW76" i="1"/>
  <c r="DR76" i="1" s="1"/>
  <c r="AZ76" i="1"/>
  <c r="DU76" i="1" s="1"/>
  <c r="AY76" i="1"/>
  <c r="DT76" i="1" s="1"/>
  <c r="AT76" i="1"/>
  <c r="DO76" i="1" s="1"/>
  <c r="BA76" i="1"/>
  <c r="DV76" i="1" s="1"/>
  <c r="AX76" i="1"/>
  <c r="DS76" i="1" s="1"/>
  <c r="AS76" i="1"/>
  <c r="DN76" i="1" s="1"/>
  <c r="EW76" i="1"/>
  <c r="EU76" i="1"/>
  <c r="EX76" i="1"/>
  <c r="EV76" i="1"/>
  <c r="ET76" i="1"/>
  <c r="BB76" i="1" l="1"/>
  <c r="FJ76" i="1"/>
  <c r="FW76" i="1" s="1"/>
  <c r="BO76" i="1" s="1"/>
  <c r="N76" i="1" s="1"/>
  <c r="EZ76" i="1"/>
  <c r="FD76" i="1"/>
  <c r="FH76" i="1"/>
  <c r="FA76" i="1"/>
  <c r="FE76" i="1"/>
  <c r="FI76" i="1"/>
  <c r="FB76" i="1"/>
  <c r="FF76" i="1"/>
  <c r="FC76" i="1"/>
  <c r="FG76" i="1"/>
  <c r="FL76" i="1" l="1"/>
  <c r="FP76" i="1" s="1"/>
  <c r="BH76" i="1" s="1"/>
  <c r="BU76" i="1" s="1"/>
  <c r="FU76" i="1" l="1"/>
  <c r="BM76" i="1" s="1"/>
  <c r="BZ76" i="1" s="1"/>
  <c r="FM76" i="1"/>
  <c r="BE76" i="1" s="1"/>
  <c r="BR76" i="1" s="1"/>
  <c r="FQ76" i="1"/>
  <c r="BI76" i="1" s="1"/>
  <c r="BV76" i="1" s="1"/>
  <c r="FO76" i="1"/>
  <c r="BG76" i="1" s="1"/>
  <c r="BT76" i="1" s="1"/>
  <c r="FR76" i="1"/>
  <c r="BJ76" i="1" s="1"/>
  <c r="BW76" i="1" s="1"/>
  <c r="FV76" i="1"/>
  <c r="BN76" i="1" s="1"/>
  <c r="CA76" i="1" s="1"/>
  <c r="FN76" i="1"/>
  <c r="BF76" i="1" s="1"/>
  <c r="BS76" i="1" s="1"/>
  <c r="FT76" i="1"/>
  <c r="BL76" i="1" s="1"/>
  <c r="BY76" i="1" s="1"/>
  <c r="FS76" i="1"/>
  <c r="BK76" i="1" s="1"/>
  <c r="BX76" i="1" s="1"/>
  <c r="BQ76" i="1" l="1"/>
  <c r="CG76" i="1" s="1"/>
  <c r="CM76" i="1" l="1"/>
  <c r="DW76" i="1" s="1"/>
  <c r="DY76" i="1" s="1"/>
  <c r="E76" i="1" s="1"/>
  <c r="CJ76" i="1"/>
  <c r="CD76" i="1"/>
  <c r="CL76" i="1"/>
  <c r="CF76" i="1"/>
  <c r="CI76" i="1"/>
  <c r="CK76" i="1"/>
  <c r="CE76" i="1"/>
  <c r="CH76" i="1"/>
  <c r="AH76" i="1" l="1"/>
  <c r="AL76" i="1"/>
  <c r="AI76" i="1"/>
  <c r="AM76" i="1"/>
  <c r="AF76" i="1"/>
  <c r="AJ76" i="1"/>
  <c r="AN76" i="1"/>
  <c r="AG76" i="1"/>
  <c r="AK76" i="1"/>
  <c r="M76" i="1"/>
  <c r="AE76" i="1" l="1"/>
  <c r="G76" i="1" s="1"/>
  <c r="AO76" i="1"/>
  <c r="AP76" i="1" l="1"/>
  <c r="H76" i="1" s="1"/>
  <c r="K76" i="1" s="1"/>
  <c r="F76" i="1"/>
  <c r="L76" i="1" l="1"/>
  <c r="B77" i="1"/>
  <c r="C77" i="1"/>
  <c r="I77" i="1"/>
  <c r="D77" i="1"/>
  <c r="O76" i="1"/>
  <c r="P76" i="1" l="1"/>
  <c r="S77" i="1"/>
  <c r="W77" i="1"/>
  <c r="AA77" i="1"/>
  <c r="J77" i="1"/>
  <c r="T77" i="1"/>
  <c r="X77" i="1"/>
  <c r="U77" i="1"/>
  <c r="Y77" i="1"/>
  <c r="V77" i="1"/>
  <c r="Z77" i="1"/>
  <c r="CY77" i="1"/>
  <c r="CS77" i="1"/>
  <c r="DE77" i="1" s="1"/>
  <c r="CW77" i="1"/>
  <c r="DI77" i="1" s="1"/>
  <c r="CP77" i="1"/>
  <c r="CT77" i="1"/>
  <c r="DF77" i="1" s="1"/>
  <c r="CX77" i="1"/>
  <c r="DJ77" i="1" s="1"/>
  <c r="CQ77" i="1"/>
  <c r="DC77" i="1" s="1"/>
  <c r="CU77" i="1"/>
  <c r="DG77" i="1" s="1"/>
  <c r="CR77" i="1"/>
  <c r="DD77" i="1" s="1"/>
  <c r="CV77" i="1"/>
  <c r="DH77" i="1" s="1"/>
  <c r="DK77" i="1" l="1"/>
  <c r="EJ77" i="1"/>
  <c r="CO77" i="1"/>
  <c r="DB77" i="1"/>
  <c r="EK77" i="1"/>
  <c r="EF77" i="1"/>
  <c r="EL77" i="1"/>
  <c r="EG77" i="1"/>
  <c r="EI77" i="1"/>
  <c r="EH77" i="1"/>
  <c r="EE77" i="1"/>
  <c r="R77" i="1"/>
  <c r="AB77" i="1"/>
  <c r="AC77" i="1" s="1"/>
  <c r="AU77" i="1" s="1"/>
  <c r="DP77" i="1" s="1"/>
  <c r="ED77" i="1"/>
  <c r="AV77" i="1" l="1"/>
  <c r="DQ77" i="1" s="1"/>
  <c r="BA77" i="1"/>
  <c r="DV77" i="1" s="1"/>
  <c r="AY77" i="1"/>
  <c r="DT77" i="1" s="1"/>
  <c r="AS77" i="1"/>
  <c r="AX77" i="1"/>
  <c r="DS77" i="1" s="1"/>
  <c r="EP77" i="1"/>
  <c r="EQ77" i="1"/>
  <c r="ER77" i="1"/>
  <c r="EN77" i="1"/>
  <c r="EO77" i="1"/>
  <c r="AT77" i="1"/>
  <c r="DO77" i="1" s="1"/>
  <c r="AZ77" i="1"/>
  <c r="DU77" i="1" s="1"/>
  <c r="AW77" i="1"/>
  <c r="DR77" i="1" s="1"/>
  <c r="DN77" i="1" l="1"/>
  <c r="BB77" i="1"/>
  <c r="ET77" i="1"/>
  <c r="EX77" i="1"/>
  <c r="EU77" i="1"/>
  <c r="EW77" i="1"/>
  <c r="EV77" i="1"/>
  <c r="FA77" i="1" l="1"/>
  <c r="FE77" i="1"/>
  <c r="FI77" i="1"/>
  <c r="FB77" i="1"/>
  <c r="FF77" i="1"/>
  <c r="FC77" i="1"/>
  <c r="FG77" i="1"/>
  <c r="FJ77" i="1"/>
  <c r="FW77" i="1" s="1"/>
  <c r="BO77" i="1" s="1"/>
  <c r="N77" i="1" s="1"/>
  <c r="EZ77" i="1"/>
  <c r="FD77" i="1"/>
  <c r="FH77" i="1"/>
  <c r="FL77" i="1" l="1"/>
  <c r="FO77" i="1" s="1"/>
  <c r="BG77" i="1" s="1"/>
  <c r="BT77" i="1" s="1"/>
  <c r="FU77" i="1" l="1"/>
  <c r="BM77" i="1" s="1"/>
  <c r="BZ77" i="1" s="1"/>
  <c r="FV77" i="1"/>
  <c r="BN77" i="1" s="1"/>
  <c r="CA77" i="1" s="1"/>
  <c r="FN77" i="1"/>
  <c r="BF77" i="1" s="1"/>
  <c r="BS77" i="1" s="1"/>
  <c r="FR77" i="1"/>
  <c r="BJ77" i="1" s="1"/>
  <c r="BW77" i="1" s="1"/>
  <c r="FS77" i="1"/>
  <c r="BK77" i="1" s="1"/>
  <c r="BX77" i="1" s="1"/>
  <c r="FP77" i="1"/>
  <c r="BH77" i="1" s="1"/>
  <c r="BU77" i="1" s="1"/>
  <c r="FT77" i="1"/>
  <c r="BL77" i="1" s="1"/>
  <c r="BY77" i="1" s="1"/>
  <c r="FM77" i="1"/>
  <c r="BE77" i="1" s="1"/>
  <c r="BR77" i="1" s="1"/>
  <c r="FQ77" i="1"/>
  <c r="BI77" i="1" s="1"/>
  <c r="BV77" i="1" s="1"/>
  <c r="BQ77" i="1" l="1"/>
  <c r="CF77" i="1" s="1"/>
  <c r="CM77" i="1" l="1"/>
  <c r="DW77" i="1" s="1"/>
  <c r="DY77" i="1" s="1"/>
  <c r="E77" i="1" s="1"/>
  <c r="CE77" i="1"/>
  <c r="CH77" i="1"/>
  <c r="CG77" i="1"/>
  <c r="CI77" i="1"/>
  <c r="CL77" i="1"/>
  <c r="CD77" i="1"/>
  <c r="CJ77" i="1"/>
  <c r="CK77" i="1"/>
  <c r="AI77" i="1" l="1"/>
  <c r="AM77" i="1"/>
  <c r="AF77" i="1"/>
  <c r="AJ77" i="1"/>
  <c r="AN77" i="1"/>
  <c r="AG77" i="1"/>
  <c r="AK77" i="1"/>
  <c r="AH77" i="1"/>
  <c r="AL77" i="1"/>
  <c r="M77" i="1"/>
  <c r="AE77" i="1" l="1"/>
  <c r="G77" i="1" s="1"/>
  <c r="AO77" i="1"/>
  <c r="F77" i="1" l="1"/>
  <c r="AP77" i="1"/>
  <c r="H77" i="1" s="1"/>
  <c r="K77" i="1" s="1"/>
  <c r="L77" i="1" l="1"/>
  <c r="B78" i="1"/>
  <c r="C78" i="1"/>
  <c r="I78" i="1"/>
  <c r="D78" i="1"/>
  <c r="O77" i="1"/>
  <c r="P77" i="1" l="1"/>
  <c r="T78" i="1"/>
  <c r="X78" i="1"/>
  <c r="U78" i="1"/>
  <c r="Y78" i="1"/>
  <c r="V78" i="1"/>
  <c r="Z78" i="1"/>
  <c r="S78" i="1"/>
  <c r="W78" i="1"/>
  <c r="AA78" i="1"/>
  <c r="J78" i="1"/>
  <c r="CP78" i="1"/>
  <c r="CS78" i="1"/>
  <c r="DE78" i="1" s="1"/>
  <c r="CW78" i="1"/>
  <c r="DI78" i="1" s="1"/>
  <c r="CT78" i="1"/>
  <c r="DF78" i="1" s="1"/>
  <c r="CX78" i="1"/>
  <c r="DJ78" i="1" s="1"/>
  <c r="CQ78" i="1"/>
  <c r="DC78" i="1" s="1"/>
  <c r="CU78" i="1"/>
  <c r="DG78" i="1" s="1"/>
  <c r="CY78" i="1"/>
  <c r="DK78" i="1" s="1"/>
  <c r="CR78" i="1"/>
  <c r="DD78" i="1" s="1"/>
  <c r="CV78" i="1"/>
  <c r="DH78" i="1" s="1"/>
  <c r="DB78" i="1" l="1"/>
  <c r="CO78" i="1"/>
  <c r="AB78" i="1"/>
  <c r="AC78" i="1" s="1"/>
  <c r="AY78" i="1" s="1"/>
  <c r="DT78" i="1" s="1"/>
  <c r="ED78" i="1"/>
  <c r="R78" i="1"/>
  <c r="EJ78" i="1"/>
  <c r="EK78" i="1"/>
  <c r="EF78" i="1"/>
  <c r="EL78" i="1"/>
  <c r="EG78" i="1"/>
  <c r="EI78" i="1"/>
  <c r="EH78" i="1"/>
  <c r="EE78" i="1"/>
  <c r="AU78" i="1" l="1"/>
  <c r="DP78" i="1" s="1"/>
  <c r="AS78" i="1"/>
  <c r="AV78" i="1"/>
  <c r="DQ78" i="1" s="1"/>
  <c r="AT78" i="1"/>
  <c r="DO78" i="1" s="1"/>
  <c r="AX78" i="1"/>
  <c r="DS78" i="1" s="1"/>
  <c r="BA78" i="1"/>
  <c r="DV78" i="1" s="1"/>
  <c r="AZ78" i="1"/>
  <c r="DU78" i="1" s="1"/>
  <c r="AW78" i="1"/>
  <c r="DR78" i="1" s="1"/>
  <c r="EO78" i="1"/>
  <c r="EN78" i="1"/>
  <c r="EP78" i="1"/>
  <c r="ER78" i="1"/>
  <c r="EQ78" i="1"/>
  <c r="EX78" i="1" l="1"/>
  <c r="EW78" i="1"/>
  <c r="ET78" i="1"/>
  <c r="EV78" i="1"/>
  <c r="EU78" i="1"/>
  <c r="BB78" i="1"/>
  <c r="DN78" i="1"/>
  <c r="FB78" i="1" l="1"/>
  <c r="FF78" i="1"/>
  <c r="FC78" i="1"/>
  <c r="FG78" i="1"/>
  <c r="FJ78" i="1"/>
  <c r="FW78" i="1" s="1"/>
  <c r="BO78" i="1" s="1"/>
  <c r="N78" i="1" s="1"/>
  <c r="EZ78" i="1"/>
  <c r="FD78" i="1"/>
  <c r="FH78" i="1"/>
  <c r="FA78" i="1"/>
  <c r="FE78" i="1"/>
  <c r="FI78" i="1"/>
  <c r="FL78" i="1" l="1"/>
  <c r="FU78" i="1" s="1"/>
  <c r="BM78" i="1" s="1"/>
  <c r="BZ78" i="1" s="1"/>
  <c r="FP78" i="1" l="1"/>
  <c r="BH78" i="1" s="1"/>
  <c r="BU78" i="1" s="1"/>
  <c r="FM78" i="1"/>
  <c r="BE78" i="1" s="1"/>
  <c r="BR78" i="1" s="1"/>
  <c r="FS78" i="1"/>
  <c r="BK78" i="1" s="1"/>
  <c r="BX78" i="1" s="1"/>
  <c r="FO78" i="1"/>
  <c r="BG78" i="1" s="1"/>
  <c r="BT78" i="1" s="1"/>
  <c r="FQ78" i="1"/>
  <c r="BI78" i="1" s="1"/>
  <c r="BV78" i="1" s="1"/>
  <c r="FN78" i="1"/>
  <c r="BF78" i="1" s="1"/>
  <c r="BS78" i="1" s="1"/>
  <c r="FT78" i="1"/>
  <c r="BL78" i="1" s="1"/>
  <c r="BY78" i="1" s="1"/>
  <c r="FV78" i="1"/>
  <c r="BN78" i="1" s="1"/>
  <c r="CA78" i="1" s="1"/>
  <c r="FR78" i="1"/>
  <c r="BJ78" i="1" s="1"/>
  <c r="BW78" i="1" s="1"/>
  <c r="BQ78" i="1" l="1"/>
  <c r="CL78" i="1" s="1"/>
  <c r="CE78" i="1" l="1"/>
  <c r="CK78" i="1"/>
  <c r="CG78" i="1"/>
  <c r="CD78" i="1"/>
  <c r="CF78" i="1"/>
  <c r="CH78" i="1"/>
  <c r="CM78" i="1"/>
  <c r="DW78" i="1" s="1"/>
  <c r="DY78" i="1" s="1"/>
  <c r="E78" i="1" s="1"/>
  <c r="CI78" i="1"/>
  <c r="CJ78" i="1"/>
  <c r="AF78" i="1" l="1"/>
  <c r="AJ78" i="1"/>
  <c r="AN78" i="1"/>
  <c r="AG78" i="1"/>
  <c r="AK78" i="1"/>
  <c r="AH78" i="1"/>
  <c r="AL78" i="1"/>
  <c r="AI78" i="1"/>
  <c r="AM78" i="1"/>
  <c r="M78" i="1"/>
  <c r="AE78" i="1" l="1"/>
  <c r="G78" i="1" s="1"/>
  <c r="AO78" i="1"/>
  <c r="F78" i="1" l="1"/>
  <c r="AP78" i="1"/>
  <c r="H78" i="1" s="1"/>
  <c r="K78" i="1" s="1"/>
  <c r="C79" i="1" l="1"/>
  <c r="I79" i="1"/>
  <c r="D79" i="1"/>
  <c r="O78" i="1"/>
  <c r="L78" i="1"/>
  <c r="B79" i="1"/>
  <c r="P78" i="1" l="1"/>
  <c r="U79" i="1"/>
  <c r="Y79" i="1"/>
  <c r="V79" i="1"/>
  <c r="Z79" i="1"/>
  <c r="S79" i="1"/>
  <c r="W79" i="1"/>
  <c r="AA79" i="1"/>
  <c r="J79" i="1"/>
  <c r="T79" i="1"/>
  <c r="X79" i="1"/>
  <c r="CR79" i="1"/>
  <c r="DD79" i="1" s="1"/>
  <c r="CV79" i="1"/>
  <c r="DH79" i="1" s="1"/>
  <c r="CS79" i="1"/>
  <c r="DE79" i="1" s="1"/>
  <c r="CW79" i="1"/>
  <c r="DI79" i="1" s="1"/>
  <c r="CY79" i="1"/>
  <c r="DK79" i="1" s="1"/>
  <c r="CP79" i="1"/>
  <c r="CT79" i="1"/>
  <c r="DF79" i="1" s="1"/>
  <c r="CX79" i="1"/>
  <c r="DJ79" i="1" s="1"/>
  <c r="CQ79" i="1"/>
  <c r="DC79" i="1" s="1"/>
  <c r="CU79" i="1"/>
  <c r="DG79" i="1" s="1"/>
  <c r="EL79" i="1" l="1"/>
  <c r="EG79" i="1"/>
  <c r="EI79" i="1"/>
  <c r="EH79" i="1"/>
  <c r="EE79" i="1"/>
  <c r="ED79" i="1"/>
  <c r="AB79" i="1"/>
  <c r="AC79" i="1" s="1"/>
  <c r="AZ79" i="1" s="1"/>
  <c r="DU79" i="1" s="1"/>
  <c r="R79" i="1"/>
  <c r="EJ79" i="1"/>
  <c r="DB79" i="1"/>
  <c r="CO79" i="1"/>
  <c r="EK79" i="1"/>
  <c r="EF79" i="1"/>
  <c r="AY79" i="1" l="1"/>
  <c r="DT79" i="1" s="1"/>
  <c r="AS79" i="1"/>
  <c r="AW79" i="1"/>
  <c r="DR79" i="1" s="1"/>
  <c r="AV79" i="1"/>
  <c r="DQ79" i="1" s="1"/>
  <c r="AT79" i="1"/>
  <c r="DO79" i="1" s="1"/>
  <c r="AX79" i="1"/>
  <c r="DS79" i="1" s="1"/>
  <c r="BA79" i="1"/>
  <c r="DV79" i="1" s="1"/>
  <c r="AU79" i="1"/>
  <c r="DP79" i="1" s="1"/>
  <c r="EP79" i="1"/>
  <c r="ER79" i="1"/>
  <c r="EO79" i="1"/>
  <c r="EN79" i="1"/>
  <c r="EQ79" i="1"/>
  <c r="EX79" i="1" l="1"/>
  <c r="EW79" i="1"/>
  <c r="EU79" i="1"/>
  <c r="ET79" i="1"/>
  <c r="EV79" i="1"/>
  <c r="DN79" i="1"/>
  <c r="BB79" i="1"/>
  <c r="FC79" i="1" l="1"/>
  <c r="FG79" i="1"/>
  <c r="FJ79" i="1"/>
  <c r="FW79" i="1" s="1"/>
  <c r="BO79" i="1" s="1"/>
  <c r="N79" i="1" s="1"/>
  <c r="EZ79" i="1"/>
  <c r="FD79" i="1"/>
  <c r="FH79" i="1"/>
  <c r="FA79" i="1"/>
  <c r="FE79" i="1"/>
  <c r="FI79" i="1"/>
  <c r="FB79" i="1"/>
  <c r="FF79" i="1"/>
  <c r="FL79" i="1" l="1"/>
  <c r="FS79" i="1" s="1"/>
  <c r="BK79" i="1" s="1"/>
  <c r="BX79" i="1" s="1"/>
  <c r="FT79" i="1" l="1"/>
  <c r="BL79" i="1" s="1"/>
  <c r="BY79" i="1" s="1"/>
  <c r="FM79" i="1"/>
  <c r="BE79" i="1" s="1"/>
  <c r="BR79" i="1" s="1"/>
  <c r="FP79" i="1"/>
  <c r="BH79" i="1" s="1"/>
  <c r="BU79" i="1" s="1"/>
  <c r="FU79" i="1"/>
  <c r="BM79" i="1" s="1"/>
  <c r="BZ79" i="1" s="1"/>
  <c r="FR79" i="1"/>
  <c r="BJ79" i="1" s="1"/>
  <c r="BW79" i="1" s="1"/>
  <c r="FQ79" i="1"/>
  <c r="BI79" i="1" s="1"/>
  <c r="BV79" i="1" s="1"/>
  <c r="FO79" i="1"/>
  <c r="BG79" i="1" s="1"/>
  <c r="BT79" i="1" s="1"/>
  <c r="FV79" i="1"/>
  <c r="BN79" i="1" s="1"/>
  <c r="CA79" i="1" s="1"/>
  <c r="FN79" i="1"/>
  <c r="BF79" i="1" s="1"/>
  <c r="BS79" i="1" s="1"/>
  <c r="BQ79" i="1" l="1"/>
  <c r="CJ79" i="1" s="1"/>
  <c r="CF79" i="1" l="1"/>
  <c r="CI79" i="1"/>
  <c r="CK79" i="1"/>
  <c r="CD79" i="1"/>
  <c r="CL79" i="1"/>
  <c r="CH79" i="1"/>
  <c r="CM79" i="1"/>
  <c r="DW79" i="1" s="1"/>
  <c r="DY79" i="1" s="1"/>
  <c r="E79" i="1" s="1"/>
  <c r="CE79" i="1"/>
  <c r="CG79" i="1"/>
  <c r="AG79" i="1" l="1"/>
  <c r="AK79" i="1"/>
  <c r="AH79" i="1"/>
  <c r="AL79" i="1"/>
  <c r="AI79" i="1"/>
  <c r="AM79" i="1"/>
  <c r="AF79" i="1"/>
  <c r="AJ79" i="1"/>
  <c r="AN79" i="1"/>
  <c r="M79" i="1"/>
  <c r="AO79" i="1" l="1"/>
  <c r="AE79" i="1"/>
  <c r="G79" i="1" s="1"/>
  <c r="AP79" i="1" l="1"/>
  <c r="H79" i="1" s="1"/>
  <c r="K79" i="1" s="1"/>
  <c r="F79" i="1"/>
  <c r="D80" i="1" l="1"/>
  <c r="O79" i="1"/>
  <c r="L79" i="1"/>
  <c r="P79" i="1" s="1"/>
  <c r="B80" i="1"/>
  <c r="C80" i="1"/>
  <c r="I80" i="1"/>
  <c r="CT80" i="1" l="1"/>
  <c r="DF80" i="1" s="1"/>
  <c r="CX80" i="1"/>
  <c r="DJ80" i="1" s="1"/>
  <c r="CY80" i="1"/>
  <c r="DK80" i="1" s="1"/>
  <c r="CQ80" i="1"/>
  <c r="DC80" i="1" s="1"/>
  <c r="CU80" i="1"/>
  <c r="DG80" i="1" s="1"/>
  <c r="CR80" i="1"/>
  <c r="DD80" i="1" s="1"/>
  <c r="CV80" i="1"/>
  <c r="DH80" i="1" s="1"/>
  <c r="CP80" i="1"/>
  <c r="CS80" i="1"/>
  <c r="DE80" i="1" s="1"/>
  <c r="CW80" i="1"/>
  <c r="DI80" i="1" s="1"/>
  <c r="V80" i="1"/>
  <c r="Z80" i="1"/>
  <c r="S80" i="1"/>
  <c r="W80" i="1"/>
  <c r="AA80" i="1"/>
  <c r="J80" i="1"/>
  <c r="T80" i="1"/>
  <c r="X80" i="1"/>
  <c r="U80" i="1"/>
  <c r="Y80" i="1"/>
  <c r="EL80" i="1" l="1"/>
  <c r="EI80" i="1"/>
  <c r="EH80" i="1"/>
  <c r="EE80" i="1"/>
  <c r="R80" i="1"/>
  <c r="AB80" i="1"/>
  <c r="AC80" i="1" s="1"/>
  <c r="BA80" i="1" s="1"/>
  <c r="DV80" i="1" s="1"/>
  <c r="ED80" i="1"/>
  <c r="EJ80" i="1"/>
  <c r="EK80" i="1"/>
  <c r="DB80" i="1"/>
  <c r="CO80" i="1"/>
  <c r="EF80" i="1"/>
  <c r="EG80" i="1"/>
  <c r="AZ80" i="1" l="1"/>
  <c r="DU80" i="1" s="1"/>
  <c r="EO80" i="1"/>
  <c r="ER80" i="1"/>
  <c r="EQ80" i="1"/>
  <c r="EP80" i="1"/>
  <c r="EN80" i="1"/>
  <c r="AT80" i="1"/>
  <c r="DO80" i="1" s="1"/>
  <c r="AX80" i="1"/>
  <c r="DS80" i="1" s="1"/>
  <c r="AU80" i="1"/>
  <c r="DP80" i="1" s="1"/>
  <c r="AV80" i="1"/>
  <c r="DQ80" i="1" s="1"/>
  <c r="AY80" i="1"/>
  <c r="DT80" i="1" s="1"/>
  <c r="AS80" i="1"/>
  <c r="AW80" i="1"/>
  <c r="DR80" i="1" s="1"/>
  <c r="DN80" i="1" l="1"/>
  <c r="BB80" i="1"/>
  <c r="ET80" i="1"/>
  <c r="EU80" i="1"/>
  <c r="EX80" i="1"/>
  <c r="EW80" i="1"/>
  <c r="EV80" i="1"/>
  <c r="FJ80" i="1" l="1"/>
  <c r="FW80" i="1" s="1"/>
  <c r="BO80" i="1" s="1"/>
  <c r="N80" i="1" s="1"/>
  <c r="EZ80" i="1"/>
  <c r="FD80" i="1"/>
  <c r="FH80" i="1"/>
  <c r="FA80" i="1"/>
  <c r="FE80" i="1"/>
  <c r="FI80" i="1"/>
  <c r="FB80" i="1"/>
  <c r="FF80" i="1"/>
  <c r="FC80" i="1"/>
  <c r="FG80" i="1"/>
  <c r="FL80" i="1" l="1"/>
  <c r="FO80" i="1" s="1"/>
  <c r="BG80" i="1" s="1"/>
  <c r="BT80" i="1" s="1"/>
  <c r="FN80" i="1" l="1"/>
  <c r="BF80" i="1" s="1"/>
  <c r="BS80" i="1" s="1"/>
  <c r="FP80" i="1"/>
  <c r="BH80" i="1" s="1"/>
  <c r="BU80" i="1" s="1"/>
  <c r="FU80" i="1"/>
  <c r="BM80" i="1" s="1"/>
  <c r="BZ80" i="1" s="1"/>
  <c r="FV80" i="1"/>
  <c r="BN80" i="1" s="1"/>
  <c r="CA80" i="1" s="1"/>
  <c r="FR80" i="1"/>
  <c r="BJ80" i="1" s="1"/>
  <c r="BW80" i="1" s="1"/>
  <c r="FT80" i="1"/>
  <c r="BL80" i="1" s="1"/>
  <c r="BY80" i="1" s="1"/>
  <c r="FS80" i="1"/>
  <c r="BK80" i="1" s="1"/>
  <c r="BX80" i="1" s="1"/>
  <c r="FM80" i="1"/>
  <c r="BE80" i="1" s="1"/>
  <c r="BR80" i="1" s="1"/>
  <c r="FQ80" i="1"/>
  <c r="BI80" i="1" s="1"/>
  <c r="BV80" i="1" s="1"/>
  <c r="BQ80" i="1" l="1"/>
  <c r="CF80" i="1" s="1"/>
  <c r="CD80" i="1" l="1"/>
  <c r="CG80" i="1"/>
  <c r="CH80" i="1"/>
  <c r="CK80" i="1"/>
  <c r="CM80" i="1"/>
  <c r="DW80" i="1" s="1"/>
  <c r="DY80" i="1" s="1"/>
  <c r="E80" i="1" s="1"/>
  <c r="CE80" i="1"/>
  <c r="CL80" i="1"/>
  <c r="CI80" i="1"/>
  <c r="CJ80" i="1"/>
  <c r="AH80" i="1" l="1"/>
  <c r="AL80" i="1"/>
  <c r="AI80" i="1"/>
  <c r="AM80" i="1"/>
  <c r="AF80" i="1"/>
  <c r="AJ80" i="1"/>
  <c r="AN80" i="1"/>
  <c r="AG80" i="1"/>
  <c r="AK80" i="1"/>
  <c r="M80" i="1"/>
  <c r="AE80" i="1" l="1"/>
  <c r="G80" i="1" s="1"/>
  <c r="AO80" i="1"/>
  <c r="AP80" i="1" l="1"/>
  <c r="H80" i="1" s="1"/>
  <c r="K80" i="1" s="1"/>
  <c r="F80" i="1"/>
  <c r="L80" i="1" l="1"/>
  <c r="B81" i="1"/>
  <c r="C81" i="1"/>
  <c r="I81" i="1"/>
  <c r="D81" i="1"/>
  <c r="O80" i="1"/>
  <c r="P80" i="1" l="1"/>
  <c r="S81" i="1"/>
  <c r="W81" i="1"/>
  <c r="AA81" i="1"/>
  <c r="J81" i="1"/>
  <c r="T81" i="1"/>
  <c r="X81" i="1"/>
  <c r="U81" i="1"/>
  <c r="Y81" i="1"/>
  <c r="V81" i="1"/>
  <c r="Z81" i="1"/>
  <c r="CY81" i="1"/>
  <c r="CS81" i="1"/>
  <c r="DE81" i="1" s="1"/>
  <c r="CW81" i="1"/>
  <c r="DI81" i="1" s="1"/>
  <c r="CP81" i="1"/>
  <c r="CT81" i="1"/>
  <c r="DF81" i="1" s="1"/>
  <c r="CX81" i="1"/>
  <c r="DJ81" i="1" s="1"/>
  <c r="CQ81" i="1"/>
  <c r="DC81" i="1" s="1"/>
  <c r="CU81" i="1"/>
  <c r="DG81" i="1" s="1"/>
  <c r="CR81" i="1"/>
  <c r="DD81" i="1" s="1"/>
  <c r="CV81" i="1"/>
  <c r="DH81" i="1" s="1"/>
  <c r="DK81" i="1" l="1"/>
  <c r="EJ81" i="1"/>
  <c r="CO81" i="1"/>
  <c r="DB81" i="1"/>
  <c r="EK81" i="1"/>
  <c r="EF81" i="1"/>
  <c r="EL81" i="1"/>
  <c r="EG81" i="1"/>
  <c r="EI81" i="1"/>
  <c r="EH81" i="1"/>
  <c r="EE81" i="1"/>
  <c r="ED81" i="1"/>
  <c r="AB81" i="1"/>
  <c r="AC81" i="1" s="1"/>
  <c r="AU81" i="1" s="1"/>
  <c r="DP81" i="1" s="1"/>
  <c r="R81" i="1"/>
  <c r="EP81" i="1" l="1"/>
  <c r="EO81" i="1"/>
  <c r="ER81" i="1"/>
  <c r="EN81" i="1"/>
  <c r="EQ81" i="1"/>
  <c r="AW81" i="1"/>
  <c r="DR81" i="1" s="1"/>
  <c r="AV81" i="1"/>
  <c r="DQ81" i="1" s="1"/>
  <c r="AS81" i="1"/>
  <c r="AZ81" i="1"/>
  <c r="DU81" i="1" s="1"/>
  <c r="AT81" i="1"/>
  <c r="DO81" i="1" s="1"/>
  <c r="AX81" i="1"/>
  <c r="DS81" i="1" s="1"/>
  <c r="BA81" i="1"/>
  <c r="DV81" i="1" s="1"/>
  <c r="AY81" i="1"/>
  <c r="DT81" i="1" s="1"/>
  <c r="DN81" i="1" l="1"/>
  <c r="BB81" i="1"/>
  <c r="EX81" i="1"/>
  <c r="EV81" i="1"/>
  <c r="EU81" i="1"/>
  <c r="EW81" i="1"/>
  <c r="ET81" i="1"/>
  <c r="FA81" i="1" l="1"/>
  <c r="FE81" i="1"/>
  <c r="FI81" i="1"/>
  <c r="FB81" i="1"/>
  <c r="FF81" i="1"/>
  <c r="FC81" i="1"/>
  <c r="FG81" i="1"/>
  <c r="FJ81" i="1"/>
  <c r="FW81" i="1" s="1"/>
  <c r="BO81" i="1" s="1"/>
  <c r="N81" i="1" s="1"/>
  <c r="EZ81" i="1"/>
  <c r="FD81" i="1"/>
  <c r="FH81" i="1"/>
  <c r="FL81" i="1" l="1"/>
  <c r="FO81" i="1" s="1"/>
  <c r="BG81" i="1" s="1"/>
  <c r="BT81" i="1" s="1"/>
  <c r="FV81" i="1" l="1"/>
  <c r="BN81" i="1" s="1"/>
  <c r="CA81" i="1" s="1"/>
  <c r="FR81" i="1"/>
  <c r="BJ81" i="1" s="1"/>
  <c r="BW81" i="1" s="1"/>
  <c r="FP81" i="1"/>
  <c r="BH81" i="1" s="1"/>
  <c r="BU81" i="1" s="1"/>
  <c r="FT81" i="1"/>
  <c r="BL81" i="1" s="1"/>
  <c r="BY81" i="1" s="1"/>
  <c r="FU81" i="1"/>
  <c r="BM81" i="1" s="1"/>
  <c r="BZ81" i="1" s="1"/>
  <c r="FN81" i="1"/>
  <c r="BF81" i="1" s="1"/>
  <c r="BS81" i="1" s="1"/>
  <c r="FS81" i="1"/>
  <c r="BK81" i="1" s="1"/>
  <c r="BX81" i="1" s="1"/>
  <c r="FM81" i="1"/>
  <c r="BE81" i="1" s="1"/>
  <c r="BR81" i="1" s="1"/>
  <c r="FQ81" i="1"/>
  <c r="BI81" i="1" s="1"/>
  <c r="BV81" i="1" s="1"/>
  <c r="BQ81" i="1" l="1"/>
  <c r="CF81" i="1" s="1"/>
  <c r="CE81" i="1" l="1"/>
  <c r="CI81" i="1"/>
  <c r="CH81" i="1"/>
  <c r="CK81" i="1"/>
  <c r="CM81" i="1"/>
  <c r="DW81" i="1" s="1"/>
  <c r="DY81" i="1" s="1"/>
  <c r="E81" i="1" s="1"/>
  <c r="CG81" i="1"/>
  <c r="CD81" i="1"/>
  <c r="CL81" i="1"/>
  <c r="CJ81" i="1"/>
  <c r="AI81" i="1" l="1"/>
  <c r="AM81" i="1"/>
  <c r="AF81" i="1"/>
  <c r="AJ81" i="1"/>
  <c r="AN81" i="1"/>
  <c r="AG81" i="1"/>
  <c r="AK81" i="1"/>
  <c r="AH81" i="1"/>
  <c r="AL81" i="1"/>
  <c r="M81" i="1"/>
  <c r="AE81" i="1" l="1"/>
  <c r="G81" i="1" s="1"/>
  <c r="AO81" i="1"/>
  <c r="F81" i="1" l="1"/>
  <c r="AP81" i="1"/>
  <c r="H81" i="1" s="1"/>
  <c r="K81" i="1" s="1"/>
  <c r="L81" i="1" l="1"/>
  <c r="B82" i="1"/>
  <c r="C82" i="1"/>
  <c r="I82" i="1"/>
  <c r="D82" i="1"/>
  <c r="O81" i="1"/>
  <c r="P81" i="1" l="1"/>
  <c r="T82" i="1"/>
  <c r="X82" i="1"/>
  <c r="U82" i="1"/>
  <c r="Y82" i="1"/>
  <c r="V82" i="1"/>
  <c r="Z82" i="1"/>
  <c r="S82" i="1"/>
  <c r="W82" i="1"/>
  <c r="AA82" i="1"/>
  <c r="J82" i="1"/>
  <c r="CP82" i="1"/>
  <c r="CS82" i="1"/>
  <c r="DE82" i="1" s="1"/>
  <c r="CW82" i="1"/>
  <c r="DI82" i="1" s="1"/>
  <c r="CT82" i="1"/>
  <c r="DF82" i="1" s="1"/>
  <c r="CX82" i="1"/>
  <c r="DJ82" i="1" s="1"/>
  <c r="CQ82" i="1"/>
  <c r="DC82" i="1" s="1"/>
  <c r="CU82" i="1"/>
  <c r="DG82" i="1" s="1"/>
  <c r="CY82" i="1"/>
  <c r="DK82" i="1" s="1"/>
  <c r="CR82" i="1"/>
  <c r="DD82" i="1" s="1"/>
  <c r="CV82" i="1"/>
  <c r="DH82" i="1" s="1"/>
  <c r="DB82" i="1" l="1"/>
  <c r="CO82" i="1"/>
  <c r="AB82" i="1"/>
  <c r="AC82" i="1" s="1"/>
  <c r="AU82" i="1" s="1"/>
  <c r="DP82" i="1" s="1"/>
  <c r="ED82" i="1"/>
  <c r="R82" i="1"/>
  <c r="EJ82" i="1"/>
  <c r="EK82" i="1"/>
  <c r="EF82" i="1"/>
  <c r="EL82" i="1"/>
  <c r="EG82" i="1"/>
  <c r="EI82" i="1"/>
  <c r="EH82" i="1"/>
  <c r="EE82" i="1"/>
  <c r="AT82" i="1" l="1"/>
  <c r="DO82" i="1" s="1"/>
  <c r="AX82" i="1"/>
  <c r="DS82" i="1" s="1"/>
  <c r="BA82" i="1"/>
  <c r="DV82" i="1" s="1"/>
  <c r="AZ82" i="1"/>
  <c r="DU82" i="1" s="1"/>
  <c r="AS82" i="1"/>
  <c r="AV82" i="1"/>
  <c r="DQ82" i="1" s="1"/>
  <c r="AY82" i="1"/>
  <c r="DT82" i="1" s="1"/>
  <c r="AW82" i="1"/>
  <c r="DR82" i="1" s="1"/>
  <c r="EN82" i="1"/>
  <c r="EQ82" i="1"/>
  <c r="ER82" i="1"/>
  <c r="EO82" i="1"/>
  <c r="EP82" i="1"/>
  <c r="EV82" i="1" l="1"/>
  <c r="EX82" i="1"/>
  <c r="EW82" i="1"/>
  <c r="EU82" i="1"/>
  <c r="ET82" i="1"/>
  <c r="BB82" i="1"/>
  <c r="DN82" i="1"/>
  <c r="FB82" i="1" l="1"/>
  <c r="FF82" i="1"/>
  <c r="FC82" i="1"/>
  <c r="FG82" i="1"/>
  <c r="FJ82" i="1"/>
  <c r="FW82" i="1" s="1"/>
  <c r="BO82" i="1" s="1"/>
  <c r="N82" i="1" s="1"/>
  <c r="EZ82" i="1"/>
  <c r="FD82" i="1"/>
  <c r="FH82" i="1"/>
  <c r="FA82" i="1"/>
  <c r="FE82" i="1"/>
  <c r="FI82" i="1"/>
  <c r="FL82" i="1" l="1"/>
  <c r="FR82" i="1" s="1"/>
  <c r="BJ82" i="1" s="1"/>
  <c r="BW82" i="1" s="1"/>
  <c r="FS82" i="1" l="1"/>
  <c r="BK82" i="1" s="1"/>
  <c r="BX82" i="1" s="1"/>
  <c r="FT82" i="1"/>
  <c r="BL82" i="1" s="1"/>
  <c r="BY82" i="1" s="1"/>
  <c r="FP82" i="1"/>
  <c r="BH82" i="1" s="1"/>
  <c r="BU82" i="1" s="1"/>
  <c r="FU82" i="1"/>
  <c r="BM82" i="1" s="1"/>
  <c r="BZ82" i="1" s="1"/>
  <c r="FM82" i="1"/>
  <c r="BE82" i="1" s="1"/>
  <c r="BR82" i="1" s="1"/>
  <c r="FQ82" i="1"/>
  <c r="BI82" i="1" s="1"/>
  <c r="BV82" i="1" s="1"/>
  <c r="FN82" i="1"/>
  <c r="BF82" i="1" s="1"/>
  <c r="BS82" i="1" s="1"/>
  <c r="FV82" i="1"/>
  <c r="BN82" i="1" s="1"/>
  <c r="CA82" i="1" s="1"/>
  <c r="FO82" i="1"/>
  <c r="BG82" i="1" s="1"/>
  <c r="BT82" i="1" s="1"/>
  <c r="BQ82" i="1" l="1"/>
  <c r="CK82" i="1" s="1"/>
  <c r="CM82" i="1" l="1"/>
  <c r="DW82" i="1" s="1"/>
  <c r="DY82" i="1" s="1"/>
  <c r="E82" i="1" s="1"/>
  <c r="AN82" i="1" s="1"/>
  <c r="CH82" i="1"/>
  <c r="CF82" i="1"/>
  <c r="CE82" i="1"/>
  <c r="CI82" i="1"/>
  <c r="CJ82" i="1"/>
  <c r="CL82" i="1"/>
  <c r="CD82" i="1"/>
  <c r="CG82" i="1"/>
  <c r="M82" i="1" l="1"/>
  <c r="AJ82" i="1"/>
  <c r="AM82" i="1"/>
  <c r="AK82" i="1"/>
  <c r="AF82" i="1"/>
  <c r="AI82" i="1"/>
  <c r="AH82" i="1"/>
  <c r="AG82" i="1"/>
  <c r="AL82" i="1"/>
  <c r="AE82" i="1" l="1"/>
  <c r="G82" i="1" s="1"/>
  <c r="AO82" i="1"/>
  <c r="F82" i="1" s="1"/>
  <c r="AP82" i="1" l="1"/>
  <c r="H82" i="1" s="1"/>
  <c r="K82" i="1" s="1"/>
  <c r="C83" i="1" s="1"/>
  <c r="O82" i="1" l="1"/>
  <c r="D83" i="1"/>
  <c r="Y83" i="1" s="1"/>
  <c r="B83" i="1"/>
  <c r="I83" i="1"/>
  <c r="L82" i="1"/>
  <c r="CP83" i="1" l="1"/>
  <c r="DB83" i="1" s="1"/>
  <c r="P82" i="1"/>
  <c r="CR83" i="1"/>
  <c r="DD83" i="1" s="1"/>
  <c r="CU83" i="1"/>
  <c r="DG83" i="1" s="1"/>
  <c r="CX83" i="1"/>
  <c r="DJ83" i="1" s="1"/>
  <c r="CT83" i="1"/>
  <c r="DF83" i="1" s="1"/>
  <c r="CV83" i="1"/>
  <c r="DH83" i="1" s="1"/>
  <c r="CY83" i="1"/>
  <c r="CS83" i="1"/>
  <c r="DE83" i="1" s="1"/>
  <c r="U83" i="1"/>
  <c r="EF83" i="1" s="1"/>
  <c r="CQ83" i="1"/>
  <c r="DC83" i="1" s="1"/>
  <c r="CW83" i="1"/>
  <c r="DI83" i="1" s="1"/>
  <c r="T83" i="1"/>
  <c r="EE83" i="1" s="1"/>
  <c r="J83" i="1"/>
  <c r="AA83" i="1"/>
  <c r="EL83" i="1" s="1"/>
  <c r="X83" i="1"/>
  <c r="EI83" i="1" s="1"/>
  <c r="W83" i="1"/>
  <c r="EH83" i="1" s="1"/>
  <c r="S83" i="1"/>
  <c r="ED83" i="1" s="1"/>
  <c r="Z83" i="1"/>
  <c r="EK83" i="1" s="1"/>
  <c r="V83" i="1"/>
  <c r="EG83" i="1" s="1"/>
  <c r="EJ83" i="1"/>
  <c r="DK83" i="1" l="1"/>
  <c r="CO83" i="1"/>
  <c r="R83" i="1"/>
  <c r="AB83" i="1"/>
  <c r="AC83" i="1" s="1"/>
  <c r="AZ83" i="1" s="1"/>
  <c r="DU83" i="1" s="1"/>
  <c r="ER83" i="1"/>
  <c r="EP83" i="1"/>
  <c r="EN83" i="1"/>
  <c r="EQ83" i="1"/>
  <c r="EO83" i="1"/>
  <c r="AX83" i="1" l="1"/>
  <c r="DS83" i="1" s="1"/>
  <c r="AY83" i="1"/>
  <c r="DT83" i="1" s="1"/>
  <c r="AS83" i="1"/>
  <c r="DN83" i="1" s="1"/>
  <c r="AU83" i="1"/>
  <c r="DP83" i="1" s="1"/>
  <c r="BA83" i="1"/>
  <c r="DV83" i="1" s="1"/>
  <c r="AV83" i="1"/>
  <c r="DQ83" i="1" s="1"/>
  <c r="AW83" i="1"/>
  <c r="DR83" i="1" s="1"/>
  <c r="AT83" i="1"/>
  <c r="DO83" i="1" s="1"/>
  <c r="EV83" i="1"/>
  <c r="EX83" i="1"/>
  <c r="EU83" i="1"/>
  <c r="EW83" i="1"/>
  <c r="ET83" i="1"/>
  <c r="BB83" i="1" l="1"/>
  <c r="FJ83" i="1"/>
  <c r="FW83" i="1" s="1"/>
  <c r="BO83" i="1" s="1"/>
  <c r="N83" i="1" s="1"/>
  <c r="EZ83" i="1"/>
  <c r="FC83" i="1"/>
  <c r="FG83" i="1"/>
  <c r="FD83" i="1"/>
  <c r="FH83" i="1"/>
  <c r="FA83" i="1"/>
  <c r="FE83" i="1"/>
  <c r="FI83" i="1"/>
  <c r="FB83" i="1"/>
  <c r="FF83" i="1"/>
  <c r="FL83" i="1" l="1"/>
  <c r="FO83" i="1" s="1"/>
  <c r="BG83" i="1" s="1"/>
  <c r="BT83" i="1" s="1"/>
  <c r="FT83" i="1" l="1"/>
  <c r="BL83" i="1" s="1"/>
  <c r="BY83" i="1" s="1"/>
  <c r="FM83" i="1"/>
  <c r="BE83" i="1" s="1"/>
  <c r="BR83" i="1" s="1"/>
  <c r="FP83" i="1"/>
  <c r="BH83" i="1" s="1"/>
  <c r="BU83" i="1" s="1"/>
  <c r="FR83" i="1"/>
  <c r="BJ83" i="1" s="1"/>
  <c r="BW83" i="1" s="1"/>
  <c r="FN83" i="1"/>
  <c r="BF83" i="1" s="1"/>
  <c r="BS83" i="1" s="1"/>
  <c r="FQ83" i="1"/>
  <c r="BI83" i="1" s="1"/>
  <c r="BV83" i="1" s="1"/>
  <c r="FU83" i="1"/>
  <c r="BM83" i="1" s="1"/>
  <c r="BZ83" i="1" s="1"/>
  <c r="FS83" i="1"/>
  <c r="BK83" i="1" s="1"/>
  <c r="BX83" i="1" s="1"/>
  <c r="FV83" i="1"/>
  <c r="BN83" i="1" s="1"/>
  <c r="CA83" i="1" s="1"/>
  <c r="BQ83" i="1" l="1"/>
  <c r="CF83" i="1" s="1"/>
  <c r="CK83" i="1" l="1"/>
  <c r="CM83" i="1"/>
  <c r="DW83" i="1" s="1"/>
  <c r="DY83" i="1" s="1"/>
  <c r="E83" i="1" s="1"/>
  <c r="CI83" i="1"/>
  <c r="CL83" i="1"/>
  <c r="CD83" i="1"/>
  <c r="CE83" i="1"/>
  <c r="CJ83" i="1"/>
  <c r="CH83" i="1"/>
  <c r="CG83" i="1"/>
  <c r="AG83" i="1" l="1"/>
  <c r="AK83" i="1"/>
  <c r="AH83" i="1"/>
  <c r="AL83" i="1"/>
  <c r="AI83" i="1"/>
  <c r="AM83" i="1"/>
  <c r="AF83" i="1"/>
  <c r="AJ83" i="1"/>
  <c r="AN83" i="1"/>
  <c r="M83" i="1"/>
  <c r="AO83" i="1" l="1"/>
  <c r="AE83" i="1"/>
  <c r="G83" i="1" s="1"/>
  <c r="AP83" i="1" l="1"/>
  <c r="H83" i="1" s="1"/>
  <c r="K83" i="1" s="1"/>
  <c r="F83" i="1"/>
  <c r="D84" i="1" l="1"/>
  <c r="O83" i="1"/>
  <c r="L83" i="1"/>
  <c r="P83" i="1" s="1"/>
  <c r="B84" i="1"/>
  <c r="C84" i="1"/>
  <c r="I84" i="1"/>
  <c r="CQ84" i="1" l="1"/>
  <c r="DC84" i="1" s="1"/>
  <c r="CU84" i="1"/>
  <c r="DG84" i="1" s="1"/>
  <c r="CY84" i="1"/>
  <c r="DK84" i="1" s="1"/>
  <c r="CR84" i="1"/>
  <c r="DD84" i="1" s="1"/>
  <c r="CV84" i="1"/>
  <c r="DH84" i="1" s="1"/>
  <c r="CP84" i="1"/>
  <c r="CS84" i="1"/>
  <c r="DE84" i="1" s="1"/>
  <c r="CW84" i="1"/>
  <c r="DI84" i="1" s="1"/>
  <c r="CT84" i="1"/>
  <c r="DF84" i="1" s="1"/>
  <c r="CX84" i="1"/>
  <c r="DJ84" i="1" s="1"/>
  <c r="V84" i="1"/>
  <c r="Z84" i="1"/>
  <c r="S84" i="1"/>
  <c r="W84" i="1"/>
  <c r="AA84" i="1"/>
  <c r="J84" i="1"/>
  <c r="T84" i="1"/>
  <c r="X84" i="1"/>
  <c r="U84" i="1"/>
  <c r="Y84" i="1"/>
  <c r="EI84" i="1" l="1"/>
  <c r="EH84" i="1"/>
  <c r="ED84" i="1"/>
  <c r="AB84" i="1"/>
  <c r="AC84" i="1" s="1"/>
  <c r="AX84" i="1" s="1"/>
  <c r="DS84" i="1" s="1"/>
  <c r="R84" i="1"/>
  <c r="EJ84" i="1"/>
  <c r="EK84" i="1"/>
  <c r="EL84" i="1"/>
  <c r="EG84" i="1"/>
  <c r="CO84" i="1"/>
  <c r="DB84" i="1"/>
  <c r="EF84" i="1"/>
  <c r="EE84" i="1"/>
  <c r="AZ84" i="1" l="1"/>
  <c r="DU84" i="1" s="1"/>
  <c r="AW84" i="1"/>
  <c r="DR84" i="1" s="1"/>
  <c r="AV84" i="1"/>
  <c r="DQ84" i="1" s="1"/>
  <c r="AU84" i="1"/>
  <c r="DP84" i="1" s="1"/>
  <c r="AT84" i="1"/>
  <c r="DO84" i="1" s="1"/>
  <c r="EP84" i="1"/>
  <c r="EQ84" i="1"/>
  <c r="EN84" i="1"/>
  <c r="EO84" i="1"/>
  <c r="ER84" i="1"/>
  <c r="BA84" i="1"/>
  <c r="DV84" i="1" s="1"/>
  <c r="AY84" i="1"/>
  <c r="DT84" i="1" s="1"/>
  <c r="AS84" i="1"/>
  <c r="EX84" i="1" l="1"/>
  <c r="EU84" i="1"/>
  <c r="EV84" i="1"/>
  <c r="EW84" i="1"/>
  <c r="ET84" i="1"/>
  <c r="DN84" i="1"/>
  <c r="BB84" i="1"/>
  <c r="FJ84" i="1" l="1"/>
  <c r="FW84" i="1" s="1"/>
  <c r="BO84" i="1" s="1"/>
  <c r="N84" i="1" s="1"/>
  <c r="EZ84" i="1"/>
  <c r="FD84" i="1"/>
  <c r="FH84" i="1"/>
  <c r="FA84" i="1"/>
  <c r="FE84" i="1"/>
  <c r="FI84" i="1"/>
  <c r="FB84" i="1"/>
  <c r="FF84" i="1"/>
  <c r="FC84" i="1"/>
  <c r="FG84" i="1"/>
  <c r="FL84" i="1" l="1"/>
  <c r="FP84" i="1" s="1"/>
  <c r="BH84" i="1" s="1"/>
  <c r="BU84" i="1" s="1"/>
  <c r="FQ84" i="1" l="1"/>
  <c r="BI84" i="1" s="1"/>
  <c r="BV84" i="1" s="1"/>
  <c r="FU84" i="1"/>
  <c r="BM84" i="1" s="1"/>
  <c r="BZ84" i="1" s="1"/>
  <c r="FO84" i="1"/>
  <c r="BG84" i="1" s="1"/>
  <c r="BT84" i="1" s="1"/>
  <c r="FM84" i="1"/>
  <c r="BE84" i="1" s="1"/>
  <c r="BR84" i="1" s="1"/>
  <c r="FV84" i="1"/>
  <c r="BN84" i="1" s="1"/>
  <c r="CA84" i="1" s="1"/>
  <c r="FN84" i="1"/>
  <c r="BF84" i="1" s="1"/>
  <c r="BS84" i="1" s="1"/>
  <c r="FR84" i="1"/>
  <c r="BJ84" i="1" s="1"/>
  <c r="BW84" i="1" s="1"/>
  <c r="FT84" i="1"/>
  <c r="BL84" i="1" s="1"/>
  <c r="BY84" i="1" s="1"/>
  <c r="FS84" i="1"/>
  <c r="BK84" i="1" s="1"/>
  <c r="BX84" i="1" s="1"/>
  <c r="BQ84" i="1" l="1"/>
  <c r="CM84" i="1" s="1"/>
  <c r="DW84" i="1" s="1"/>
  <c r="DY84" i="1" s="1"/>
  <c r="E84" i="1" s="1"/>
  <c r="AH84" i="1" l="1"/>
  <c r="AL84" i="1"/>
  <c r="AI84" i="1"/>
  <c r="AM84" i="1"/>
  <c r="AF84" i="1"/>
  <c r="AJ84" i="1"/>
  <c r="AN84" i="1"/>
  <c r="AG84" i="1"/>
  <c r="AK84" i="1"/>
  <c r="M84" i="1"/>
  <c r="CG84" i="1"/>
  <c r="CH84" i="1"/>
  <c r="CF84" i="1"/>
  <c r="CD84" i="1"/>
  <c r="CL84" i="1"/>
  <c r="CK84" i="1"/>
  <c r="CI84" i="1"/>
  <c r="CJ84" i="1"/>
  <c r="CE84" i="1"/>
  <c r="AE84" i="1" l="1"/>
  <c r="G84" i="1" s="1"/>
  <c r="AO84" i="1"/>
  <c r="AP84" i="1" l="1"/>
  <c r="H84" i="1" s="1"/>
  <c r="K84" i="1" s="1"/>
  <c r="F84" i="1"/>
  <c r="L84" i="1" l="1"/>
  <c r="B85" i="1"/>
  <c r="C85" i="1"/>
  <c r="I85" i="1"/>
  <c r="D85" i="1"/>
  <c r="O84" i="1"/>
  <c r="P84" i="1" l="1"/>
  <c r="S85" i="1"/>
  <c r="W85" i="1"/>
  <c r="AA85" i="1"/>
  <c r="J85" i="1"/>
  <c r="T85" i="1"/>
  <c r="X85" i="1"/>
  <c r="U85" i="1"/>
  <c r="Y85" i="1"/>
  <c r="V85" i="1"/>
  <c r="Z85" i="1"/>
  <c r="CY85" i="1"/>
  <c r="CR85" i="1"/>
  <c r="DD85" i="1" s="1"/>
  <c r="CV85" i="1"/>
  <c r="DH85" i="1" s="1"/>
  <c r="CS85" i="1"/>
  <c r="DE85" i="1" s="1"/>
  <c r="CW85" i="1"/>
  <c r="DI85" i="1" s="1"/>
  <c r="CP85" i="1"/>
  <c r="CT85" i="1"/>
  <c r="DF85" i="1" s="1"/>
  <c r="CX85" i="1"/>
  <c r="DJ85" i="1" s="1"/>
  <c r="CQ85" i="1"/>
  <c r="DC85" i="1" s="1"/>
  <c r="CU85" i="1"/>
  <c r="DG85" i="1" s="1"/>
  <c r="DK85" i="1" l="1"/>
  <c r="EJ85" i="1"/>
  <c r="EK85" i="1"/>
  <c r="EF85" i="1"/>
  <c r="EL85" i="1"/>
  <c r="EG85" i="1"/>
  <c r="EI85" i="1"/>
  <c r="EH85" i="1"/>
  <c r="DB85" i="1"/>
  <c r="CO85" i="1"/>
  <c r="EE85" i="1"/>
  <c r="R85" i="1"/>
  <c r="AB85" i="1"/>
  <c r="AC85" i="1" s="1"/>
  <c r="AV85" i="1" s="1"/>
  <c r="DQ85" i="1" s="1"/>
  <c r="ED85" i="1"/>
  <c r="AX85" i="1" l="1"/>
  <c r="DS85" i="1" s="1"/>
  <c r="BA85" i="1"/>
  <c r="DV85" i="1" s="1"/>
  <c r="AZ85" i="1"/>
  <c r="DU85" i="1" s="1"/>
  <c r="AU85" i="1"/>
  <c r="DP85" i="1" s="1"/>
  <c r="AY85" i="1"/>
  <c r="DT85" i="1" s="1"/>
  <c r="AS85" i="1"/>
  <c r="AW85" i="1"/>
  <c r="DR85" i="1" s="1"/>
  <c r="EO85" i="1"/>
  <c r="ER85" i="1"/>
  <c r="EP85" i="1"/>
  <c r="EN85" i="1"/>
  <c r="EQ85" i="1"/>
  <c r="AT85" i="1"/>
  <c r="DO85" i="1" s="1"/>
  <c r="EX85" i="1" l="1"/>
  <c r="EV85" i="1"/>
  <c r="EU85" i="1"/>
  <c r="EW85" i="1"/>
  <c r="ET85" i="1"/>
  <c r="DN85" i="1"/>
  <c r="BB85" i="1"/>
  <c r="FA85" i="1" l="1"/>
  <c r="FE85" i="1"/>
  <c r="FI85" i="1"/>
  <c r="FB85" i="1"/>
  <c r="FF85" i="1"/>
  <c r="FC85" i="1"/>
  <c r="FG85" i="1"/>
  <c r="FJ85" i="1"/>
  <c r="FW85" i="1" s="1"/>
  <c r="BO85" i="1" s="1"/>
  <c r="N85" i="1" s="1"/>
  <c r="EZ85" i="1"/>
  <c r="FD85" i="1"/>
  <c r="FH85" i="1"/>
  <c r="FL85" i="1" l="1"/>
  <c r="FQ85" i="1" s="1"/>
  <c r="BI85" i="1" s="1"/>
  <c r="BV85" i="1" s="1"/>
  <c r="FS85" i="1" l="1"/>
  <c r="BK85" i="1" s="1"/>
  <c r="BX85" i="1" s="1"/>
  <c r="FV85" i="1"/>
  <c r="BN85" i="1" s="1"/>
  <c r="CA85" i="1" s="1"/>
  <c r="FO85" i="1"/>
  <c r="BG85" i="1" s="1"/>
  <c r="BT85" i="1" s="1"/>
  <c r="FM85" i="1"/>
  <c r="BE85" i="1" s="1"/>
  <c r="BR85" i="1" s="1"/>
  <c r="FR85" i="1"/>
  <c r="BJ85" i="1" s="1"/>
  <c r="BW85" i="1" s="1"/>
  <c r="FT85" i="1"/>
  <c r="BL85" i="1" s="1"/>
  <c r="BY85" i="1" s="1"/>
  <c r="FP85" i="1"/>
  <c r="BH85" i="1" s="1"/>
  <c r="BU85" i="1" s="1"/>
  <c r="FU85" i="1"/>
  <c r="BM85" i="1" s="1"/>
  <c r="BZ85" i="1" s="1"/>
  <c r="FN85" i="1"/>
  <c r="BF85" i="1" s="1"/>
  <c r="BS85" i="1" s="1"/>
  <c r="BQ85" i="1" l="1"/>
  <c r="CH85" i="1" s="1"/>
  <c r="CL85" i="1" l="1"/>
  <c r="CK85" i="1"/>
  <c r="CE85" i="1"/>
  <c r="CM85" i="1"/>
  <c r="DW85" i="1" s="1"/>
  <c r="DY85" i="1" s="1"/>
  <c r="E85" i="1" s="1"/>
  <c r="CD85" i="1"/>
  <c r="CJ85" i="1"/>
  <c r="CF85" i="1"/>
  <c r="CI85" i="1"/>
  <c r="CG85" i="1"/>
  <c r="AI85" i="1" l="1"/>
  <c r="AM85" i="1"/>
  <c r="AF85" i="1"/>
  <c r="AJ85" i="1"/>
  <c r="AN85" i="1"/>
  <c r="AG85" i="1"/>
  <c r="AK85" i="1"/>
  <c r="AH85" i="1"/>
  <c r="AL85" i="1"/>
  <c r="M85" i="1"/>
  <c r="AE85" i="1" l="1"/>
  <c r="G85" i="1" s="1"/>
  <c r="AO85" i="1"/>
  <c r="F85" i="1" l="1"/>
  <c r="AP85" i="1"/>
  <c r="H85" i="1" s="1"/>
  <c r="K85" i="1" s="1"/>
  <c r="L85" i="1" l="1"/>
  <c r="B86" i="1"/>
  <c r="C86" i="1"/>
  <c r="I86" i="1"/>
  <c r="D86" i="1"/>
  <c r="O85" i="1"/>
  <c r="P85" i="1" l="1"/>
  <c r="T86" i="1"/>
  <c r="X86" i="1"/>
  <c r="U86" i="1"/>
  <c r="Y86" i="1"/>
  <c r="V86" i="1"/>
  <c r="Z86" i="1"/>
  <c r="S86" i="1"/>
  <c r="W86" i="1"/>
  <c r="AA86" i="1"/>
  <c r="J86" i="1"/>
  <c r="CQ86" i="1"/>
  <c r="DC86" i="1" s="1"/>
  <c r="CU86" i="1"/>
  <c r="DG86" i="1" s="1"/>
  <c r="CR86" i="1"/>
  <c r="DD86" i="1" s="1"/>
  <c r="CV86" i="1"/>
  <c r="DH86" i="1" s="1"/>
  <c r="CP86" i="1"/>
  <c r="CS86" i="1"/>
  <c r="DE86" i="1" s="1"/>
  <c r="CW86" i="1"/>
  <c r="DI86" i="1" s="1"/>
  <c r="CY86" i="1"/>
  <c r="DK86" i="1" s="1"/>
  <c r="CT86" i="1"/>
  <c r="DF86" i="1" s="1"/>
  <c r="CX86" i="1"/>
  <c r="DJ86" i="1" s="1"/>
  <c r="CO86" i="1" l="1"/>
  <c r="DB86" i="1"/>
  <c r="AB86" i="1"/>
  <c r="AC86" i="1" s="1"/>
  <c r="AS86" i="1" s="1"/>
  <c r="ED86" i="1"/>
  <c r="R86" i="1"/>
  <c r="EJ86" i="1"/>
  <c r="EK86" i="1"/>
  <c r="EF86" i="1"/>
  <c r="EL86" i="1"/>
  <c r="EG86" i="1"/>
  <c r="EI86" i="1"/>
  <c r="EH86" i="1"/>
  <c r="EE86" i="1"/>
  <c r="DN86" i="1" l="1"/>
  <c r="AV86" i="1"/>
  <c r="DQ86" i="1" s="1"/>
  <c r="AT86" i="1"/>
  <c r="DO86" i="1" s="1"/>
  <c r="AX86" i="1"/>
  <c r="DS86" i="1" s="1"/>
  <c r="AZ86" i="1"/>
  <c r="DU86" i="1" s="1"/>
  <c r="EN86" i="1"/>
  <c r="EP86" i="1"/>
  <c r="ER86" i="1"/>
  <c r="EO86" i="1"/>
  <c r="EQ86" i="1"/>
  <c r="AU86" i="1"/>
  <c r="DP86" i="1" s="1"/>
  <c r="BA86" i="1"/>
  <c r="DV86" i="1" s="1"/>
  <c r="AW86" i="1"/>
  <c r="DR86" i="1" s="1"/>
  <c r="AY86" i="1"/>
  <c r="DT86" i="1" s="1"/>
  <c r="EX86" i="1" l="1"/>
  <c r="EU86" i="1"/>
  <c r="ET86" i="1"/>
  <c r="EV86" i="1"/>
  <c r="EW86" i="1"/>
  <c r="BB86" i="1"/>
  <c r="FB86" i="1" l="1"/>
  <c r="FF86" i="1"/>
  <c r="FC86" i="1"/>
  <c r="FG86" i="1"/>
  <c r="FJ86" i="1"/>
  <c r="FW86" i="1" s="1"/>
  <c r="BO86" i="1" s="1"/>
  <c r="N86" i="1" s="1"/>
  <c r="EZ86" i="1"/>
  <c r="FD86" i="1"/>
  <c r="FH86" i="1"/>
  <c r="FA86" i="1"/>
  <c r="FE86" i="1"/>
  <c r="FI86" i="1"/>
  <c r="FL86" i="1" l="1"/>
  <c r="FU86" i="1" s="1"/>
  <c r="BM86" i="1" s="1"/>
  <c r="BZ86" i="1" s="1"/>
  <c r="FQ86" i="1" l="1"/>
  <c r="BI86" i="1" s="1"/>
  <c r="BV86" i="1" s="1"/>
  <c r="FN86" i="1"/>
  <c r="BF86" i="1" s="1"/>
  <c r="BS86" i="1" s="1"/>
  <c r="FT86" i="1"/>
  <c r="BL86" i="1" s="1"/>
  <c r="BY86" i="1" s="1"/>
  <c r="FM86" i="1"/>
  <c r="BE86" i="1" s="1"/>
  <c r="BR86" i="1" s="1"/>
  <c r="FO86" i="1"/>
  <c r="BG86" i="1" s="1"/>
  <c r="BT86" i="1" s="1"/>
  <c r="FV86" i="1"/>
  <c r="BN86" i="1" s="1"/>
  <c r="CA86" i="1" s="1"/>
  <c r="FR86" i="1"/>
  <c r="BJ86" i="1" s="1"/>
  <c r="BW86" i="1" s="1"/>
  <c r="FS86" i="1"/>
  <c r="BK86" i="1" s="1"/>
  <c r="BX86" i="1" s="1"/>
  <c r="FP86" i="1"/>
  <c r="BH86" i="1" s="1"/>
  <c r="BU86" i="1" s="1"/>
  <c r="BQ86" i="1" l="1"/>
  <c r="CL86" i="1" s="1"/>
  <c r="CJ86" i="1" l="1"/>
  <c r="CF86" i="1"/>
  <c r="CG86" i="1"/>
  <c r="CM86" i="1"/>
  <c r="DW86" i="1" s="1"/>
  <c r="DY86" i="1" s="1"/>
  <c r="E86" i="1" s="1"/>
  <c r="CE86" i="1"/>
  <c r="CI86" i="1"/>
  <c r="CD86" i="1"/>
  <c r="CH86" i="1"/>
  <c r="CK86" i="1"/>
  <c r="AF86" i="1" l="1"/>
  <c r="AJ86" i="1"/>
  <c r="AN86" i="1"/>
  <c r="AG86" i="1"/>
  <c r="AK86" i="1"/>
  <c r="AH86" i="1"/>
  <c r="AL86" i="1"/>
  <c r="AI86" i="1"/>
  <c r="AM86" i="1"/>
  <c r="M86" i="1"/>
  <c r="AE86" i="1" l="1"/>
  <c r="G86" i="1" s="1"/>
  <c r="AO86" i="1"/>
  <c r="F86" i="1" l="1"/>
  <c r="AP86" i="1"/>
  <c r="H86" i="1" s="1"/>
  <c r="K86" i="1" s="1"/>
  <c r="C87" i="1" l="1"/>
  <c r="I87" i="1"/>
  <c r="D87" i="1"/>
  <c r="O86" i="1"/>
  <c r="L86" i="1"/>
  <c r="B87" i="1"/>
  <c r="P86" i="1" l="1"/>
  <c r="U87" i="1"/>
  <c r="Y87" i="1"/>
  <c r="V87" i="1"/>
  <c r="Z87" i="1"/>
  <c r="S87" i="1"/>
  <c r="W87" i="1"/>
  <c r="AA87" i="1"/>
  <c r="J87" i="1"/>
  <c r="T87" i="1"/>
  <c r="X87" i="1"/>
  <c r="CQ87" i="1"/>
  <c r="DC87" i="1" s="1"/>
  <c r="CU87" i="1"/>
  <c r="DG87" i="1" s="1"/>
  <c r="CR87" i="1"/>
  <c r="DD87" i="1" s="1"/>
  <c r="CV87" i="1"/>
  <c r="DH87" i="1" s="1"/>
  <c r="CY87" i="1"/>
  <c r="DK87" i="1" s="1"/>
  <c r="CP87" i="1"/>
  <c r="CS87" i="1"/>
  <c r="DE87" i="1" s="1"/>
  <c r="CW87" i="1"/>
  <c r="DI87" i="1" s="1"/>
  <c r="CT87" i="1"/>
  <c r="DF87" i="1" s="1"/>
  <c r="CX87" i="1"/>
  <c r="DJ87" i="1" s="1"/>
  <c r="EL87" i="1" l="1"/>
  <c r="EG87" i="1"/>
  <c r="EI87" i="1"/>
  <c r="EH87" i="1"/>
  <c r="EE87" i="1"/>
  <c r="R87" i="1"/>
  <c r="ED87" i="1"/>
  <c r="AB87" i="1"/>
  <c r="AC87" i="1" s="1"/>
  <c r="AV87" i="1" s="1"/>
  <c r="DQ87" i="1" s="1"/>
  <c r="EJ87" i="1"/>
  <c r="CO87" i="1"/>
  <c r="DB87" i="1"/>
  <c r="EK87" i="1"/>
  <c r="EF87" i="1"/>
  <c r="AY87" i="1" l="1"/>
  <c r="DT87" i="1" s="1"/>
  <c r="AS87" i="1"/>
  <c r="AW87" i="1"/>
  <c r="DR87" i="1" s="1"/>
  <c r="AZ87" i="1"/>
  <c r="DU87" i="1" s="1"/>
  <c r="AT87" i="1"/>
  <c r="DO87" i="1" s="1"/>
  <c r="AX87" i="1"/>
  <c r="DS87" i="1" s="1"/>
  <c r="AU87" i="1"/>
  <c r="DP87" i="1" s="1"/>
  <c r="EQ87" i="1"/>
  <c r="EO87" i="1"/>
  <c r="ER87" i="1"/>
  <c r="EN87" i="1"/>
  <c r="EP87" i="1"/>
  <c r="BA87" i="1"/>
  <c r="DV87" i="1" s="1"/>
  <c r="EX87" i="1" l="1"/>
  <c r="EW87" i="1"/>
  <c r="ET87" i="1"/>
  <c r="EV87" i="1"/>
  <c r="EU87" i="1"/>
  <c r="DN87" i="1"/>
  <c r="BB87" i="1"/>
  <c r="FC87" i="1" l="1"/>
  <c r="FG87" i="1"/>
  <c r="FJ87" i="1"/>
  <c r="FW87" i="1" s="1"/>
  <c r="BO87" i="1" s="1"/>
  <c r="N87" i="1" s="1"/>
  <c r="EZ87" i="1"/>
  <c r="FD87" i="1"/>
  <c r="FH87" i="1"/>
  <c r="FA87" i="1"/>
  <c r="FE87" i="1"/>
  <c r="FI87" i="1"/>
  <c r="FB87" i="1"/>
  <c r="FF87" i="1"/>
  <c r="FL87" i="1" l="1"/>
  <c r="FR87" i="1" s="1"/>
  <c r="BJ87" i="1" s="1"/>
  <c r="BW87" i="1" s="1"/>
  <c r="FT87" i="1" l="1"/>
  <c r="BL87" i="1" s="1"/>
  <c r="BY87" i="1" s="1"/>
  <c r="FN87" i="1"/>
  <c r="BF87" i="1" s="1"/>
  <c r="BS87" i="1" s="1"/>
  <c r="FP87" i="1"/>
  <c r="BH87" i="1" s="1"/>
  <c r="BU87" i="1" s="1"/>
  <c r="FU87" i="1"/>
  <c r="BM87" i="1" s="1"/>
  <c r="BZ87" i="1" s="1"/>
  <c r="FM87" i="1"/>
  <c r="BE87" i="1" s="1"/>
  <c r="BR87" i="1" s="1"/>
  <c r="FQ87" i="1"/>
  <c r="BI87" i="1" s="1"/>
  <c r="BV87" i="1" s="1"/>
  <c r="FO87" i="1"/>
  <c r="BG87" i="1" s="1"/>
  <c r="BT87" i="1" s="1"/>
  <c r="FV87" i="1"/>
  <c r="BN87" i="1" s="1"/>
  <c r="CA87" i="1" s="1"/>
  <c r="FS87" i="1"/>
  <c r="BK87" i="1" s="1"/>
  <c r="BX87" i="1" s="1"/>
  <c r="BQ87" i="1" l="1"/>
  <c r="CI87" i="1" s="1"/>
  <c r="CH87" i="1" l="1"/>
  <c r="CJ87" i="1"/>
  <c r="CK87" i="1"/>
  <c r="CE87" i="1"/>
  <c r="CL87" i="1"/>
  <c r="CG87" i="1"/>
  <c r="CM87" i="1"/>
  <c r="DW87" i="1" s="1"/>
  <c r="DY87" i="1" s="1"/>
  <c r="E87" i="1" s="1"/>
  <c r="CD87" i="1"/>
  <c r="CF87" i="1"/>
  <c r="AG87" i="1" l="1"/>
  <c r="AK87" i="1"/>
  <c r="AH87" i="1"/>
  <c r="AL87" i="1"/>
  <c r="AI87" i="1"/>
  <c r="AM87" i="1"/>
  <c r="AF87" i="1"/>
  <c r="AJ87" i="1"/>
  <c r="AN87" i="1"/>
  <c r="M87" i="1"/>
  <c r="AO87" i="1" l="1"/>
  <c r="AE87" i="1"/>
  <c r="G87" i="1" s="1"/>
  <c r="AP87" i="1" l="1"/>
  <c r="H87" i="1" s="1"/>
  <c r="K87" i="1" s="1"/>
  <c r="F87" i="1"/>
  <c r="D88" i="1" l="1"/>
  <c r="O87" i="1"/>
  <c r="L87" i="1"/>
  <c r="P87" i="1" s="1"/>
  <c r="B88" i="1"/>
  <c r="C88" i="1"/>
  <c r="I88" i="1"/>
  <c r="CT88" i="1" l="1"/>
  <c r="DF88" i="1" s="1"/>
  <c r="CX88" i="1"/>
  <c r="DJ88" i="1" s="1"/>
  <c r="CY88" i="1"/>
  <c r="DK88" i="1" s="1"/>
  <c r="CQ88" i="1"/>
  <c r="DC88" i="1" s="1"/>
  <c r="CU88" i="1"/>
  <c r="DG88" i="1" s="1"/>
  <c r="CR88" i="1"/>
  <c r="DD88" i="1" s="1"/>
  <c r="CV88" i="1"/>
  <c r="DH88" i="1" s="1"/>
  <c r="CP88" i="1"/>
  <c r="CS88" i="1"/>
  <c r="DE88" i="1" s="1"/>
  <c r="CW88" i="1"/>
  <c r="DI88" i="1" s="1"/>
  <c r="V88" i="1"/>
  <c r="Z88" i="1"/>
  <c r="S88" i="1"/>
  <c r="W88" i="1"/>
  <c r="AA88" i="1"/>
  <c r="J88" i="1"/>
  <c r="T88" i="1"/>
  <c r="X88" i="1"/>
  <c r="U88" i="1"/>
  <c r="Y88" i="1"/>
  <c r="EL88" i="1" l="1"/>
  <c r="EI88" i="1"/>
  <c r="EE88" i="1"/>
  <c r="R88" i="1"/>
  <c r="AB88" i="1"/>
  <c r="AC88" i="1" s="1"/>
  <c r="BA88" i="1" s="1"/>
  <c r="DV88" i="1" s="1"/>
  <c r="ED88" i="1"/>
  <c r="EJ88" i="1"/>
  <c r="EK88" i="1"/>
  <c r="DB88" i="1"/>
  <c r="CO88" i="1"/>
  <c r="EG88" i="1"/>
  <c r="EF88" i="1"/>
  <c r="EH88" i="1"/>
  <c r="AZ88" i="1" l="1"/>
  <c r="DU88" i="1" s="1"/>
  <c r="AY88" i="1"/>
  <c r="DT88" i="1" s="1"/>
  <c r="AS88" i="1"/>
  <c r="AX88" i="1"/>
  <c r="DS88" i="1" s="1"/>
  <c r="AW88" i="1"/>
  <c r="DR88" i="1" s="1"/>
  <c r="AU88" i="1"/>
  <c r="DP88" i="1" s="1"/>
  <c r="AV88" i="1"/>
  <c r="DQ88" i="1" s="1"/>
  <c r="EN88" i="1"/>
  <c r="ER88" i="1"/>
  <c r="EQ88" i="1"/>
  <c r="EO88" i="1"/>
  <c r="EP88" i="1"/>
  <c r="AT88" i="1"/>
  <c r="DO88" i="1" s="1"/>
  <c r="EX88" i="1" l="1"/>
  <c r="EU88" i="1"/>
  <c r="ET88" i="1"/>
  <c r="EV88" i="1"/>
  <c r="EW88" i="1"/>
  <c r="DN88" i="1"/>
  <c r="BB88" i="1"/>
  <c r="FJ88" i="1" l="1"/>
  <c r="FW88" i="1" s="1"/>
  <c r="BO88" i="1" s="1"/>
  <c r="N88" i="1" s="1"/>
  <c r="EZ88" i="1"/>
  <c r="FD88" i="1"/>
  <c r="FH88" i="1"/>
  <c r="FA88" i="1"/>
  <c r="FE88" i="1"/>
  <c r="FI88" i="1"/>
  <c r="FB88" i="1"/>
  <c r="FF88" i="1"/>
  <c r="FC88" i="1"/>
  <c r="FG88" i="1"/>
  <c r="FL88" i="1" l="1"/>
  <c r="FO88" i="1" s="1"/>
  <c r="BG88" i="1" s="1"/>
  <c r="BT88" i="1" s="1"/>
  <c r="FV88" i="1" l="1"/>
  <c r="BN88" i="1" s="1"/>
  <c r="CA88" i="1" s="1"/>
  <c r="FU88" i="1"/>
  <c r="BM88" i="1" s="1"/>
  <c r="BZ88" i="1" s="1"/>
  <c r="FQ88" i="1"/>
  <c r="BI88" i="1" s="1"/>
  <c r="BV88" i="1" s="1"/>
  <c r="FN88" i="1"/>
  <c r="BF88" i="1" s="1"/>
  <c r="BS88" i="1" s="1"/>
  <c r="FR88" i="1"/>
  <c r="BJ88" i="1" s="1"/>
  <c r="BW88" i="1" s="1"/>
  <c r="FS88" i="1"/>
  <c r="BK88" i="1" s="1"/>
  <c r="BX88" i="1" s="1"/>
  <c r="FP88" i="1"/>
  <c r="BH88" i="1" s="1"/>
  <c r="BU88" i="1" s="1"/>
  <c r="FM88" i="1"/>
  <c r="BE88" i="1" s="1"/>
  <c r="BR88" i="1" s="1"/>
  <c r="FT88" i="1"/>
  <c r="BL88" i="1" s="1"/>
  <c r="BY88" i="1" s="1"/>
  <c r="BQ88" i="1" l="1"/>
  <c r="CF88" i="1" s="1"/>
  <c r="CJ88" i="1" l="1"/>
  <c r="CL88" i="1"/>
  <c r="CK88" i="1"/>
  <c r="CE88" i="1"/>
  <c r="CM88" i="1"/>
  <c r="DW88" i="1" s="1"/>
  <c r="DY88" i="1" s="1"/>
  <c r="E88" i="1" s="1"/>
  <c r="CH88" i="1"/>
  <c r="CD88" i="1"/>
  <c r="CI88" i="1"/>
  <c r="CG88" i="1"/>
  <c r="AH88" i="1" l="1"/>
  <c r="AL88" i="1"/>
  <c r="AI88" i="1"/>
  <c r="AM88" i="1"/>
  <c r="AF88" i="1"/>
  <c r="AJ88" i="1"/>
  <c r="AN88" i="1"/>
  <c r="AG88" i="1"/>
  <c r="AK88" i="1"/>
  <c r="M88" i="1"/>
  <c r="AE88" i="1" l="1"/>
  <c r="G88" i="1" s="1"/>
  <c r="AO88" i="1"/>
  <c r="AP88" i="1" l="1"/>
  <c r="H88" i="1" s="1"/>
  <c r="K88" i="1" s="1"/>
  <c r="F88" i="1"/>
  <c r="L88" i="1" l="1"/>
  <c r="B89" i="1"/>
  <c r="C89" i="1"/>
  <c r="I89" i="1"/>
  <c r="D89" i="1"/>
  <c r="O88" i="1"/>
  <c r="P88" i="1" l="1"/>
  <c r="S89" i="1"/>
  <c r="W89" i="1"/>
  <c r="AA89" i="1"/>
  <c r="J89" i="1"/>
  <c r="T89" i="1"/>
  <c r="X89" i="1"/>
  <c r="U89" i="1"/>
  <c r="Y89" i="1"/>
  <c r="V89" i="1"/>
  <c r="Z89" i="1"/>
  <c r="CY89" i="1"/>
  <c r="CS89" i="1"/>
  <c r="DE89" i="1" s="1"/>
  <c r="CW89" i="1"/>
  <c r="DI89" i="1" s="1"/>
  <c r="CP89" i="1"/>
  <c r="CT89" i="1"/>
  <c r="DF89" i="1" s="1"/>
  <c r="CX89" i="1"/>
  <c r="DJ89" i="1" s="1"/>
  <c r="CQ89" i="1"/>
  <c r="DC89" i="1" s="1"/>
  <c r="CU89" i="1"/>
  <c r="DG89" i="1" s="1"/>
  <c r="CR89" i="1"/>
  <c r="DD89" i="1" s="1"/>
  <c r="CV89" i="1"/>
  <c r="DH89" i="1" s="1"/>
  <c r="DK89" i="1" l="1"/>
  <c r="EJ89" i="1"/>
  <c r="CO89" i="1"/>
  <c r="DB89" i="1"/>
  <c r="EK89" i="1"/>
  <c r="EF89" i="1"/>
  <c r="EL89" i="1"/>
  <c r="EG89" i="1"/>
  <c r="EI89" i="1"/>
  <c r="EH89" i="1"/>
  <c r="EE89" i="1"/>
  <c r="R89" i="1"/>
  <c r="AB89" i="1"/>
  <c r="AC89" i="1" s="1"/>
  <c r="AU89" i="1" s="1"/>
  <c r="DP89" i="1" s="1"/>
  <c r="ED89" i="1"/>
  <c r="AS89" i="1" l="1"/>
  <c r="AZ89" i="1"/>
  <c r="DU89" i="1" s="1"/>
  <c r="AV89" i="1"/>
  <c r="DQ89" i="1" s="1"/>
  <c r="BA89" i="1"/>
  <c r="DV89" i="1" s="1"/>
  <c r="EO89" i="1"/>
  <c r="EQ89" i="1"/>
  <c r="EN89" i="1"/>
  <c r="EP89" i="1"/>
  <c r="ER89" i="1"/>
  <c r="AT89" i="1"/>
  <c r="DO89" i="1" s="1"/>
  <c r="AX89" i="1"/>
  <c r="DS89" i="1" s="1"/>
  <c r="AY89" i="1"/>
  <c r="DT89" i="1" s="1"/>
  <c r="AW89" i="1"/>
  <c r="DR89" i="1" s="1"/>
  <c r="ET89" i="1" l="1"/>
  <c r="EX89" i="1"/>
  <c r="EV89" i="1"/>
  <c r="EU89" i="1"/>
  <c r="EW89" i="1"/>
  <c r="DN89" i="1"/>
  <c r="BB89" i="1"/>
  <c r="FA89" i="1" l="1"/>
  <c r="FE89" i="1"/>
  <c r="FI89" i="1"/>
  <c r="FB89" i="1"/>
  <c r="FF89" i="1"/>
  <c r="FC89" i="1"/>
  <c r="FG89" i="1"/>
  <c r="FJ89" i="1"/>
  <c r="FW89" i="1" s="1"/>
  <c r="BO89" i="1" s="1"/>
  <c r="N89" i="1" s="1"/>
  <c r="EZ89" i="1"/>
  <c r="FD89" i="1"/>
  <c r="FH89" i="1"/>
  <c r="FL89" i="1" l="1"/>
  <c r="FQ89" i="1" s="1"/>
  <c r="BI89" i="1" s="1"/>
  <c r="BV89" i="1" s="1"/>
  <c r="FO89" i="1" l="1"/>
  <c r="BG89" i="1" s="1"/>
  <c r="BT89" i="1" s="1"/>
  <c r="FN89" i="1"/>
  <c r="BF89" i="1" s="1"/>
  <c r="BS89" i="1" s="1"/>
  <c r="FP89" i="1"/>
  <c r="BH89" i="1" s="1"/>
  <c r="BU89" i="1" s="1"/>
  <c r="FV89" i="1"/>
  <c r="BN89" i="1" s="1"/>
  <c r="CA89" i="1" s="1"/>
  <c r="FR89" i="1"/>
  <c r="BJ89" i="1" s="1"/>
  <c r="BW89" i="1" s="1"/>
  <c r="FT89" i="1"/>
  <c r="BL89" i="1" s="1"/>
  <c r="BY89" i="1" s="1"/>
  <c r="FS89" i="1"/>
  <c r="BK89" i="1" s="1"/>
  <c r="BX89" i="1" s="1"/>
  <c r="FU89" i="1"/>
  <c r="BM89" i="1" s="1"/>
  <c r="BZ89" i="1" s="1"/>
  <c r="FM89" i="1"/>
  <c r="BE89" i="1" s="1"/>
  <c r="BR89" i="1" s="1"/>
  <c r="BQ89" i="1" l="1"/>
  <c r="CH89" i="1" s="1"/>
  <c r="CD89" i="1" l="1"/>
  <c r="CI89" i="1"/>
  <c r="CE89" i="1"/>
  <c r="CM89" i="1"/>
  <c r="DW89" i="1" s="1"/>
  <c r="DY89" i="1" s="1"/>
  <c r="E89" i="1" s="1"/>
  <c r="AM89" i="1" s="1"/>
  <c r="CL89" i="1"/>
  <c r="CF89" i="1"/>
  <c r="CK89" i="1"/>
  <c r="CG89" i="1"/>
  <c r="CJ89" i="1"/>
  <c r="AL89" i="1" l="1"/>
  <c r="AI89" i="1"/>
  <c r="AJ89" i="1"/>
  <c r="AH89" i="1"/>
  <c r="AK89" i="1"/>
  <c r="AF89" i="1"/>
  <c r="AN89" i="1"/>
  <c r="M89" i="1"/>
  <c r="AG89" i="1"/>
  <c r="AE89" i="1" l="1"/>
  <c r="G89" i="1" s="1"/>
  <c r="AO89" i="1"/>
  <c r="F89" i="1" s="1"/>
  <c r="AP89" i="1" l="1"/>
  <c r="H89" i="1" s="1"/>
  <c r="K89" i="1" s="1"/>
  <c r="L89" i="1" s="1"/>
  <c r="I90" i="1" l="1"/>
  <c r="C90" i="1"/>
  <c r="D90" i="1"/>
  <c r="U90" i="1" s="1"/>
  <c r="O89" i="1"/>
  <c r="P89" i="1" s="1"/>
  <c r="B90" i="1"/>
  <c r="CY90" i="1" l="1"/>
  <c r="DK90" i="1" s="1"/>
  <c r="CU90" i="1"/>
  <c r="DG90" i="1" s="1"/>
  <c r="Z90" i="1"/>
  <c r="EK90" i="1" s="1"/>
  <c r="CT90" i="1"/>
  <c r="DF90" i="1" s="1"/>
  <c r="X90" i="1"/>
  <c r="EI90" i="1" s="1"/>
  <c r="CS90" i="1"/>
  <c r="DE90" i="1" s="1"/>
  <c r="J90" i="1"/>
  <c r="CV90" i="1"/>
  <c r="DH90" i="1" s="1"/>
  <c r="CR90" i="1"/>
  <c r="DD90" i="1" s="1"/>
  <c r="CP90" i="1"/>
  <c r="DB90" i="1" s="1"/>
  <c r="AA90" i="1"/>
  <c r="EL90" i="1" s="1"/>
  <c r="V90" i="1"/>
  <c r="EG90" i="1" s="1"/>
  <c r="T90" i="1"/>
  <c r="EE90" i="1" s="1"/>
  <c r="CQ90" i="1"/>
  <c r="DC90" i="1" s="1"/>
  <c r="CW90" i="1"/>
  <c r="DI90" i="1" s="1"/>
  <c r="W90" i="1"/>
  <c r="EH90" i="1" s="1"/>
  <c r="Y90" i="1"/>
  <c r="EJ90" i="1" s="1"/>
  <c r="CX90" i="1"/>
  <c r="DJ90" i="1" s="1"/>
  <c r="S90" i="1"/>
  <c r="EF90" i="1"/>
  <c r="AB90" i="1" l="1"/>
  <c r="AC90" i="1" s="1"/>
  <c r="AS90" i="1" s="1"/>
  <c r="DN90" i="1" s="1"/>
  <c r="ED90" i="1"/>
  <c r="EQ90" i="1" s="1"/>
  <c r="R90" i="1"/>
  <c r="CO90" i="1"/>
  <c r="EN90" i="1" l="1"/>
  <c r="EO90" i="1"/>
  <c r="ER90" i="1"/>
  <c r="EP90" i="1"/>
  <c r="AU90" i="1"/>
  <c r="DP90" i="1" s="1"/>
  <c r="AW90" i="1"/>
  <c r="DR90" i="1" s="1"/>
  <c r="AY90" i="1"/>
  <c r="DT90" i="1" s="1"/>
  <c r="AT90" i="1"/>
  <c r="DO90" i="1" s="1"/>
  <c r="BA90" i="1"/>
  <c r="DV90" i="1" s="1"/>
  <c r="AX90" i="1"/>
  <c r="DS90" i="1" s="1"/>
  <c r="AV90" i="1"/>
  <c r="DQ90" i="1" s="1"/>
  <c r="AZ90" i="1"/>
  <c r="DU90" i="1" s="1"/>
  <c r="EU90" i="1" l="1"/>
  <c r="EV90" i="1"/>
  <c r="EW90" i="1"/>
  <c r="ET90" i="1"/>
  <c r="EX90" i="1"/>
  <c r="BB90" i="1"/>
  <c r="FG90" i="1" l="1"/>
  <c r="FA90" i="1"/>
  <c r="FI90" i="1"/>
  <c r="FE90" i="1"/>
  <c r="FH90" i="1"/>
  <c r="EZ90" i="1"/>
  <c r="FC90" i="1"/>
  <c r="FD90" i="1"/>
  <c r="FJ90" i="1"/>
  <c r="FW90" i="1" s="1"/>
  <c r="BO90" i="1" s="1"/>
  <c r="N90" i="1" s="1"/>
  <c r="FF90" i="1"/>
  <c r="FB90" i="1"/>
  <c r="FL90" i="1" l="1"/>
  <c r="FU90" i="1" s="1"/>
  <c r="BM90" i="1" s="1"/>
  <c r="BZ90" i="1" s="1"/>
  <c r="FP90" i="1" l="1"/>
  <c r="BH90" i="1" s="1"/>
  <c r="BU90" i="1" s="1"/>
  <c r="FS90" i="1"/>
  <c r="BK90" i="1" s="1"/>
  <c r="BX90" i="1" s="1"/>
  <c r="FR90" i="1"/>
  <c r="BJ90" i="1" s="1"/>
  <c r="BW90" i="1" s="1"/>
  <c r="FV90" i="1"/>
  <c r="BN90" i="1" s="1"/>
  <c r="CA90" i="1" s="1"/>
  <c r="FT90" i="1"/>
  <c r="BL90" i="1" s="1"/>
  <c r="BY90" i="1" s="1"/>
  <c r="FN90" i="1"/>
  <c r="BF90" i="1" s="1"/>
  <c r="BS90" i="1" s="1"/>
  <c r="FO90" i="1"/>
  <c r="BG90" i="1" s="1"/>
  <c r="BT90" i="1" s="1"/>
  <c r="FQ90" i="1"/>
  <c r="BI90" i="1" s="1"/>
  <c r="BV90" i="1" s="1"/>
  <c r="FM90" i="1"/>
  <c r="BE90" i="1" s="1"/>
  <c r="BR90" i="1" s="1"/>
  <c r="BQ90" i="1" l="1"/>
  <c r="CL90" i="1" s="1"/>
  <c r="CD90" i="1" l="1"/>
  <c r="CE90" i="1"/>
  <c r="CJ90" i="1"/>
  <c r="CF90" i="1"/>
  <c r="CH90" i="1"/>
  <c r="CG90" i="1"/>
  <c r="CK90" i="1"/>
  <c r="CM90" i="1"/>
  <c r="DW90" i="1" s="1"/>
  <c r="DY90" i="1" s="1"/>
  <c r="E90" i="1" s="1"/>
  <c r="AG90" i="1" s="1"/>
  <c r="CI90" i="1"/>
  <c r="AH90" i="1" l="1"/>
  <c r="AL90" i="1"/>
  <c r="AN90" i="1"/>
  <c r="AF90" i="1"/>
  <c r="M90" i="1"/>
  <c r="AJ90" i="1"/>
  <c r="AM90" i="1"/>
  <c r="AK90" i="1"/>
  <c r="AI90" i="1"/>
  <c r="AE90" i="1" l="1"/>
  <c r="G90" i="1" s="1"/>
  <c r="AO90" i="1"/>
  <c r="F90" i="1" s="1"/>
  <c r="AP90" i="1" l="1"/>
  <c r="H90" i="1" s="1"/>
  <c r="K90" i="1" s="1"/>
  <c r="C91" i="1" s="1"/>
  <c r="L90" i="1" l="1"/>
  <c r="D91" i="1"/>
  <c r="U91" i="1" s="1"/>
  <c r="O90" i="1"/>
  <c r="B91" i="1"/>
  <c r="I91" i="1"/>
  <c r="CP91" i="1" l="1"/>
  <c r="S91" i="1"/>
  <c r="CX91" i="1"/>
  <c r="DJ91" i="1" s="1"/>
  <c r="CT91" i="1"/>
  <c r="DF91" i="1" s="1"/>
  <c r="CW91" i="1"/>
  <c r="DI91" i="1" s="1"/>
  <c r="CS91" i="1"/>
  <c r="DE91" i="1" s="1"/>
  <c r="CY91" i="1"/>
  <c r="CV91" i="1"/>
  <c r="DH91" i="1" s="1"/>
  <c r="CR91" i="1"/>
  <c r="DD91" i="1" s="1"/>
  <c r="CU91" i="1"/>
  <c r="DG91" i="1" s="1"/>
  <c r="CQ91" i="1"/>
  <c r="DC91" i="1" s="1"/>
  <c r="X91" i="1"/>
  <c r="EI91" i="1" s="1"/>
  <c r="T91" i="1"/>
  <c r="EE91" i="1" s="1"/>
  <c r="P90" i="1"/>
  <c r="J91" i="1"/>
  <c r="AA91" i="1"/>
  <c r="EL91" i="1" s="1"/>
  <c r="W91" i="1"/>
  <c r="EH91" i="1" s="1"/>
  <c r="Z91" i="1"/>
  <c r="EK91" i="1" s="1"/>
  <c r="V91" i="1"/>
  <c r="EG91" i="1" s="1"/>
  <c r="Y91" i="1"/>
  <c r="DB91" i="1"/>
  <c r="ED91" i="1"/>
  <c r="EF91" i="1"/>
  <c r="DK91" i="1" l="1"/>
  <c r="CO91" i="1"/>
  <c r="R91" i="1"/>
  <c r="AB91" i="1"/>
  <c r="AC91" i="1" s="1"/>
  <c r="AV91" i="1" s="1"/>
  <c r="DQ91" i="1" s="1"/>
  <c r="EJ91" i="1"/>
  <c r="ER91" i="1" s="1"/>
  <c r="EQ91" i="1" l="1"/>
  <c r="EP91" i="1"/>
  <c r="EO91" i="1"/>
  <c r="EN91" i="1"/>
  <c r="BA91" i="1"/>
  <c r="DV91" i="1" s="1"/>
  <c r="AT91" i="1"/>
  <c r="DO91" i="1" s="1"/>
  <c r="AW91" i="1"/>
  <c r="DR91" i="1" s="1"/>
  <c r="AY91" i="1"/>
  <c r="DT91" i="1" s="1"/>
  <c r="AZ91" i="1"/>
  <c r="DU91" i="1" s="1"/>
  <c r="AU91" i="1"/>
  <c r="DP91" i="1" s="1"/>
  <c r="AX91" i="1"/>
  <c r="DS91" i="1" s="1"/>
  <c r="AS91" i="1"/>
  <c r="DN91" i="1" s="1"/>
  <c r="EU91" i="1" l="1"/>
  <c r="EW91" i="1"/>
  <c r="EV91" i="1"/>
  <c r="EX91" i="1"/>
  <c r="ET91" i="1"/>
  <c r="BB91" i="1"/>
  <c r="EZ91" i="1" l="1"/>
  <c r="FA91" i="1"/>
  <c r="FF91" i="1"/>
  <c r="FJ91" i="1"/>
  <c r="FW91" i="1" s="1"/>
  <c r="BO91" i="1" s="1"/>
  <c r="N91" i="1" s="1"/>
  <c r="FB91" i="1"/>
  <c r="FH91" i="1"/>
  <c r="FG91" i="1"/>
  <c r="FI91" i="1"/>
  <c r="FD91" i="1"/>
  <c r="FC91" i="1"/>
  <c r="FE91" i="1"/>
  <c r="FL91" i="1" l="1"/>
  <c r="FS91" i="1" s="1"/>
  <c r="BK91" i="1" s="1"/>
  <c r="BX91" i="1" s="1"/>
  <c r="FN91" i="1" l="1"/>
  <c r="BF91" i="1" s="1"/>
  <c r="BS91" i="1" s="1"/>
  <c r="FV91" i="1"/>
  <c r="BN91" i="1" s="1"/>
  <c r="CA91" i="1" s="1"/>
  <c r="FO91" i="1"/>
  <c r="BG91" i="1" s="1"/>
  <c r="BT91" i="1" s="1"/>
  <c r="FQ91" i="1"/>
  <c r="BI91" i="1" s="1"/>
  <c r="BV91" i="1" s="1"/>
  <c r="FU91" i="1"/>
  <c r="BM91" i="1" s="1"/>
  <c r="BZ91" i="1" s="1"/>
  <c r="FP91" i="1"/>
  <c r="BH91" i="1" s="1"/>
  <c r="BU91" i="1" s="1"/>
  <c r="FM91" i="1"/>
  <c r="BE91" i="1" s="1"/>
  <c r="BR91" i="1" s="1"/>
  <c r="FR91" i="1"/>
  <c r="BJ91" i="1" s="1"/>
  <c r="BW91" i="1" s="1"/>
  <c r="FT91" i="1"/>
  <c r="BL91" i="1" s="1"/>
  <c r="BY91" i="1" s="1"/>
  <c r="BQ91" i="1" l="1"/>
  <c r="CJ91" i="1" s="1"/>
  <c r="CF91" i="1" l="1"/>
  <c r="CH91" i="1"/>
  <c r="CM91" i="1"/>
  <c r="DW91" i="1" s="1"/>
  <c r="DY91" i="1" s="1"/>
  <c r="E91" i="1" s="1"/>
  <c r="AH91" i="1" s="1"/>
  <c r="CL91" i="1"/>
  <c r="CG91" i="1"/>
  <c r="CD91" i="1"/>
  <c r="CK91" i="1"/>
  <c r="CI91" i="1"/>
  <c r="CE91" i="1"/>
  <c r="M91" i="1" l="1"/>
  <c r="AM91" i="1"/>
  <c r="AI91" i="1"/>
  <c r="AK91" i="1"/>
  <c r="AL91" i="1"/>
  <c r="AN91" i="1"/>
  <c r="AG91" i="1"/>
  <c r="AJ91" i="1"/>
  <c r="AF91" i="1"/>
  <c r="AO91" i="1" l="1"/>
  <c r="AP91" i="1" s="1"/>
  <c r="H91" i="1" s="1"/>
  <c r="K91" i="1" s="1"/>
  <c r="AE91" i="1"/>
  <c r="G91" i="1" s="1"/>
  <c r="F91" i="1" l="1"/>
  <c r="O91" i="1" s="1"/>
  <c r="D92" i="1"/>
  <c r="L91" i="1"/>
  <c r="I92" i="1"/>
  <c r="B92" i="1"/>
  <c r="C92" i="1"/>
  <c r="P91" i="1" l="1"/>
  <c r="CT92" i="1"/>
  <c r="DF92" i="1" s="1"/>
  <c r="CX92" i="1"/>
  <c r="DJ92" i="1" s="1"/>
  <c r="CY92" i="1"/>
  <c r="DK92" i="1" s="1"/>
  <c r="CQ92" i="1"/>
  <c r="DC92" i="1" s="1"/>
  <c r="CU92" i="1"/>
  <c r="DG92" i="1" s="1"/>
  <c r="CR92" i="1"/>
  <c r="DD92" i="1" s="1"/>
  <c r="CV92" i="1"/>
  <c r="DH92" i="1" s="1"/>
  <c r="CP92" i="1"/>
  <c r="CS92" i="1"/>
  <c r="DE92" i="1" s="1"/>
  <c r="CW92" i="1"/>
  <c r="DI92" i="1" s="1"/>
  <c r="V92" i="1"/>
  <c r="Z92" i="1"/>
  <c r="S92" i="1"/>
  <c r="W92" i="1"/>
  <c r="AA92" i="1"/>
  <c r="J92" i="1"/>
  <c r="T92" i="1"/>
  <c r="X92" i="1"/>
  <c r="U92" i="1"/>
  <c r="Y92" i="1"/>
  <c r="EI92" i="1" l="1"/>
  <c r="EH92" i="1"/>
  <c r="AB92" i="1"/>
  <c r="AC92" i="1" s="1"/>
  <c r="AX92" i="1" s="1"/>
  <c r="DS92" i="1" s="1"/>
  <c r="ED92" i="1"/>
  <c r="R92" i="1"/>
  <c r="EJ92" i="1"/>
  <c r="EK92" i="1"/>
  <c r="DB92" i="1"/>
  <c r="CO92" i="1"/>
  <c r="EL92" i="1"/>
  <c r="EG92" i="1"/>
  <c r="EF92" i="1"/>
  <c r="EE92" i="1"/>
  <c r="AU92" i="1" l="1"/>
  <c r="DP92" i="1" s="1"/>
  <c r="BA92" i="1"/>
  <c r="DV92" i="1" s="1"/>
  <c r="EP92" i="1"/>
  <c r="EO92" i="1"/>
  <c r="EQ92" i="1"/>
  <c r="EN92" i="1"/>
  <c r="ER92" i="1"/>
  <c r="AW92" i="1"/>
  <c r="DR92" i="1" s="1"/>
  <c r="AZ92" i="1"/>
  <c r="DU92" i="1" s="1"/>
  <c r="AT92" i="1"/>
  <c r="DO92" i="1" s="1"/>
  <c r="AV92" i="1"/>
  <c r="DQ92" i="1" s="1"/>
  <c r="AY92" i="1"/>
  <c r="DT92" i="1" s="1"/>
  <c r="AS92" i="1"/>
  <c r="ET92" i="1" l="1"/>
  <c r="EV92" i="1"/>
  <c r="EX92" i="1"/>
  <c r="EU92" i="1"/>
  <c r="EW92" i="1"/>
  <c r="DN92" i="1"/>
  <c r="BB92" i="1"/>
  <c r="FJ92" i="1" l="1"/>
  <c r="FW92" i="1" s="1"/>
  <c r="BO92" i="1" s="1"/>
  <c r="N92" i="1" s="1"/>
  <c r="EZ92" i="1"/>
  <c r="FD92" i="1"/>
  <c r="FH92" i="1"/>
  <c r="FA92" i="1"/>
  <c r="FE92" i="1"/>
  <c r="FI92" i="1"/>
  <c r="FB92" i="1"/>
  <c r="FF92" i="1"/>
  <c r="FC92" i="1"/>
  <c r="FG92" i="1"/>
  <c r="FL92" i="1" l="1"/>
  <c r="FP92" i="1" s="1"/>
  <c r="BH92" i="1" s="1"/>
  <c r="BU92" i="1" s="1"/>
  <c r="FU92" i="1" l="1"/>
  <c r="BM92" i="1" s="1"/>
  <c r="BZ92" i="1" s="1"/>
  <c r="FQ92" i="1"/>
  <c r="BI92" i="1" s="1"/>
  <c r="BV92" i="1" s="1"/>
  <c r="FM92" i="1"/>
  <c r="BE92" i="1" s="1"/>
  <c r="BR92" i="1" s="1"/>
  <c r="FO92" i="1"/>
  <c r="BG92" i="1" s="1"/>
  <c r="BT92" i="1" s="1"/>
  <c r="FV92" i="1"/>
  <c r="BN92" i="1" s="1"/>
  <c r="CA92" i="1" s="1"/>
  <c r="FR92" i="1"/>
  <c r="BJ92" i="1" s="1"/>
  <c r="BW92" i="1" s="1"/>
  <c r="FN92" i="1"/>
  <c r="BF92" i="1" s="1"/>
  <c r="BS92" i="1" s="1"/>
  <c r="FT92" i="1"/>
  <c r="BL92" i="1" s="1"/>
  <c r="BY92" i="1" s="1"/>
  <c r="FS92" i="1"/>
  <c r="BK92" i="1" s="1"/>
  <c r="BX92" i="1" s="1"/>
  <c r="BQ92" i="1" l="1"/>
  <c r="CG92" i="1" s="1"/>
  <c r="CI92" i="1" l="1"/>
  <c r="CH92" i="1"/>
  <c r="CL92" i="1"/>
  <c r="CM92" i="1"/>
  <c r="DW92" i="1" s="1"/>
  <c r="DY92" i="1" s="1"/>
  <c r="E92" i="1" s="1"/>
  <c r="CF92" i="1"/>
  <c r="CD92" i="1"/>
  <c r="CK92" i="1"/>
  <c r="CJ92" i="1"/>
  <c r="CE92" i="1"/>
  <c r="AH92" i="1" l="1"/>
  <c r="AL92" i="1"/>
  <c r="AI92" i="1"/>
  <c r="AM92" i="1"/>
  <c r="AF92" i="1"/>
  <c r="AJ92" i="1"/>
  <c r="AN92" i="1"/>
  <c r="AG92" i="1"/>
  <c r="AK92" i="1"/>
  <c r="M92" i="1"/>
  <c r="AE92" i="1" l="1"/>
  <c r="G92" i="1" s="1"/>
  <c r="AO92" i="1"/>
  <c r="AP92" i="1" l="1"/>
  <c r="H92" i="1" s="1"/>
  <c r="K92" i="1" s="1"/>
  <c r="F92" i="1"/>
  <c r="L92" i="1" l="1"/>
  <c r="I93" i="1"/>
  <c r="B93" i="1"/>
  <c r="C93" i="1"/>
  <c r="D93" i="1"/>
  <c r="O92" i="1"/>
  <c r="P92" i="1" l="1"/>
  <c r="S93" i="1"/>
  <c r="W93" i="1"/>
  <c r="AA93" i="1"/>
  <c r="J93" i="1"/>
  <c r="T93" i="1"/>
  <c r="X93" i="1"/>
  <c r="U93" i="1"/>
  <c r="Y93" i="1"/>
  <c r="V93" i="1"/>
  <c r="Z93" i="1"/>
  <c r="CY93" i="1"/>
  <c r="DK93" i="1" s="1"/>
  <c r="CR93" i="1"/>
  <c r="DD93" i="1" s="1"/>
  <c r="CV93" i="1"/>
  <c r="DH93" i="1" s="1"/>
  <c r="CS93" i="1"/>
  <c r="DE93" i="1" s="1"/>
  <c r="CW93" i="1"/>
  <c r="DI93" i="1" s="1"/>
  <c r="CP93" i="1"/>
  <c r="CT93" i="1"/>
  <c r="DF93" i="1" s="1"/>
  <c r="CX93" i="1"/>
  <c r="DJ93" i="1" s="1"/>
  <c r="CQ93" i="1"/>
  <c r="DC93" i="1" s="1"/>
  <c r="CU93" i="1"/>
  <c r="DG93" i="1" s="1"/>
  <c r="EJ93" i="1" l="1"/>
  <c r="EK93" i="1"/>
  <c r="EF93" i="1"/>
  <c r="EL93" i="1"/>
  <c r="EG93" i="1"/>
  <c r="EI93" i="1"/>
  <c r="EH93" i="1"/>
  <c r="DB93" i="1"/>
  <c r="CO93" i="1"/>
  <c r="EE93" i="1"/>
  <c r="ED93" i="1"/>
  <c r="AB93" i="1"/>
  <c r="AC93" i="1" s="1"/>
  <c r="BA93" i="1" s="1"/>
  <c r="DV93" i="1" s="1"/>
  <c r="R93" i="1"/>
  <c r="EQ93" i="1" l="1"/>
  <c r="EN93" i="1"/>
  <c r="ER93" i="1"/>
  <c r="EP93" i="1"/>
  <c r="EO93" i="1"/>
  <c r="AX93" i="1"/>
  <c r="DS93" i="1" s="1"/>
  <c r="AZ93" i="1"/>
  <c r="DU93" i="1" s="1"/>
  <c r="AS93" i="1"/>
  <c r="AW93" i="1"/>
  <c r="DR93" i="1" s="1"/>
  <c r="AU93" i="1"/>
  <c r="DP93" i="1" s="1"/>
  <c r="AY93" i="1"/>
  <c r="DT93" i="1" s="1"/>
  <c r="AT93" i="1"/>
  <c r="DO93" i="1" s="1"/>
  <c r="AV93" i="1"/>
  <c r="DQ93" i="1" s="1"/>
  <c r="DN93" i="1" l="1"/>
  <c r="BB93" i="1"/>
  <c r="EU93" i="1"/>
  <c r="EW93" i="1"/>
  <c r="EX93" i="1"/>
  <c r="ET93" i="1"/>
  <c r="EV93" i="1"/>
  <c r="FA93" i="1" l="1"/>
  <c r="FE93" i="1"/>
  <c r="FI93" i="1"/>
  <c r="FB93" i="1"/>
  <c r="FF93" i="1"/>
  <c r="FC93" i="1"/>
  <c r="FG93" i="1"/>
  <c r="FJ93" i="1"/>
  <c r="FW93" i="1" s="1"/>
  <c r="BO93" i="1" s="1"/>
  <c r="N93" i="1" s="1"/>
  <c r="EZ93" i="1"/>
  <c r="FD93" i="1"/>
  <c r="FH93" i="1"/>
  <c r="FL93" i="1" l="1"/>
  <c r="FO93" i="1" s="1"/>
  <c r="BG93" i="1" s="1"/>
  <c r="BT93" i="1" s="1"/>
  <c r="FR93" i="1" l="1"/>
  <c r="BJ93" i="1" s="1"/>
  <c r="BW93" i="1" s="1"/>
  <c r="FS93" i="1"/>
  <c r="BK93" i="1" s="1"/>
  <c r="BX93" i="1" s="1"/>
  <c r="FU93" i="1"/>
  <c r="BM93" i="1" s="1"/>
  <c r="BZ93" i="1" s="1"/>
  <c r="FV93" i="1"/>
  <c r="BN93" i="1" s="1"/>
  <c r="CA93" i="1" s="1"/>
  <c r="FN93" i="1"/>
  <c r="BF93" i="1" s="1"/>
  <c r="BS93" i="1" s="1"/>
  <c r="FT93" i="1"/>
  <c r="BL93" i="1" s="1"/>
  <c r="BY93" i="1" s="1"/>
  <c r="FP93" i="1"/>
  <c r="BH93" i="1" s="1"/>
  <c r="BU93" i="1" s="1"/>
  <c r="FM93" i="1"/>
  <c r="BE93" i="1" s="1"/>
  <c r="BR93" i="1" s="1"/>
  <c r="FQ93" i="1"/>
  <c r="BI93" i="1" s="1"/>
  <c r="BV93" i="1" s="1"/>
  <c r="BQ93" i="1" l="1"/>
  <c r="CF93" i="1" s="1"/>
  <c r="CH93" i="1" l="1"/>
  <c r="CJ93" i="1"/>
  <c r="CE93" i="1"/>
  <c r="CK93" i="1"/>
  <c r="CM93" i="1"/>
  <c r="DW93" i="1" s="1"/>
  <c r="DY93" i="1" s="1"/>
  <c r="E93" i="1" s="1"/>
  <c r="CG93" i="1"/>
  <c r="CD93" i="1"/>
  <c r="CI93" i="1"/>
  <c r="CL93" i="1"/>
  <c r="AI93" i="1" l="1"/>
  <c r="AM93" i="1"/>
  <c r="AF93" i="1"/>
  <c r="AJ93" i="1"/>
  <c r="AN93" i="1"/>
  <c r="AG93" i="1"/>
  <c r="AK93" i="1"/>
  <c r="AH93" i="1"/>
  <c r="AL93" i="1"/>
  <c r="M93" i="1"/>
  <c r="AE93" i="1" l="1"/>
  <c r="G93" i="1" s="1"/>
  <c r="AO93" i="1"/>
  <c r="F93" i="1" l="1"/>
  <c r="AP93" i="1"/>
  <c r="H93" i="1" s="1"/>
  <c r="K93" i="1" s="1"/>
  <c r="L93" i="1" l="1"/>
  <c r="B94" i="1"/>
  <c r="C94" i="1"/>
  <c r="I94" i="1"/>
  <c r="D94" i="1"/>
  <c r="O93" i="1"/>
  <c r="P93" i="1" l="1"/>
  <c r="T94" i="1"/>
  <c r="X94" i="1"/>
  <c r="U94" i="1"/>
  <c r="Y94" i="1"/>
  <c r="V94" i="1"/>
  <c r="Z94" i="1"/>
  <c r="S94" i="1"/>
  <c r="W94" i="1"/>
  <c r="AA94" i="1"/>
  <c r="J94" i="1"/>
  <c r="CS94" i="1"/>
  <c r="DE94" i="1" s="1"/>
  <c r="CW94" i="1"/>
  <c r="DI94" i="1" s="1"/>
  <c r="CP94" i="1"/>
  <c r="CT94" i="1"/>
  <c r="DF94" i="1" s="1"/>
  <c r="CX94" i="1"/>
  <c r="DJ94" i="1" s="1"/>
  <c r="CQ94" i="1"/>
  <c r="DC94" i="1" s="1"/>
  <c r="CU94" i="1"/>
  <c r="DG94" i="1" s="1"/>
  <c r="CY94" i="1"/>
  <c r="DK94" i="1" s="1"/>
  <c r="CR94" i="1"/>
  <c r="DD94" i="1" s="1"/>
  <c r="CV94" i="1"/>
  <c r="DH94" i="1" s="1"/>
  <c r="AB94" i="1" l="1"/>
  <c r="AC94" i="1" s="1"/>
  <c r="AW94" i="1" s="1"/>
  <c r="DR94" i="1" s="1"/>
  <c r="R94" i="1"/>
  <c r="ED94" i="1"/>
  <c r="EJ94" i="1"/>
  <c r="EK94" i="1"/>
  <c r="EF94" i="1"/>
  <c r="CO94" i="1"/>
  <c r="DB94" i="1"/>
  <c r="EL94" i="1"/>
  <c r="EG94" i="1"/>
  <c r="EI94" i="1"/>
  <c r="EH94" i="1"/>
  <c r="EE94" i="1"/>
  <c r="AZ94" i="1" l="1"/>
  <c r="DU94" i="1" s="1"/>
  <c r="BA94" i="1"/>
  <c r="DV94" i="1" s="1"/>
  <c r="AS94" i="1"/>
  <c r="AV94" i="1"/>
  <c r="DQ94" i="1" s="1"/>
  <c r="AT94" i="1"/>
  <c r="DO94" i="1" s="1"/>
  <c r="AX94" i="1"/>
  <c r="DS94" i="1" s="1"/>
  <c r="AU94" i="1"/>
  <c r="DP94" i="1" s="1"/>
  <c r="AY94" i="1"/>
  <c r="DT94" i="1" s="1"/>
  <c r="EO94" i="1"/>
  <c r="EQ94" i="1"/>
  <c r="ER94" i="1"/>
  <c r="EP94" i="1"/>
  <c r="EN94" i="1"/>
  <c r="BB94" i="1" l="1"/>
  <c r="DN94" i="1"/>
  <c r="ET94" i="1"/>
  <c r="EX94" i="1"/>
  <c r="EV94" i="1"/>
  <c r="EW94" i="1"/>
  <c r="EU94" i="1"/>
  <c r="FB94" i="1" l="1"/>
  <c r="FF94" i="1"/>
  <c r="FC94" i="1"/>
  <c r="FG94" i="1"/>
  <c r="FJ94" i="1"/>
  <c r="FW94" i="1" s="1"/>
  <c r="BO94" i="1" s="1"/>
  <c r="N94" i="1" s="1"/>
  <c r="EZ94" i="1"/>
  <c r="FD94" i="1"/>
  <c r="FH94" i="1"/>
  <c r="FA94" i="1"/>
  <c r="FE94" i="1"/>
  <c r="FI94" i="1"/>
  <c r="FL94" i="1" l="1"/>
  <c r="FU94" i="1" s="1"/>
  <c r="BM94" i="1" s="1"/>
  <c r="BZ94" i="1" s="1"/>
  <c r="FQ94" i="1" l="1"/>
  <c r="BI94" i="1" s="1"/>
  <c r="BV94" i="1" s="1"/>
  <c r="FM94" i="1"/>
  <c r="BE94" i="1" s="1"/>
  <c r="BR94" i="1" s="1"/>
  <c r="FO94" i="1"/>
  <c r="BG94" i="1" s="1"/>
  <c r="BT94" i="1" s="1"/>
  <c r="FN94" i="1"/>
  <c r="BF94" i="1" s="1"/>
  <c r="BS94" i="1" s="1"/>
  <c r="FR94" i="1"/>
  <c r="BJ94" i="1" s="1"/>
  <c r="BW94" i="1" s="1"/>
  <c r="FT94" i="1"/>
  <c r="BL94" i="1" s="1"/>
  <c r="BY94" i="1" s="1"/>
  <c r="FV94" i="1"/>
  <c r="BN94" i="1" s="1"/>
  <c r="CA94" i="1" s="1"/>
  <c r="FS94" i="1"/>
  <c r="BK94" i="1" s="1"/>
  <c r="BX94" i="1" s="1"/>
  <c r="FP94" i="1"/>
  <c r="BH94" i="1" s="1"/>
  <c r="BU94" i="1" s="1"/>
  <c r="BQ94" i="1" l="1"/>
  <c r="CL94" i="1" s="1"/>
  <c r="CJ94" i="1" l="1"/>
  <c r="CI94" i="1"/>
  <c r="CE94" i="1"/>
  <c r="CK94" i="1"/>
  <c r="CG94" i="1"/>
  <c r="CH94" i="1"/>
  <c r="CD94" i="1"/>
  <c r="CF94" i="1"/>
  <c r="CM94" i="1"/>
  <c r="DW94" i="1" s="1"/>
  <c r="DY94" i="1" s="1"/>
  <c r="E94" i="1" s="1"/>
  <c r="AF94" i="1" l="1"/>
  <c r="AJ94" i="1"/>
  <c r="AN94" i="1"/>
  <c r="AG94" i="1"/>
  <c r="AK94" i="1"/>
  <c r="AH94" i="1"/>
  <c r="AL94" i="1"/>
  <c r="AI94" i="1"/>
  <c r="AM94" i="1"/>
  <c r="M94" i="1"/>
  <c r="AE94" i="1" l="1"/>
  <c r="G94" i="1" s="1"/>
  <c r="AO94" i="1"/>
  <c r="F94" i="1" l="1"/>
  <c r="AP94" i="1"/>
  <c r="H94" i="1" s="1"/>
  <c r="K94" i="1" s="1"/>
  <c r="C95" i="1" l="1"/>
  <c r="I95" i="1"/>
  <c r="D95" i="1"/>
  <c r="O94" i="1"/>
  <c r="L94" i="1"/>
  <c r="B95" i="1"/>
  <c r="P94" i="1" l="1"/>
  <c r="U95" i="1"/>
  <c r="Y95" i="1"/>
  <c r="V95" i="1"/>
  <c r="Z95" i="1"/>
  <c r="S95" i="1"/>
  <c r="W95" i="1"/>
  <c r="AA95" i="1"/>
  <c r="J95" i="1"/>
  <c r="T95" i="1"/>
  <c r="X95" i="1"/>
  <c r="CP95" i="1"/>
  <c r="CS95" i="1"/>
  <c r="DE95" i="1" s="1"/>
  <c r="CW95" i="1"/>
  <c r="DI95" i="1" s="1"/>
  <c r="CT95" i="1"/>
  <c r="DF95" i="1" s="1"/>
  <c r="CX95" i="1"/>
  <c r="DJ95" i="1" s="1"/>
  <c r="CY95" i="1"/>
  <c r="DK95" i="1" s="1"/>
  <c r="CQ95" i="1"/>
  <c r="DC95" i="1" s="1"/>
  <c r="CU95" i="1"/>
  <c r="DG95" i="1" s="1"/>
  <c r="CR95" i="1"/>
  <c r="DD95" i="1" s="1"/>
  <c r="CV95" i="1"/>
  <c r="DH95" i="1" s="1"/>
  <c r="DB95" i="1" l="1"/>
  <c r="CO95" i="1"/>
  <c r="EL95" i="1"/>
  <c r="EG95" i="1"/>
  <c r="EI95" i="1"/>
  <c r="EH95" i="1"/>
  <c r="EE95" i="1"/>
  <c r="ED95" i="1"/>
  <c r="R95" i="1"/>
  <c r="AB95" i="1"/>
  <c r="AC95" i="1" s="1"/>
  <c r="AW95" i="1" s="1"/>
  <c r="DR95" i="1" s="1"/>
  <c r="EJ95" i="1"/>
  <c r="EK95" i="1"/>
  <c r="EF95" i="1"/>
  <c r="AT95" i="1" l="1"/>
  <c r="DO95" i="1" s="1"/>
  <c r="AX95" i="1"/>
  <c r="DS95" i="1" s="1"/>
  <c r="BA95" i="1"/>
  <c r="DV95" i="1" s="1"/>
  <c r="AZ95" i="1"/>
  <c r="DU95" i="1" s="1"/>
  <c r="AY95" i="1"/>
  <c r="DT95" i="1" s="1"/>
  <c r="ER95" i="1"/>
  <c r="EQ95" i="1"/>
  <c r="EN95" i="1"/>
  <c r="EO95" i="1"/>
  <c r="EP95" i="1"/>
  <c r="AV95" i="1"/>
  <c r="DQ95" i="1" s="1"/>
  <c r="AU95" i="1"/>
  <c r="DP95" i="1" s="1"/>
  <c r="AS95" i="1"/>
  <c r="EV95" i="1" l="1"/>
  <c r="EX95" i="1"/>
  <c r="ET95" i="1"/>
  <c r="EU95" i="1"/>
  <c r="EW95" i="1"/>
  <c r="DN95" i="1"/>
  <c r="BB95" i="1"/>
  <c r="FC95" i="1" l="1"/>
  <c r="FG95" i="1"/>
  <c r="FJ95" i="1"/>
  <c r="FW95" i="1" s="1"/>
  <c r="BO95" i="1" s="1"/>
  <c r="N95" i="1" s="1"/>
  <c r="EZ95" i="1"/>
  <c r="FD95" i="1"/>
  <c r="FH95" i="1"/>
  <c r="FA95" i="1"/>
  <c r="FE95" i="1"/>
  <c r="FI95" i="1"/>
  <c r="FB95" i="1"/>
  <c r="FF95" i="1"/>
  <c r="FL95" i="1" l="1"/>
  <c r="FR95" i="1" s="1"/>
  <c r="BJ95" i="1" s="1"/>
  <c r="BW95" i="1" s="1"/>
  <c r="FP95" i="1" l="1"/>
  <c r="BH95" i="1" s="1"/>
  <c r="BU95" i="1" s="1"/>
  <c r="FT95" i="1"/>
  <c r="BL95" i="1" s="1"/>
  <c r="BY95" i="1" s="1"/>
  <c r="FN95" i="1"/>
  <c r="BF95" i="1" s="1"/>
  <c r="BS95" i="1" s="1"/>
  <c r="FU95" i="1"/>
  <c r="BM95" i="1" s="1"/>
  <c r="BZ95" i="1" s="1"/>
  <c r="FM95" i="1"/>
  <c r="BE95" i="1" s="1"/>
  <c r="BR95" i="1" s="1"/>
  <c r="FQ95" i="1"/>
  <c r="BI95" i="1" s="1"/>
  <c r="BV95" i="1" s="1"/>
  <c r="FO95" i="1"/>
  <c r="BG95" i="1" s="1"/>
  <c r="BT95" i="1" s="1"/>
  <c r="FV95" i="1"/>
  <c r="BN95" i="1" s="1"/>
  <c r="CA95" i="1" s="1"/>
  <c r="FS95" i="1"/>
  <c r="BK95" i="1" s="1"/>
  <c r="BX95" i="1" s="1"/>
  <c r="BQ95" i="1" l="1"/>
  <c r="CI95" i="1" s="1"/>
  <c r="CH95" i="1" l="1"/>
  <c r="CG95" i="1"/>
  <c r="CJ95" i="1"/>
  <c r="CK95" i="1"/>
  <c r="CL95" i="1"/>
  <c r="CE95" i="1"/>
  <c r="CM95" i="1"/>
  <c r="DW95" i="1" s="1"/>
  <c r="DY95" i="1" s="1"/>
  <c r="E95" i="1" s="1"/>
  <c r="CD95" i="1"/>
  <c r="CF95" i="1"/>
  <c r="AG95" i="1" l="1"/>
  <c r="AK95" i="1"/>
  <c r="AH95" i="1"/>
  <c r="AL95" i="1"/>
  <c r="AI95" i="1"/>
  <c r="AM95" i="1"/>
  <c r="AF95" i="1"/>
  <c r="AJ95" i="1"/>
  <c r="AN95" i="1"/>
  <c r="M95" i="1"/>
  <c r="AO95" i="1" l="1"/>
  <c r="AE95" i="1"/>
  <c r="G95" i="1" s="1"/>
  <c r="AP95" i="1" l="1"/>
  <c r="H95" i="1" s="1"/>
  <c r="K95" i="1" s="1"/>
  <c r="F95" i="1"/>
  <c r="D96" i="1" l="1"/>
  <c r="O95" i="1"/>
  <c r="L95" i="1"/>
  <c r="P95" i="1" s="1"/>
  <c r="B96" i="1"/>
  <c r="C96" i="1"/>
  <c r="I96" i="1"/>
  <c r="CS96" i="1" l="1"/>
  <c r="DE96" i="1" s="1"/>
  <c r="CW96" i="1"/>
  <c r="DI96" i="1" s="1"/>
  <c r="CY96" i="1"/>
  <c r="DK96" i="1" s="1"/>
  <c r="CP96" i="1"/>
  <c r="CT96" i="1"/>
  <c r="DF96" i="1" s="1"/>
  <c r="CX96" i="1"/>
  <c r="DJ96" i="1" s="1"/>
  <c r="CQ96" i="1"/>
  <c r="DC96" i="1" s="1"/>
  <c r="CU96" i="1"/>
  <c r="DG96" i="1" s="1"/>
  <c r="CR96" i="1"/>
  <c r="DD96" i="1" s="1"/>
  <c r="CV96" i="1"/>
  <c r="DH96" i="1" s="1"/>
  <c r="V96" i="1"/>
  <c r="Z96" i="1"/>
  <c r="S96" i="1"/>
  <c r="W96" i="1"/>
  <c r="AA96" i="1"/>
  <c r="J96" i="1"/>
  <c r="T96" i="1"/>
  <c r="X96" i="1"/>
  <c r="U96" i="1"/>
  <c r="Y96" i="1"/>
  <c r="EF96" i="1" l="1"/>
  <c r="EI96" i="1"/>
  <c r="EH96" i="1"/>
  <c r="EE96" i="1"/>
  <c r="AB96" i="1"/>
  <c r="AC96" i="1" s="1"/>
  <c r="AU96" i="1" s="1"/>
  <c r="DP96" i="1" s="1"/>
  <c r="R96" i="1"/>
  <c r="ED96" i="1"/>
  <c r="EJ96" i="1"/>
  <c r="EK96" i="1"/>
  <c r="CO96" i="1"/>
  <c r="DB96" i="1"/>
  <c r="EG96" i="1"/>
  <c r="EL96" i="1"/>
  <c r="AV96" i="1" l="1"/>
  <c r="DQ96" i="1" s="1"/>
  <c r="AZ96" i="1"/>
  <c r="DU96" i="1" s="1"/>
  <c r="EO96" i="1"/>
  <c r="ER96" i="1"/>
  <c r="EN96" i="1"/>
  <c r="EQ96" i="1"/>
  <c r="EP96" i="1"/>
  <c r="AX96" i="1"/>
  <c r="DS96" i="1" s="1"/>
  <c r="AT96" i="1"/>
  <c r="DO96" i="1" s="1"/>
  <c r="BA96" i="1"/>
  <c r="DV96" i="1" s="1"/>
  <c r="AY96" i="1"/>
  <c r="DT96" i="1" s="1"/>
  <c r="AS96" i="1"/>
  <c r="AW96" i="1"/>
  <c r="DR96" i="1" s="1"/>
  <c r="DN96" i="1" l="1"/>
  <c r="BB96" i="1"/>
  <c r="EX96" i="1"/>
  <c r="ET96" i="1"/>
  <c r="EU96" i="1"/>
  <c r="EV96" i="1"/>
  <c r="EW96" i="1"/>
  <c r="FJ96" i="1" l="1"/>
  <c r="FW96" i="1" s="1"/>
  <c r="BO96" i="1" s="1"/>
  <c r="N96" i="1" s="1"/>
  <c r="EZ96" i="1"/>
  <c r="FD96" i="1"/>
  <c r="FH96" i="1"/>
  <c r="FA96" i="1"/>
  <c r="FE96" i="1"/>
  <c r="FI96" i="1"/>
  <c r="FB96" i="1"/>
  <c r="FF96" i="1"/>
  <c r="FC96" i="1"/>
  <c r="FG96" i="1"/>
  <c r="FL96" i="1" l="1"/>
  <c r="FO96" i="1" s="1"/>
  <c r="BG96" i="1" s="1"/>
  <c r="BT96" i="1" s="1"/>
  <c r="FN96" i="1" l="1"/>
  <c r="BF96" i="1" s="1"/>
  <c r="BS96" i="1" s="1"/>
  <c r="FS96" i="1"/>
  <c r="BK96" i="1" s="1"/>
  <c r="BX96" i="1" s="1"/>
  <c r="FU96" i="1"/>
  <c r="BM96" i="1" s="1"/>
  <c r="BZ96" i="1" s="1"/>
  <c r="FV96" i="1"/>
  <c r="BN96" i="1" s="1"/>
  <c r="CA96" i="1" s="1"/>
  <c r="FR96" i="1"/>
  <c r="BJ96" i="1" s="1"/>
  <c r="BW96" i="1" s="1"/>
  <c r="FT96" i="1"/>
  <c r="BL96" i="1" s="1"/>
  <c r="BY96" i="1" s="1"/>
  <c r="FP96" i="1"/>
  <c r="BH96" i="1" s="1"/>
  <c r="BU96" i="1" s="1"/>
  <c r="FM96" i="1"/>
  <c r="BE96" i="1" s="1"/>
  <c r="BR96" i="1" s="1"/>
  <c r="FQ96" i="1"/>
  <c r="BI96" i="1" s="1"/>
  <c r="BV96" i="1" s="1"/>
  <c r="BQ96" i="1" l="1"/>
  <c r="CF96" i="1" s="1"/>
  <c r="CK96" i="1" l="1"/>
  <c r="CJ96" i="1"/>
  <c r="CD96" i="1"/>
  <c r="CH96" i="1"/>
  <c r="CM96" i="1"/>
  <c r="DW96" i="1" s="1"/>
  <c r="DY96" i="1" s="1"/>
  <c r="E96" i="1" s="1"/>
  <c r="CE96" i="1"/>
  <c r="CL96" i="1"/>
  <c r="CI96" i="1"/>
  <c r="CG96" i="1"/>
  <c r="AH96" i="1" l="1"/>
  <c r="AL96" i="1"/>
  <c r="AI96" i="1"/>
  <c r="AM96" i="1"/>
  <c r="AF96" i="1"/>
  <c r="AJ96" i="1"/>
  <c r="AN96" i="1"/>
  <c r="AG96" i="1"/>
  <c r="AK96" i="1"/>
  <c r="M96" i="1"/>
  <c r="AE96" i="1" l="1"/>
  <c r="G96" i="1" s="1"/>
  <c r="AO96" i="1"/>
  <c r="AP96" i="1" l="1"/>
  <c r="H96" i="1" s="1"/>
  <c r="K96" i="1" s="1"/>
  <c r="F96" i="1"/>
  <c r="L96" i="1" l="1"/>
  <c r="B97" i="1"/>
  <c r="C97" i="1"/>
  <c r="I97" i="1"/>
  <c r="D97" i="1"/>
  <c r="O96" i="1"/>
  <c r="P96" i="1" l="1"/>
  <c r="S97" i="1"/>
  <c r="W97" i="1"/>
  <c r="AA97" i="1"/>
  <c r="J97" i="1"/>
  <c r="T97" i="1"/>
  <c r="X97" i="1"/>
  <c r="U97" i="1"/>
  <c r="Y97" i="1"/>
  <c r="V97" i="1"/>
  <c r="Z97" i="1"/>
  <c r="CY97" i="1"/>
  <c r="CP97" i="1"/>
  <c r="CS97" i="1"/>
  <c r="DE97" i="1" s="1"/>
  <c r="CW97" i="1"/>
  <c r="DI97" i="1" s="1"/>
  <c r="CT97" i="1"/>
  <c r="DF97" i="1" s="1"/>
  <c r="CX97" i="1"/>
  <c r="DJ97" i="1" s="1"/>
  <c r="CQ97" i="1"/>
  <c r="DC97" i="1" s="1"/>
  <c r="CU97" i="1"/>
  <c r="DG97" i="1" s="1"/>
  <c r="CR97" i="1"/>
  <c r="DD97" i="1" s="1"/>
  <c r="CV97" i="1"/>
  <c r="DH97" i="1" s="1"/>
  <c r="DK97" i="1" l="1"/>
  <c r="EJ97" i="1"/>
  <c r="EK97" i="1"/>
  <c r="EF97" i="1"/>
  <c r="EL97" i="1"/>
  <c r="EG97" i="1"/>
  <c r="EI97" i="1"/>
  <c r="EH97" i="1"/>
  <c r="DB97" i="1"/>
  <c r="CO97" i="1"/>
  <c r="EE97" i="1"/>
  <c r="AB97" i="1"/>
  <c r="AC97" i="1" s="1"/>
  <c r="AZ97" i="1" s="1"/>
  <c r="DU97" i="1" s="1"/>
  <c r="ED97" i="1"/>
  <c r="R97" i="1"/>
  <c r="AX97" i="1" l="1"/>
  <c r="DS97" i="1" s="1"/>
  <c r="AW97" i="1"/>
  <c r="DR97" i="1" s="1"/>
  <c r="AU97" i="1"/>
  <c r="DP97" i="1" s="1"/>
  <c r="AS97" i="1"/>
  <c r="AT97" i="1"/>
  <c r="DO97" i="1" s="1"/>
  <c r="AV97" i="1"/>
  <c r="DQ97" i="1" s="1"/>
  <c r="AY97" i="1"/>
  <c r="DT97" i="1" s="1"/>
  <c r="EQ97" i="1"/>
  <c r="EP97" i="1"/>
  <c r="EN97" i="1"/>
  <c r="EO97" i="1"/>
  <c r="ER97" i="1"/>
  <c r="BA97" i="1"/>
  <c r="DV97" i="1" s="1"/>
  <c r="DN97" i="1" l="1"/>
  <c r="BB97" i="1"/>
  <c r="EU97" i="1"/>
  <c r="EW97" i="1"/>
  <c r="EV97" i="1"/>
  <c r="EX97" i="1"/>
  <c r="ET97" i="1"/>
  <c r="FA97" i="1" l="1"/>
  <c r="FE97" i="1"/>
  <c r="FI97" i="1"/>
  <c r="FB97" i="1"/>
  <c r="FF97" i="1"/>
  <c r="FC97" i="1"/>
  <c r="FG97" i="1"/>
  <c r="FJ97" i="1"/>
  <c r="FW97" i="1" s="1"/>
  <c r="BO97" i="1" s="1"/>
  <c r="N97" i="1" s="1"/>
  <c r="EZ97" i="1"/>
  <c r="FD97" i="1"/>
  <c r="FH97" i="1"/>
  <c r="FL97" i="1" l="1"/>
  <c r="FU97" i="1" s="1"/>
  <c r="BM97" i="1" s="1"/>
  <c r="BZ97" i="1" s="1"/>
  <c r="FV97" i="1" l="1"/>
  <c r="BN97" i="1" s="1"/>
  <c r="CA97" i="1" s="1"/>
  <c r="FT97" i="1"/>
  <c r="BL97" i="1" s="1"/>
  <c r="BY97" i="1" s="1"/>
  <c r="FM97" i="1"/>
  <c r="BE97" i="1" s="1"/>
  <c r="BR97" i="1" s="1"/>
  <c r="FQ97" i="1"/>
  <c r="BI97" i="1" s="1"/>
  <c r="BV97" i="1" s="1"/>
  <c r="FO97" i="1"/>
  <c r="BG97" i="1" s="1"/>
  <c r="BT97" i="1" s="1"/>
  <c r="FN97" i="1"/>
  <c r="BF97" i="1" s="1"/>
  <c r="BS97" i="1" s="1"/>
  <c r="FR97" i="1"/>
  <c r="BJ97" i="1" s="1"/>
  <c r="BW97" i="1" s="1"/>
  <c r="FS97" i="1"/>
  <c r="BK97" i="1" s="1"/>
  <c r="BX97" i="1" s="1"/>
  <c r="FP97" i="1"/>
  <c r="BH97" i="1" s="1"/>
  <c r="BU97" i="1" s="1"/>
  <c r="BQ97" i="1" l="1"/>
  <c r="CL97" i="1" s="1"/>
  <c r="CF97" i="1" l="1"/>
  <c r="CM97" i="1"/>
  <c r="DW97" i="1" s="1"/>
  <c r="DY97" i="1" s="1"/>
  <c r="E97" i="1" s="1"/>
  <c r="AI97" i="1" s="1"/>
  <c r="CE97" i="1"/>
  <c r="CD97" i="1"/>
  <c r="CH97" i="1"/>
  <c r="CG97" i="1"/>
  <c r="CJ97" i="1"/>
  <c r="CK97" i="1"/>
  <c r="CI97" i="1"/>
  <c r="AH97" i="1" l="1"/>
  <c r="AJ97" i="1"/>
  <c r="AK97" i="1"/>
  <c r="AF97" i="1"/>
  <c r="M97" i="1"/>
  <c r="AG97" i="1"/>
  <c r="AM97" i="1"/>
  <c r="AL97" i="1"/>
  <c r="AN97" i="1"/>
  <c r="AE97" i="1" l="1"/>
  <c r="G97" i="1" s="1"/>
  <c r="AO97" i="1"/>
  <c r="F97" i="1" s="1"/>
  <c r="AP97" i="1" l="1"/>
  <c r="H97" i="1" s="1"/>
  <c r="K97" i="1" s="1"/>
  <c r="L97" i="1" s="1"/>
  <c r="D98" i="1" l="1"/>
  <c r="U98" i="1" s="1"/>
  <c r="I98" i="1"/>
  <c r="C98" i="1"/>
  <c r="O97" i="1"/>
  <c r="P97" i="1" s="1"/>
  <c r="B98" i="1"/>
  <c r="CP98" i="1" l="1"/>
  <c r="DB98" i="1" s="1"/>
  <c r="CW98" i="1"/>
  <c r="DI98" i="1" s="1"/>
  <c r="CS98" i="1"/>
  <c r="DE98" i="1" s="1"/>
  <c r="CV98" i="1"/>
  <c r="DH98" i="1" s="1"/>
  <c r="CR98" i="1"/>
  <c r="DD98" i="1" s="1"/>
  <c r="CQ98" i="1"/>
  <c r="DC98" i="1" s="1"/>
  <c r="CY98" i="1"/>
  <c r="DK98" i="1" s="1"/>
  <c r="CX98" i="1"/>
  <c r="DJ98" i="1" s="1"/>
  <c r="CT98" i="1"/>
  <c r="DF98" i="1" s="1"/>
  <c r="CU98" i="1"/>
  <c r="DG98" i="1" s="1"/>
  <c r="AA98" i="1"/>
  <c r="EL98" i="1" s="1"/>
  <c r="S98" i="1"/>
  <c r="ED98" i="1" s="1"/>
  <c r="Z98" i="1"/>
  <c r="EK98" i="1" s="1"/>
  <c r="J98" i="1"/>
  <c r="V98" i="1"/>
  <c r="EG98" i="1" s="1"/>
  <c r="W98" i="1"/>
  <c r="EH98" i="1" s="1"/>
  <c r="Y98" i="1"/>
  <c r="EJ98" i="1" s="1"/>
  <c r="X98" i="1"/>
  <c r="EI98" i="1" s="1"/>
  <c r="T98" i="1"/>
  <c r="EF98" i="1"/>
  <c r="CO98" i="1" l="1"/>
  <c r="R98" i="1"/>
  <c r="EE98" i="1"/>
  <c r="EN98" i="1" s="1"/>
  <c r="AB98" i="1"/>
  <c r="AC98" i="1" s="1"/>
  <c r="AY98" i="1" s="1"/>
  <c r="DT98" i="1" s="1"/>
  <c r="EQ98" i="1" l="1"/>
  <c r="EO98" i="1"/>
  <c r="ER98" i="1"/>
  <c r="EP98" i="1"/>
  <c r="AZ98" i="1"/>
  <c r="DU98" i="1" s="1"/>
  <c r="AW98" i="1"/>
  <c r="DR98" i="1" s="1"/>
  <c r="BA98" i="1"/>
  <c r="DV98" i="1" s="1"/>
  <c r="AS98" i="1"/>
  <c r="AT98" i="1"/>
  <c r="DO98" i="1" s="1"/>
  <c r="AX98" i="1"/>
  <c r="DS98" i="1" s="1"/>
  <c r="AU98" i="1"/>
  <c r="DP98" i="1" s="1"/>
  <c r="AV98" i="1"/>
  <c r="DQ98" i="1" s="1"/>
  <c r="EU98" i="1" l="1"/>
  <c r="EW98" i="1"/>
  <c r="EV98" i="1"/>
  <c r="EX98" i="1"/>
  <c r="ET98" i="1"/>
  <c r="BB98" i="1"/>
  <c r="DN98" i="1"/>
  <c r="FA98" i="1" l="1"/>
  <c r="FE98" i="1"/>
  <c r="EZ98" i="1"/>
  <c r="FG98" i="1"/>
  <c r="FI98" i="1"/>
  <c r="FF98" i="1"/>
  <c r="FD98" i="1"/>
  <c r="FC98" i="1"/>
  <c r="FJ98" i="1"/>
  <c r="FW98" i="1" s="1"/>
  <c r="BO98" i="1" s="1"/>
  <c r="N98" i="1" s="1"/>
  <c r="FB98" i="1"/>
  <c r="FH98" i="1"/>
  <c r="FL98" i="1" l="1"/>
  <c r="FQ98" i="1" s="1"/>
  <c r="BI98" i="1" s="1"/>
  <c r="BV98" i="1" s="1"/>
  <c r="FU98" i="1" l="1"/>
  <c r="BM98" i="1" s="1"/>
  <c r="BZ98" i="1" s="1"/>
  <c r="FT98" i="1"/>
  <c r="BL98" i="1" s="1"/>
  <c r="BY98" i="1" s="1"/>
  <c r="FN98" i="1"/>
  <c r="BF98" i="1" s="1"/>
  <c r="BS98" i="1" s="1"/>
  <c r="FO98" i="1"/>
  <c r="BG98" i="1" s="1"/>
  <c r="BT98" i="1" s="1"/>
  <c r="FS98" i="1"/>
  <c r="BK98" i="1" s="1"/>
  <c r="BX98" i="1" s="1"/>
  <c r="FP98" i="1"/>
  <c r="BH98" i="1" s="1"/>
  <c r="BU98" i="1" s="1"/>
  <c r="FM98" i="1"/>
  <c r="BE98" i="1" s="1"/>
  <c r="BR98" i="1" s="1"/>
  <c r="FR98" i="1"/>
  <c r="BJ98" i="1" s="1"/>
  <c r="BW98" i="1" s="1"/>
  <c r="FV98" i="1"/>
  <c r="BN98" i="1" s="1"/>
  <c r="CA98" i="1" s="1"/>
  <c r="BQ98" i="1" l="1"/>
  <c r="CH98" i="1" s="1"/>
  <c r="CL98" i="1" l="1"/>
  <c r="CF98" i="1"/>
  <c r="CJ98" i="1"/>
  <c r="CG98" i="1"/>
  <c r="CI98" i="1"/>
  <c r="CE98" i="1"/>
  <c r="CK98" i="1"/>
  <c r="CD98" i="1"/>
  <c r="CM98" i="1"/>
  <c r="DW98" i="1" s="1"/>
  <c r="DY98" i="1" s="1"/>
  <c r="E98" i="1" s="1"/>
  <c r="AF98" i="1" s="1"/>
  <c r="AM98" i="1" l="1"/>
  <c r="AI98" i="1"/>
  <c r="AJ98" i="1"/>
  <c r="AN98" i="1"/>
  <c r="M98" i="1"/>
  <c r="AL98" i="1"/>
  <c r="AK98" i="1"/>
  <c r="AH98" i="1"/>
  <c r="AG98" i="1"/>
  <c r="AO98" i="1" l="1"/>
  <c r="F98" i="1" s="1"/>
  <c r="AE98" i="1"/>
  <c r="G98" i="1" s="1"/>
  <c r="AP98" i="1" l="1"/>
  <c r="H98" i="1" s="1"/>
  <c r="K98" i="1" s="1"/>
  <c r="B99" i="1" s="1"/>
  <c r="D99" i="1" l="1"/>
  <c r="Z99" i="1" s="1"/>
  <c r="I99" i="1"/>
  <c r="O98" i="1"/>
  <c r="C99" i="1"/>
  <c r="L98" i="1"/>
  <c r="CQ99" i="1" l="1"/>
  <c r="DC99" i="1" s="1"/>
  <c r="J99" i="1"/>
  <c r="EK99" i="1"/>
  <c r="U99" i="1"/>
  <c r="EF99" i="1" s="1"/>
  <c r="S99" i="1"/>
  <c r="ED99" i="1" s="1"/>
  <c r="T99" i="1"/>
  <c r="EE99" i="1" s="1"/>
  <c r="V99" i="1"/>
  <c r="EG99" i="1" s="1"/>
  <c r="AA99" i="1"/>
  <c r="EL99" i="1" s="1"/>
  <c r="CX99" i="1"/>
  <c r="DJ99" i="1" s="1"/>
  <c r="CU99" i="1"/>
  <c r="DG99" i="1" s="1"/>
  <c r="CW99" i="1"/>
  <c r="DI99" i="1" s="1"/>
  <c r="W99" i="1"/>
  <c r="EH99" i="1" s="1"/>
  <c r="CP99" i="1"/>
  <c r="DB99" i="1" s="1"/>
  <c r="CV99" i="1"/>
  <c r="DH99" i="1" s="1"/>
  <c r="CT99" i="1"/>
  <c r="DF99" i="1" s="1"/>
  <c r="CY99" i="1"/>
  <c r="P98" i="1"/>
  <c r="CS99" i="1"/>
  <c r="DE99" i="1" s="1"/>
  <c r="CR99" i="1"/>
  <c r="DD99" i="1" s="1"/>
  <c r="Y99" i="1"/>
  <c r="EJ99" i="1" s="1"/>
  <c r="X99" i="1"/>
  <c r="EI99" i="1" s="1"/>
  <c r="EQ99" i="1" l="1"/>
  <c r="DK99" i="1"/>
  <c r="AB99" i="1"/>
  <c r="AC99" i="1" s="1"/>
  <c r="AV99" i="1" s="1"/>
  <c r="DQ99" i="1" s="1"/>
  <c r="EN99" i="1"/>
  <c r="EP99" i="1"/>
  <c r="R99" i="1"/>
  <c r="EO99" i="1"/>
  <c r="ER99" i="1"/>
  <c r="CO99" i="1"/>
  <c r="AY99" i="1" l="1"/>
  <c r="DT99" i="1" s="1"/>
  <c r="AT99" i="1"/>
  <c r="DO99" i="1" s="1"/>
  <c r="AX99" i="1"/>
  <c r="DS99" i="1" s="1"/>
  <c r="AS99" i="1"/>
  <c r="DN99" i="1" s="1"/>
  <c r="BA99" i="1"/>
  <c r="DV99" i="1" s="1"/>
  <c r="AW99" i="1"/>
  <c r="DR99" i="1" s="1"/>
  <c r="AU99" i="1"/>
  <c r="DP99" i="1" s="1"/>
  <c r="AZ99" i="1"/>
  <c r="DU99" i="1" s="1"/>
  <c r="EU99" i="1"/>
  <c r="EV99" i="1"/>
  <c r="EX99" i="1"/>
  <c r="EW99" i="1"/>
  <c r="ET99" i="1"/>
  <c r="BB99" i="1" l="1"/>
  <c r="FJ99" i="1"/>
  <c r="FW99" i="1" s="1"/>
  <c r="BO99" i="1" s="1"/>
  <c r="N99" i="1" s="1"/>
  <c r="FF99" i="1"/>
  <c r="FH99" i="1"/>
  <c r="FB99" i="1"/>
  <c r="FI99" i="1"/>
  <c r="FA99" i="1"/>
  <c r="FG99" i="1"/>
  <c r="FD99" i="1"/>
  <c r="FC99" i="1"/>
  <c r="FE99" i="1"/>
  <c r="EZ99" i="1"/>
  <c r="FL99" i="1" l="1"/>
  <c r="FR99" i="1" s="1"/>
  <c r="BJ99" i="1" s="1"/>
  <c r="BW99" i="1" s="1"/>
  <c r="FS99" i="1" l="1"/>
  <c r="BK99" i="1" s="1"/>
  <c r="BX99" i="1" s="1"/>
  <c r="FM99" i="1"/>
  <c r="BE99" i="1" s="1"/>
  <c r="BR99" i="1" s="1"/>
  <c r="FV99" i="1"/>
  <c r="BN99" i="1" s="1"/>
  <c r="CA99" i="1" s="1"/>
  <c r="FU99" i="1"/>
  <c r="BM99" i="1" s="1"/>
  <c r="BZ99" i="1" s="1"/>
  <c r="FN99" i="1"/>
  <c r="BF99" i="1" s="1"/>
  <c r="BS99" i="1" s="1"/>
  <c r="FO99" i="1"/>
  <c r="BG99" i="1" s="1"/>
  <c r="BT99" i="1" s="1"/>
  <c r="FQ99" i="1"/>
  <c r="BI99" i="1" s="1"/>
  <c r="BV99" i="1" s="1"/>
  <c r="FP99" i="1"/>
  <c r="BH99" i="1" s="1"/>
  <c r="BU99" i="1" s="1"/>
  <c r="FT99" i="1"/>
  <c r="BL99" i="1" s="1"/>
  <c r="BY99" i="1" s="1"/>
  <c r="BQ99" i="1" l="1"/>
  <c r="CH99" i="1" s="1"/>
  <c r="CE99" i="1" l="1"/>
  <c r="CI99" i="1"/>
  <c r="CJ99" i="1"/>
  <c r="CF99" i="1"/>
  <c r="CK99" i="1"/>
  <c r="CL99" i="1"/>
  <c r="CM99" i="1"/>
  <c r="DW99" i="1" s="1"/>
  <c r="DY99" i="1" s="1"/>
  <c r="E99" i="1" s="1"/>
  <c r="AH99" i="1" s="1"/>
  <c r="CD99" i="1"/>
  <c r="CG99" i="1"/>
  <c r="M99" i="1" l="1"/>
  <c r="AG99" i="1"/>
  <c r="AF99" i="1"/>
  <c r="AN99" i="1"/>
  <c r="AM99" i="1"/>
  <c r="AI99" i="1"/>
  <c r="AL99" i="1"/>
  <c r="AJ99" i="1"/>
  <c r="AK99" i="1"/>
  <c r="AE99" i="1" l="1"/>
  <c r="G99" i="1" s="1"/>
  <c r="AO99" i="1"/>
  <c r="AP99" i="1" s="1"/>
  <c r="H99" i="1" s="1"/>
  <c r="K99" i="1" s="1"/>
  <c r="B100" i="1" s="1"/>
  <c r="L99" i="1" l="1"/>
  <c r="D100" i="1"/>
  <c r="S100" i="1" s="1"/>
  <c r="I100" i="1"/>
  <c r="C100" i="1"/>
  <c r="F99" i="1"/>
  <c r="O99" i="1" s="1"/>
  <c r="Y100" i="1" l="1"/>
  <c r="EJ100" i="1" s="1"/>
  <c r="CQ100" i="1"/>
  <c r="DC100" i="1" s="1"/>
  <c r="X100" i="1"/>
  <c r="EI100" i="1" s="1"/>
  <c r="Z100" i="1"/>
  <c r="EK100" i="1" s="1"/>
  <c r="T100" i="1"/>
  <c r="J100" i="1"/>
  <c r="W100" i="1"/>
  <c r="EH100" i="1" s="1"/>
  <c r="CS100" i="1"/>
  <c r="DE100" i="1" s="1"/>
  <c r="CY100" i="1"/>
  <c r="CV100" i="1"/>
  <c r="DH100" i="1" s="1"/>
  <c r="CT100" i="1"/>
  <c r="DF100" i="1" s="1"/>
  <c r="CU100" i="1"/>
  <c r="DG100" i="1" s="1"/>
  <c r="CP100" i="1"/>
  <c r="DB100" i="1" s="1"/>
  <c r="CX100" i="1"/>
  <c r="DJ100" i="1" s="1"/>
  <c r="CW100" i="1"/>
  <c r="DI100" i="1" s="1"/>
  <c r="P99" i="1"/>
  <c r="U100" i="1"/>
  <c r="EF100" i="1" s="1"/>
  <c r="AA100" i="1"/>
  <c r="V100" i="1"/>
  <c r="EG100" i="1" s="1"/>
  <c r="CR100" i="1"/>
  <c r="DD100" i="1" s="1"/>
  <c r="EE100" i="1"/>
  <c r="ED100" i="1"/>
  <c r="DK100" i="1" l="1"/>
  <c r="AB100" i="1"/>
  <c r="AC100" i="1" s="1"/>
  <c r="AX100" i="1" s="1"/>
  <c r="DS100" i="1" s="1"/>
  <c r="EL100" i="1"/>
  <c r="ER100" i="1" s="1"/>
  <c r="R100" i="1"/>
  <c r="CO100" i="1"/>
  <c r="EN100" i="1" l="1"/>
  <c r="EQ100" i="1"/>
  <c r="EO100" i="1"/>
  <c r="EP100" i="1"/>
  <c r="AT100" i="1"/>
  <c r="DO100" i="1" s="1"/>
  <c r="AU100" i="1"/>
  <c r="DP100" i="1" s="1"/>
  <c r="AY100" i="1"/>
  <c r="DT100" i="1" s="1"/>
  <c r="AZ100" i="1"/>
  <c r="DU100" i="1" s="1"/>
  <c r="BA100" i="1"/>
  <c r="DV100" i="1" s="1"/>
  <c r="AV100" i="1"/>
  <c r="DQ100" i="1" s="1"/>
  <c r="AS100" i="1"/>
  <c r="DN100" i="1" s="1"/>
  <c r="AW100" i="1"/>
  <c r="DR100" i="1" s="1"/>
  <c r="EW100" i="1" l="1"/>
  <c r="EU100" i="1"/>
  <c r="EV100" i="1"/>
  <c r="EX100" i="1"/>
  <c r="ET100" i="1"/>
  <c r="BB100" i="1"/>
  <c r="FH100" i="1" l="1"/>
  <c r="FF100" i="1"/>
  <c r="FG100" i="1"/>
  <c r="FB100" i="1"/>
  <c r="FE100" i="1"/>
  <c r="FC100" i="1"/>
  <c r="FA100" i="1"/>
  <c r="FD100" i="1"/>
  <c r="FI100" i="1"/>
  <c r="EZ100" i="1"/>
  <c r="FJ100" i="1"/>
  <c r="FW100" i="1" s="1"/>
  <c r="BO100" i="1" s="1"/>
  <c r="N100" i="1" s="1"/>
  <c r="FL100" i="1" l="1"/>
  <c r="FP100" i="1" s="1"/>
  <c r="BH100" i="1" s="1"/>
  <c r="BU100" i="1" s="1"/>
  <c r="FT100" i="1" l="1"/>
  <c r="BL100" i="1" s="1"/>
  <c r="BY100" i="1" s="1"/>
  <c r="FR100" i="1"/>
  <c r="BJ100" i="1" s="1"/>
  <c r="BW100" i="1" s="1"/>
  <c r="FV100" i="1"/>
  <c r="BN100" i="1" s="1"/>
  <c r="CA100" i="1" s="1"/>
  <c r="FS100" i="1"/>
  <c r="BK100" i="1" s="1"/>
  <c r="BX100" i="1" s="1"/>
  <c r="FO100" i="1"/>
  <c r="BG100" i="1" s="1"/>
  <c r="BT100" i="1" s="1"/>
  <c r="FQ100" i="1"/>
  <c r="BI100" i="1" s="1"/>
  <c r="BV100" i="1" s="1"/>
  <c r="FN100" i="1"/>
  <c r="BF100" i="1" s="1"/>
  <c r="BS100" i="1" s="1"/>
  <c r="FU100" i="1"/>
  <c r="BM100" i="1" s="1"/>
  <c r="BZ100" i="1" s="1"/>
  <c r="FM100" i="1"/>
  <c r="BE100" i="1" s="1"/>
  <c r="BR100" i="1" s="1"/>
  <c r="BQ100" i="1" l="1"/>
  <c r="CG100" i="1" s="1"/>
  <c r="CI100" i="1" l="1"/>
  <c r="CM100" i="1"/>
  <c r="DW100" i="1" s="1"/>
  <c r="DY100" i="1" s="1"/>
  <c r="E100" i="1" s="1"/>
  <c r="AL100" i="1" s="1"/>
  <c r="CK100" i="1"/>
  <c r="CH100" i="1"/>
  <c r="CL100" i="1"/>
  <c r="CJ100" i="1"/>
  <c r="CE100" i="1"/>
  <c r="CF100" i="1"/>
  <c r="CD100" i="1"/>
  <c r="AN100" i="1" l="1"/>
  <c r="AH100" i="1"/>
  <c r="AM100" i="1"/>
  <c r="AF100" i="1"/>
  <c r="AK100" i="1"/>
  <c r="AG100" i="1"/>
  <c r="AI100" i="1"/>
  <c r="M100" i="1"/>
  <c r="AJ100" i="1"/>
  <c r="AE100" i="1" l="1"/>
  <c r="G100" i="1" s="1"/>
  <c r="AO100" i="1"/>
  <c r="AP100" i="1" s="1"/>
  <c r="H100" i="1" s="1"/>
  <c r="K100" i="1" s="1"/>
  <c r="F100" i="1" l="1"/>
  <c r="O100" i="1" s="1"/>
  <c r="D101" i="1"/>
  <c r="L100" i="1"/>
  <c r="B101" i="1"/>
  <c r="C101" i="1"/>
  <c r="I101" i="1"/>
  <c r="P100" i="1" l="1"/>
  <c r="CQ101" i="1"/>
  <c r="DC101" i="1" s="1"/>
  <c r="CU101" i="1"/>
  <c r="DG101" i="1" s="1"/>
  <c r="CR101" i="1"/>
  <c r="DD101" i="1" s="1"/>
  <c r="CV101" i="1"/>
  <c r="DH101" i="1" s="1"/>
  <c r="CP101" i="1"/>
  <c r="CS101" i="1"/>
  <c r="DE101" i="1" s="1"/>
  <c r="CW101" i="1"/>
  <c r="DI101" i="1" s="1"/>
  <c r="CY101" i="1"/>
  <c r="DK101" i="1" s="1"/>
  <c r="CT101" i="1"/>
  <c r="DF101" i="1" s="1"/>
  <c r="CX101" i="1"/>
  <c r="DJ101" i="1" s="1"/>
  <c r="S101" i="1"/>
  <c r="W101" i="1"/>
  <c r="AA101" i="1"/>
  <c r="T101" i="1"/>
  <c r="X101" i="1"/>
  <c r="V101" i="1"/>
  <c r="U101" i="1"/>
  <c r="Y101" i="1"/>
  <c r="Z101" i="1"/>
  <c r="J101" i="1"/>
  <c r="EF101" i="1" l="1"/>
  <c r="EL101" i="1"/>
  <c r="EK101" i="1"/>
  <c r="EG101" i="1"/>
  <c r="EH101" i="1"/>
  <c r="EJ101" i="1"/>
  <c r="EI101" i="1"/>
  <c r="AB101" i="1"/>
  <c r="AC101" i="1" s="1"/>
  <c r="BA101" i="1" s="1"/>
  <c r="DV101" i="1" s="1"/>
  <c r="R101" i="1"/>
  <c r="ED101" i="1"/>
  <c r="EE101" i="1"/>
  <c r="CO101" i="1"/>
  <c r="DB101" i="1"/>
  <c r="AV101" i="1" l="1"/>
  <c r="DQ101" i="1" s="1"/>
  <c r="AT101" i="1"/>
  <c r="DO101" i="1" s="1"/>
  <c r="EN101" i="1"/>
  <c r="ER101" i="1"/>
  <c r="EO101" i="1"/>
  <c r="EP101" i="1"/>
  <c r="EQ101" i="1"/>
  <c r="AW101" i="1"/>
  <c r="DR101" i="1" s="1"/>
  <c r="AX101" i="1"/>
  <c r="DS101" i="1" s="1"/>
  <c r="AZ101" i="1"/>
  <c r="DU101" i="1" s="1"/>
  <c r="AU101" i="1"/>
  <c r="DP101" i="1" s="1"/>
  <c r="AS101" i="1"/>
  <c r="AY101" i="1"/>
  <c r="DT101" i="1" s="1"/>
  <c r="EV101" i="1" l="1"/>
  <c r="EW101" i="1"/>
  <c r="ET101" i="1"/>
  <c r="EX101" i="1"/>
  <c r="EU101" i="1"/>
  <c r="DN101" i="1"/>
  <c r="BB101" i="1"/>
  <c r="FB101" i="1" l="1"/>
  <c r="FF101" i="1"/>
  <c r="FC101" i="1"/>
  <c r="FG101" i="1"/>
  <c r="FJ101" i="1"/>
  <c r="FW101" i="1" s="1"/>
  <c r="BO101" i="1" s="1"/>
  <c r="N101" i="1" s="1"/>
  <c r="EZ101" i="1"/>
  <c r="FD101" i="1"/>
  <c r="FH101" i="1"/>
  <c r="FA101" i="1"/>
  <c r="FE101" i="1"/>
  <c r="FI101" i="1"/>
  <c r="FL101" i="1" l="1"/>
  <c r="FU101" i="1" s="1"/>
  <c r="BM101" i="1" s="1"/>
  <c r="BZ101" i="1" s="1"/>
  <c r="FP101" i="1" l="1"/>
  <c r="BH101" i="1" s="1"/>
  <c r="BU101" i="1" s="1"/>
  <c r="FM101" i="1"/>
  <c r="BE101" i="1" s="1"/>
  <c r="BR101" i="1" s="1"/>
  <c r="FO101" i="1"/>
  <c r="BG101" i="1" s="1"/>
  <c r="BT101" i="1" s="1"/>
  <c r="FN101" i="1"/>
  <c r="BF101" i="1" s="1"/>
  <c r="BS101" i="1" s="1"/>
  <c r="FT101" i="1"/>
  <c r="BL101" i="1" s="1"/>
  <c r="BY101" i="1" s="1"/>
  <c r="FQ101" i="1"/>
  <c r="BI101" i="1" s="1"/>
  <c r="BV101" i="1" s="1"/>
  <c r="FR101" i="1"/>
  <c r="BJ101" i="1" s="1"/>
  <c r="BW101" i="1" s="1"/>
  <c r="FS101" i="1"/>
  <c r="BK101" i="1" s="1"/>
  <c r="BX101" i="1" s="1"/>
  <c r="FV101" i="1"/>
  <c r="BN101" i="1" s="1"/>
  <c r="CA101" i="1" s="1"/>
  <c r="BQ101" i="1" l="1"/>
  <c r="CL101" i="1" s="1"/>
  <c r="CJ101" i="1" l="1"/>
  <c r="CD101" i="1"/>
  <c r="CH101" i="1"/>
  <c r="CK101" i="1"/>
  <c r="CG101" i="1"/>
  <c r="CE101" i="1"/>
  <c r="CM101" i="1"/>
  <c r="DW101" i="1" s="1"/>
  <c r="DY101" i="1" s="1"/>
  <c r="E101" i="1" s="1"/>
  <c r="AF101" i="1" s="1"/>
  <c r="CF101" i="1"/>
  <c r="CI101" i="1"/>
  <c r="AG101" i="1" l="1"/>
  <c r="AN101" i="1"/>
  <c r="AJ101" i="1"/>
  <c r="AI101" i="1"/>
  <c r="AL101" i="1"/>
  <c r="M101" i="1"/>
  <c r="AH101" i="1"/>
  <c r="AM101" i="1"/>
  <c r="AK101" i="1"/>
  <c r="AE101" i="1" l="1"/>
  <c r="G101" i="1" s="1"/>
  <c r="AO101" i="1"/>
  <c r="F101" i="1" s="1"/>
  <c r="AP101" i="1" l="1"/>
  <c r="H101" i="1" s="1"/>
  <c r="K101" i="1" s="1"/>
  <c r="C102" i="1" s="1"/>
  <c r="O101" i="1" l="1"/>
  <c r="D102" i="1"/>
  <c r="Y102" i="1" s="1"/>
  <c r="B102" i="1"/>
  <c r="I102" i="1"/>
  <c r="L101" i="1"/>
  <c r="P101" i="1" l="1"/>
  <c r="U102" i="1"/>
  <c r="CS102" i="1"/>
  <c r="DE102" i="1" s="1"/>
  <c r="CV102" i="1"/>
  <c r="DH102" i="1" s="1"/>
  <c r="CW102" i="1"/>
  <c r="DI102" i="1" s="1"/>
  <c r="CY102" i="1"/>
  <c r="DK102" i="1" s="1"/>
  <c r="CQ102" i="1"/>
  <c r="DC102" i="1" s="1"/>
  <c r="CT102" i="1"/>
  <c r="DF102" i="1" s="1"/>
  <c r="CU102" i="1"/>
  <c r="DG102" i="1" s="1"/>
  <c r="CP102" i="1"/>
  <c r="DB102" i="1" s="1"/>
  <c r="CR102" i="1"/>
  <c r="DD102" i="1" s="1"/>
  <c r="CX102" i="1"/>
  <c r="DJ102" i="1" s="1"/>
  <c r="J102" i="1"/>
  <c r="AA102" i="1"/>
  <c r="EL102" i="1" s="1"/>
  <c r="S102" i="1"/>
  <c r="ED102" i="1" s="1"/>
  <c r="T102" i="1"/>
  <c r="EE102" i="1" s="1"/>
  <c r="Z102" i="1"/>
  <c r="EK102" i="1" s="1"/>
  <c r="V102" i="1"/>
  <c r="EG102" i="1" s="1"/>
  <c r="X102" i="1"/>
  <c r="EI102" i="1" s="1"/>
  <c r="W102" i="1"/>
  <c r="EJ102" i="1"/>
  <c r="EF102" i="1"/>
  <c r="CO102" i="1" l="1"/>
  <c r="R102" i="1"/>
  <c r="AB102" i="1"/>
  <c r="AC102" i="1" s="1"/>
  <c r="AX102" i="1" s="1"/>
  <c r="DS102" i="1" s="1"/>
  <c r="EH102" i="1"/>
  <c r="ER102" i="1" s="1"/>
  <c r="EQ102" i="1" l="1"/>
  <c r="EN102" i="1"/>
  <c r="AZ102" i="1"/>
  <c r="DU102" i="1" s="1"/>
  <c r="AT102" i="1"/>
  <c r="DO102" i="1" s="1"/>
  <c r="AY102" i="1"/>
  <c r="DT102" i="1" s="1"/>
  <c r="EO102" i="1"/>
  <c r="EP102" i="1"/>
  <c r="AV102" i="1"/>
  <c r="DQ102" i="1" s="1"/>
  <c r="AS102" i="1"/>
  <c r="DN102" i="1" s="1"/>
  <c r="AU102" i="1"/>
  <c r="DP102" i="1" s="1"/>
  <c r="BA102" i="1"/>
  <c r="DV102" i="1" s="1"/>
  <c r="AW102" i="1"/>
  <c r="DR102" i="1" s="1"/>
  <c r="EU102" i="1" l="1"/>
  <c r="ET102" i="1"/>
  <c r="EX102" i="1"/>
  <c r="EV102" i="1"/>
  <c r="EW102" i="1"/>
  <c r="BB102" i="1"/>
  <c r="FC102" i="1" l="1"/>
  <c r="FB102" i="1"/>
  <c r="FI102" i="1"/>
  <c r="FF102" i="1"/>
  <c r="FJ102" i="1"/>
  <c r="FW102" i="1" s="1"/>
  <c r="BO102" i="1" s="1"/>
  <c r="N102" i="1" s="1"/>
  <c r="FA102" i="1"/>
  <c r="FE102" i="1"/>
  <c r="EZ102" i="1"/>
  <c r="FH102" i="1"/>
  <c r="FG102" i="1"/>
  <c r="FD102" i="1"/>
  <c r="FL102" i="1" l="1"/>
  <c r="FO102" i="1" s="1"/>
  <c r="BG102" i="1" s="1"/>
  <c r="BT102" i="1" s="1"/>
  <c r="FM102" i="1" l="1"/>
  <c r="BE102" i="1" s="1"/>
  <c r="BR102" i="1" s="1"/>
  <c r="FS102" i="1"/>
  <c r="BK102" i="1" s="1"/>
  <c r="BX102" i="1" s="1"/>
  <c r="FU102" i="1"/>
  <c r="BM102" i="1" s="1"/>
  <c r="BZ102" i="1" s="1"/>
  <c r="FV102" i="1"/>
  <c r="BN102" i="1" s="1"/>
  <c r="CA102" i="1" s="1"/>
  <c r="FT102" i="1"/>
  <c r="BL102" i="1" s="1"/>
  <c r="BY102" i="1" s="1"/>
  <c r="FR102" i="1"/>
  <c r="BJ102" i="1" s="1"/>
  <c r="BW102" i="1" s="1"/>
  <c r="FP102" i="1"/>
  <c r="BH102" i="1" s="1"/>
  <c r="BU102" i="1" s="1"/>
  <c r="FN102" i="1"/>
  <c r="BF102" i="1" s="1"/>
  <c r="BS102" i="1" s="1"/>
  <c r="FQ102" i="1"/>
  <c r="BI102" i="1" s="1"/>
  <c r="BV102" i="1" s="1"/>
  <c r="BQ102" i="1" l="1"/>
  <c r="CF102" i="1" s="1"/>
  <c r="CH102" i="1" l="1"/>
  <c r="CL102" i="1"/>
  <c r="CE102" i="1"/>
  <c r="CM102" i="1"/>
  <c r="DW102" i="1" s="1"/>
  <c r="DY102" i="1" s="1"/>
  <c r="E102" i="1" s="1"/>
  <c r="AL102" i="1" s="1"/>
  <c r="CD102" i="1"/>
  <c r="CK102" i="1"/>
  <c r="CJ102" i="1"/>
  <c r="CG102" i="1"/>
  <c r="CI102" i="1"/>
  <c r="AH102" i="1" l="1"/>
  <c r="AK102" i="1"/>
  <c r="M102" i="1"/>
  <c r="AG102" i="1"/>
  <c r="AF102" i="1"/>
  <c r="AM102" i="1"/>
  <c r="AN102" i="1"/>
  <c r="AI102" i="1"/>
  <c r="AJ102" i="1"/>
  <c r="AE102" i="1" l="1"/>
  <c r="G102" i="1" s="1"/>
  <c r="AO102" i="1"/>
  <c r="AP102" i="1" s="1"/>
  <c r="H102" i="1" s="1"/>
  <c r="K102" i="1" s="1"/>
  <c r="F102" i="1" l="1"/>
  <c r="O102" i="1" s="1"/>
  <c r="D103" i="1"/>
  <c r="L102" i="1"/>
  <c r="B103" i="1"/>
  <c r="C103" i="1"/>
  <c r="I103" i="1"/>
  <c r="P102" i="1" l="1"/>
  <c r="CR103" i="1"/>
  <c r="DD103" i="1" s="1"/>
  <c r="CV103" i="1"/>
  <c r="DH103" i="1" s="1"/>
  <c r="CY103" i="1"/>
  <c r="CP103" i="1"/>
  <c r="CS103" i="1"/>
  <c r="DE103" i="1" s="1"/>
  <c r="CW103" i="1"/>
  <c r="DI103" i="1" s="1"/>
  <c r="CT103" i="1"/>
  <c r="DF103" i="1" s="1"/>
  <c r="CX103" i="1"/>
  <c r="DJ103" i="1" s="1"/>
  <c r="CQ103" i="1"/>
  <c r="DC103" i="1" s="1"/>
  <c r="CU103" i="1"/>
  <c r="DG103" i="1" s="1"/>
  <c r="V103" i="1"/>
  <c r="Z103" i="1"/>
  <c r="S103" i="1"/>
  <c r="W103" i="1"/>
  <c r="AA103" i="1"/>
  <c r="J103" i="1"/>
  <c r="T103" i="1"/>
  <c r="X103" i="1"/>
  <c r="U103" i="1"/>
  <c r="Y103" i="1"/>
  <c r="DK103" i="1" l="1"/>
  <c r="EF103" i="1"/>
  <c r="EI103" i="1"/>
  <c r="EH103" i="1"/>
  <c r="EE103" i="1"/>
  <c r="AB103" i="1"/>
  <c r="AC103" i="1" s="1"/>
  <c r="AU103" i="1" s="1"/>
  <c r="DP103" i="1" s="1"/>
  <c r="ED103" i="1"/>
  <c r="R103" i="1"/>
  <c r="EJ103" i="1"/>
  <c r="EK103" i="1"/>
  <c r="DB103" i="1"/>
  <c r="CO103" i="1"/>
  <c r="EL103" i="1"/>
  <c r="EG103" i="1"/>
  <c r="AT103" i="1" l="1"/>
  <c r="DO103" i="1" s="1"/>
  <c r="AX103" i="1"/>
  <c r="DS103" i="1" s="1"/>
  <c r="AZ103" i="1"/>
  <c r="DU103" i="1" s="1"/>
  <c r="BA103" i="1"/>
  <c r="DV103" i="1" s="1"/>
  <c r="ER103" i="1"/>
  <c r="EQ103" i="1"/>
  <c r="EP103" i="1"/>
  <c r="EO103" i="1"/>
  <c r="EN103" i="1"/>
  <c r="AV103" i="1"/>
  <c r="DQ103" i="1" s="1"/>
  <c r="AY103" i="1"/>
  <c r="DT103" i="1" s="1"/>
  <c r="AS103" i="1"/>
  <c r="AW103" i="1"/>
  <c r="DR103" i="1" s="1"/>
  <c r="DN103" i="1" l="1"/>
  <c r="BB103" i="1"/>
  <c r="EW103" i="1"/>
  <c r="EV103" i="1"/>
  <c r="EU103" i="1"/>
  <c r="ET103" i="1"/>
  <c r="EX103" i="1"/>
  <c r="FJ103" i="1" l="1"/>
  <c r="FW103" i="1" s="1"/>
  <c r="BO103" i="1" s="1"/>
  <c r="N103" i="1" s="1"/>
  <c r="EZ103" i="1"/>
  <c r="FD103" i="1"/>
  <c r="FH103" i="1"/>
  <c r="FA103" i="1"/>
  <c r="FE103" i="1"/>
  <c r="FI103" i="1"/>
  <c r="FB103" i="1"/>
  <c r="FF103" i="1"/>
  <c r="FC103" i="1"/>
  <c r="FG103" i="1"/>
  <c r="FL103" i="1" l="1"/>
  <c r="FO103" i="1" s="1"/>
  <c r="BG103" i="1" s="1"/>
  <c r="BT103" i="1" s="1"/>
  <c r="FN103" i="1" l="1"/>
  <c r="BF103" i="1" s="1"/>
  <c r="BS103" i="1" s="1"/>
  <c r="FR103" i="1"/>
  <c r="BJ103" i="1" s="1"/>
  <c r="BW103" i="1" s="1"/>
  <c r="FS103" i="1"/>
  <c r="BK103" i="1" s="1"/>
  <c r="BX103" i="1" s="1"/>
  <c r="FP103" i="1"/>
  <c r="BH103" i="1" s="1"/>
  <c r="BU103" i="1" s="1"/>
  <c r="FU103" i="1"/>
  <c r="BM103" i="1" s="1"/>
  <c r="BZ103" i="1" s="1"/>
  <c r="FQ103" i="1"/>
  <c r="BI103" i="1" s="1"/>
  <c r="BV103" i="1" s="1"/>
  <c r="FV103" i="1"/>
  <c r="BN103" i="1" s="1"/>
  <c r="CA103" i="1" s="1"/>
  <c r="FM103" i="1"/>
  <c r="BE103" i="1" s="1"/>
  <c r="BR103" i="1" s="1"/>
  <c r="FT103" i="1"/>
  <c r="BL103" i="1" s="1"/>
  <c r="BY103" i="1" s="1"/>
  <c r="BQ103" i="1" l="1"/>
  <c r="CF103" i="1" s="1"/>
  <c r="CH103" i="1" l="1"/>
  <c r="CI103" i="1"/>
  <c r="CE103" i="1"/>
  <c r="CL103" i="1"/>
  <c r="CG103" i="1"/>
  <c r="CK103" i="1"/>
  <c r="CD103" i="1"/>
  <c r="CM103" i="1"/>
  <c r="DW103" i="1" s="1"/>
  <c r="DY103" i="1" s="1"/>
  <c r="E103" i="1" s="1"/>
  <c r="CJ103" i="1"/>
  <c r="AH103" i="1" l="1"/>
  <c r="AL103" i="1"/>
  <c r="AI103" i="1"/>
  <c r="AM103" i="1"/>
  <c r="AF103" i="1"/>
  <c r="AJ103" i="1"/>
  <c r="AN103" i="1"/>
  <c r="AG103" i="1"/>
  <c r="AK103" i="1"/>
  <c r="M103" i="1"/>
  <c r="AE103" i="1" l="1"/>
  <c r="G103" i="1" s="1"/>
  <c r="AO103" i="1"/>
  <c r="AP103" i="1" l="1"/>
  <c r="H103" i="1" s="1"/>
  <c r="K103" i="1" s="1"/>
  <c r="F103" i="1"/>
  <c r="L103" i="1" l="1"/>
  <c r="B104" i="1"/>
  <c r="C104" i="1"/>
  <c r="I104" i="1"/>
  <c r="D104" i="1"/>
  <c r="O103" i="1"/>
  <c r="P103" i="1" l="1"/>
  <c r="S104" i="1"/>
  <c r="W104" i="1"/>
  <c r="AA104" i="1"/>
  <c r="J104" i="1"/>
  <c r="T104" i="1"/>
  <c r="X104" i="1"/>
  <c r="U104" i="1"/>
  <c r="Y104" i="1"/>
  <c r="V104" i="1"/>
  <c r="Z104" i="1"/>
  <c r="CY104" i="1"/>
  <c r="DK104" i="1" s="1"/>
  <c r="CQ104" i="1"/>
  <c r="DC104" i="1" s="1"/>
  <c r="CU104" i="1"/>
  <c r="DG104" i="1" s="1"/>
  <c r="CR104" i="1"/>
  <c r="DD104" i="1" s="1"/>
  <c r="CV104" i="1"/>
  <c r="DH104" i="1" s="1"/>
  <c r="CS104" i="1"/>
  <c r="DE104" i="1" s="1"/>
  <c r="CW104" i="1"/>
  <c r="DI104" i="1" s="1"/>
  <c r="CP104" i="1"/>
  <c r="CT104" i="1"/>
  <c r="DF104" i="1" s="1"/>
  <c r="CX104" i="1"/>
  <c r="DJ104" i="1" s="1"/>
  <c r="EJ104" i="1" l="1"/>
  <c r="CO104" i="1"/>
  <c r="DB104" i="1"/>
  <c r="EK104" i="1"/>
  <c r="EF104" i="1"/>
  <c r="EL104" i="1"/>
  <c r="EG104" i="1"/>
  <c r="EI104" i="1"/>
  <c r="EH104" i="1"/>
  <c r="EE104" i="1"/>
  <c r="AB104" i="1"/>
  <c r="AC104" i="1" s="1"/>
  <c r="AU104" i="1" s="1"/>
  <c r="DP104" i="1" s="1"/>
  <c r="ED104" i="1"/>
  <c r="R104" i="1"/>
  <c r="AW104" i="1" l="1"/>
  <c r="DR104" i="1" s="1"/>
  <c r="AV104" i="1"/>
  <c r="DQ104" i="1" s="1"/>
  <c r="EN104" i="1"/>
  <c r="EO104" i="1"/>
  <c r="EP104" i="1"/>
  <c r="EQ104" i="1"/>
  <c r="ER104" i="1"/>
  <c r="AS104" i="1"/>
  <c r="BA104" i="1"/>
  <c r="DV104" i="1" s="1"/>
  <c r="AT104" i="1"/>
  <c r="DO104" i="1" s="1"/>
  <c r="AX104" i="1"/>
  <c r="DS104" i="1" s="1"/>
  <c r="AZ104" i="1"/>
  <c r="DU104" i="1" s="1"/>
  <c r="AY104" i="1"/>
  <c r="DT104" i="1" s="1"/>
  <c r="DN104" i="1" l="1"/>
  <c r="BB104" i="1"/>
  <c r="EW104" i="1"/>
  <c r="ET104" i="1"/>
  <c r="EX104" i="1"/>
  <c r="EU104" i="1"/>
  <c r="EV104" i="1"/>
  <c r="FA104" i="1" l="1"/>
  <c r="FE104" i="1"/>
  <c r="FI104" i="1"/>
  <c r="FB104" i="1"/>
  <c r="FF104" i="1"/>
  <c r="FC104" i="1"/>
  <c r="FG104" i="1"/>
  <c r="FJ104" i="1"/>
  <c r="FW104" i="1" s="1"/>
  <c r="BO104" i="1" s="1"/>
  <c r="N104" i="1" s="1"/>
  <c r="EZ104" i="1"/>
  <c r="FD104" i="1"/>
  <c r="FH104" i="1"/>
  <c r="FL104" i="1" l="1"/>
  <c r="FO104" i="1" s="1"/>
  <c r="BG104" i="1" s="1"/>
  <c r="BT104" i="1" s="1"/>
  <c r="FU104" i="1" l="1"/>
  <c r="BM104" i="1" s="1"/>
  <c r="BZ104" i="1" s="1"/>
  <c r="FV104" i="1"/>
  <c r="BN104" i="1" s="1"/>
  <c r="CA104" i="1" s="1"/>
  <c r="FN104" i="1"/>
  <c r="BF104" i="1" s="1"/>
  <c r="BS104" i="1" s="1"/>
  <c r="FR104" i="1"/>
  <c r="BJ104" i="1" s="1"/>
  <c r="BW104" i="1" s="1"/>
  <c r="FT104" i="1"/>
  <c r="BL104" i="1" s="1"/>
  <c r="BY104" i="1" s="1"/>
  <c r="FS104" i="1"/>
  <c r="BK104" i="1" s="1"/>
  <c r="BX104" i="1" s="1"/>
  <c r="FP104" i="1"/>
  <c r="BH104" i="1" s="1"/>
  <c r="BU104" i="1" s="1"/>
  <c r="FM104" i="1"/>
  <c r="BE104" i="1" s="1"/>
  <c r="BR104" i="1" s="1"/>
  <c r="FQ104" i="1"/>
  <c r="BI104" i="1" s="1"/>
  <c r="BV104" i="1" s="1"/>
  <c r="BQ104" i="1" l="1"/>
  <c r="CF104" i="1" s="1"/>
  <c r="CM104" i="1" l="1"/>
  <c r="DW104" i="1" s="1"/>
  <c r="DY104" i="1" s="1"/>
  <c r="E104" i="1" s="1"/>
  <c r="CL104" i="1"/>
  <c r="CE104" i="1"/>
  <c r="CJ104" i="1"/>
  <c r="CH104" i="1"/>
  <c r="CI104" i="1"/>
  <c r="CD104" i="1"/>
  <c r="CK104" i="1"/>
  <c r="CG104" i="1"/>
  <c r="AI104" i="1" l="1"/>
  <c r="AM104" i="1"/>
  <c r="AF104" i="1"/>
  <c r="AJ104" i="1"/>
  <c r="AN104" i="1"/>
  <c r="AG104" i="1"/>
  <c r="AK104" i="1"/>
  <c r="AH104" i="1"/>
  <c r="AL104" i="1"/>
  <c r="M104" i="1"/>
  <c r="AE104" i="1" l="1"/>
  <c r="G104" i="1" s="1"/>
  <c r="AO104" i="1"/>
  <c r="F104" i="1" l="1"/>
  <c r="AP104" i="1"/>
  <c r="H104" i="1" s="1"/>
  <c r="K104" i="1" s="1"/>
  <c r="L104" i="1" l="1"/>
  <c r="B105" i="1"/>
  <c r="C105" i="1"/>
  <c r="I105" i="1"/>
  <c r="D105" i="1"/>
  <c r="O104" i="1"/>
  <c r="P104" i="1" l="1"/>
  <c r="T105" i="1"/>
  <c r="X105" i="1"/>
  <c r="U105" i="1"/>
  <c r="Y105" i="1"/>
  <c r="V105" i="1"/>
  <c r="Z105" i="1"/>
  <c r="S105" i="1"/>
  <c r="W105" i="1"/>
  <c r="AA105" i="1"/>
  <c r="J105" i="1"/>
  <c r="CP105" i="1"/>
  <c r="CS105" i="1"/>
  <c r="DE105" i="1" s="1"/>
  <c r="CW105" i="1"/>
  <c r="DI105" i="1" s="1"/>
  <c r="CT105" i="1"/>
  <c r="DF105" i="1" s="1"/>
  <c r="CX105" i="1"/>
  <c r="DJ105" i="1" s="1"/>
  <c r="CQ105" i="1"/>
  <c r="DC105" i="1" s="1"/>
  <c r="CU105" i="1"/>
  <c r="DG105" i="1" s="1"/>
  <c r="CY105" i="1"/>
  <c r="DK105" i="1" s="1"/>
  <c r="CR105" i="1"/>
  <c r="DD105" i="1" s="1"/>
  <c r="CV105" i="1"/>
  <c r="DH105" i="1" s="1"/>
  <c r="DB105" i="1" l="1"/>
  <c r="CO105" i="1"/>
  <c r="AB105" i="1"/>
  <c r="AC105" i="1" s="1"/>
  <c r="AS105" i="1" s="1"/>
  <c r="R105" i="1"/>
  <c r="ED105" i="1"/>
  <c r="EJ105" i="1"/>
  <c r="EK105" i="1"/>
  <c r="EF105" i="1"/>
  <c r="EL105" i="1"/>
  <c r="EG105" i="1"/>
  <c r="EI105" i="1"/>
  <c r="EH105" i="1"/>
  <c r="EE105" i="1"/>
  <c r="DN105" i="1" l="1"/>
  <c r="AW105" i="1"/>
  <c r="DR105" i="1" s="1"/>
  <c r="AU105" i="1"/>
  <c r="DP105" i="1" s="1"/>
  <c r="BA105" i="1"/>
  <c r="DV105" i="1" s="1"/>
  <c r="ER105" i="1"/>
  <c r="EO105" i="1"/>
  <c r="EN105" i="1"/>
  <c r="EP105" i="1"/>
  <c r="EQ105" i="1"/>
  <c r="AV105" i="1"/>
  <c r="DQ105" i="1" s="1"/>
  <c r="AY105" i="1"/>
  <c r="DT105" i="1" s="1"/>
  <c r="AT105" i="1"/>
  <c r="DO105" i="1" s="1"/>
  <c r="AX105" i="1"/>
  <c r="DS105" i="1" s="1"/>
  <c r="AZ105" i="1"/>
  <c r="DU105" i="1" s="1"/>
  <c r="ET105" i="1" l="1"/>
  <c r="EW105" i="1"/>
  <c r="EU105" i="1"/>
  <c r="EV105" i="1"/>
  <c r="EX105" i="1"/>
  <c r="BB105" i="1"/>
  <c r="FB105" i="1" l="1"/>
  <c r="FF105" i="1"/>
  <c r="FC105" i="1"/>
  <c r="FG105" i="1"/>
  <c r="FJ105" i="1"/>
  <c r="FW105" i="1" s="1"/>
  <c r="BO105" i="1" s="1"/>
  <c r="N105" i="1" s="1"/>
  <c r="EZ105" i="1"/>
  <c r="FD105" i="1"/>
  <c r="FH105" i="1"/>
  <c r="FA105" i="1"/>
  <c r="FE105" i="1"/>
  <c r="FI105" i="1"/>
  <c r="FL105" i="1" l="1"/>
  <c r="FV105" i="1" s="1"/>
  <c r="BN105" i="1" s="1"/>
  <c r="CA105" i="1" s="1"/>
  <c r="FN105" i="1" l="1"/>
  <c r="BF105" i="1" s="1"/>
  <c r="BS105" i="1" s="1"/>
  <c r="FO105" i="1"/>
  <c r="BG105" i="1" s="1"/>
  <c r="BT105" i="1" s="1"/>
  <c r="FT105" i="1"/>
  <c r="BL105" i="1" s="1"/>
  <c r="BY105" i="1" s="1"/>
  <c r="FR105" i="1"/>
  <c r="BJ105" i="1" s="1"/>
  <c r="BW105" i="1" s="1"/>
  <c r="FP105" i="1"/>
  <c r="BH105" i="1" s="1"/>
  <c r="BU105" i="1" s="1"/>
  <c r="FS105" i="1"/>
  <c r="BK105" i="1" s="1"/>
  <c r="BX105" i="1" s="1"/>
  <c r="FU105" i="1"/>
  <c r="BM105" i="1" s="1"/>
  <c r="BZ105" i="1" s="1"/>
  <c r="FM105" i="1"/>
  <c r="BE105" i="1" s="1"/>
  <c r="BR105" i="1" s="1"/>
  <c r="FQ105" i="1"/>
  <c r="BI105" i="1" s="1"/>
  <c r="BV105" i="1" s="1"/>
  <c r="BQ105" i="1" l="1"/>
  <c r="CL105" i="1" s="1"/>
  <c r="CD105" i="1" l="1"/>
  <c r="CJ105" i="1"/>
  <c r="CH105" i="1"/>
  <c r="CM105" i="1"/>
  <c r="DW105" i="1" s="1"/>
  <c r="DY105" i="1" s="1"/>
  <c r="E105" i="1" s="1"/>
  <c r="CK105" i="1"/>
  <c r="CI105" i="1"/>
  <c r="CE105" i="1"/>
  <c r="CF105" i="1"/>
  <c r="CG105" i="1"/>
  <c r="AF105" i="1" l="1"/>
  <c r="AJ105" i="1"/>
  <c r="AN105" i="1"/>
  <c r="AG105" i="1"/>
  <c r="AK105" i="1"/>
  <c r="AH105" i="1"/>
  <c r="AL105" i="1"/>
  <c r="AI105" i="1"/>
  <c r="AM105" i="1"/>
  <c r="M105" i="1"/>
  <c r="AE105" i="1" l="1"/>
  <c r="G105" i="1" s="1"/>
  <c r="AO105" i="1"/>
  <c r="F105" i="1" l="1"/>
  <c r="AP105" i="1"/>
  <c r="H105" i="1" s="1"/>
  <c r="K105" i="1" s="1"/>
  <c r="C106" i="1" l="1"/>
  <c r="I106" i="1"/>
  <c r="D106" i="1"/>
  <c r="O105" i="1"/>
  <c r="L105" i="1"/>
  <c r="B106" i="1"/>
  <c r="P105" i="1" l="1"/>
  <c r="U106" i="1"/>
  <c r="Y106" i="1"/>
  <c r="V106" i="1"/>
  <c r="Z106" i="1"/>
  <c r="S106" i="1"/>
  <c r="W106" i="1"/>
  <c r="AA106" i="1"/>
  <c r="J106" i="1"/>
  <c r="T106" i="1"/>
  <c r="X106" i="1"/>
  <c r="CT106" i="1"/>
  <c r="DF106" i="1" s="1"/>
  <c r="CX106" i="1"/>
  <c r="DJ106" i="1" s="1"/>
  <c r="CQ106" i="1"/>
  <c r="DC106" i="1" s="1"/>
  <c r="CU106" i="1"/>
  <c r="DG106" i="1" s="1"/>
  <c r="CY106" i="1"/>
  <c r="CR106" i="1"/>
  <c r="DD106" i="1" s="1"/>
  <c r="CV106" i="1"/>
  <c r="DH106" i="1" s="1"/>
  <c r="CP106" i="1"/>
  <c r="CS106" i="1"/>
  <c r="DE106" i="1" s="1"/>
  <c r="CW106" i="1"/>
  <c r="DI106" i="1" s="1"/>
  <c r="DK106" i="1" l="1"/>
  <c r="EL106" i="1"/>
  <c r="EG106" i="1"/>
  <c r="DB106" i="1"/>
  <c r="CO106" i="1"/>
  <c r="EI106" i="1"/>
  <c r="EH106" i="1"/>
  <c r="EE106" i="1"/>
  <c r="R106" i="1"/>
  <c r="ED106" i="1"/>
  <c r="AB106" i="1"/>
  <c r="AC106" i="1" s="1"/>
  <c r="AX106" i="1" s="1"/>
  <c r="DS106" i="1" s="1"/>
  <c r="EJ106" i="1"/>
  <c r="EK106" i="1"/>
  <c r="EF106" i="1"/>
  <c r="AZ106" i="1" l="1"/>
  <c r="DU106" i="1" s="1"/>
  <c r="EO106" i="1"/>
  <c r="EN106" i="1"/>
  <c r="EP106" i="1"/>
  <c r="ER106" i="1"/>
  <c r="EQ106" i="1"/>
  <c r="AV106" i="1"/>
  <c r="DQ106" i="1" s="1"/>
  <c r="AY106" i="1"/>
  <c r="DT106" i="1" s="1"/>
  <c r="AW106" i="1"/>
  <c r="DR106" i="1" s="1"/>
  <c r="AU106" i="1"/>
  <c r="DP106" i="1" s="1"/>
  <c r="AS106" i="1"/>
  <c r="BA106" i="1"/>
  <c r="DV106" i="1" s="1"/>
  <c r="AT106" i="1"/>
  <c r="DO106" i="1" s="1"/>
  <c r="EU106" i="1" l="1"/>
  <c r="ET106" i="1"/>
  <c r="EV106" i="1"/>
  <c r="EX106" i="1"/>
  <c r="EW106" i="1"/>
  <c r="DN106" i="1"/>
  <c r="BB106" i="1"/>
  <c r="FC106" i="1" l="1"/>
  <c r="FG106" i="1"/>
  <c r="FJ106" i="1"/>
  <c r="FW106" i="1" s="1"/>
  <c r="BO106" i="1" s="1"/>
  <c r="N106" i="1" s="1"/>
  <c r="EZ106" i="1"/>
  <c r="FD106" i="1"/>
  <c r="FH106" i="1"/>
  <c r="FA106" i="1"/>
  <c r="FE106" i="1"/>
  <c r="FI106" i="1"/>
  <c r="FB106" i="1"/>
  <c r="FF106" i="1"/>
  <c r="FL106" i="1" l="1"/>
  <c r="FO106" i="1" s="1"/>
  <c r="BG106" i="1" s="1"/>
  <c r="BT106" i="1" s="1"/>
  <c r="FQ106" i="1" l="1"/>
  <c r="BI106" i="1" s="1"/>
  <c r="BV106" i="1" s="1"/>
  <c r="FT106" i="1"/>
  <c r="BL106" i="1" s="1"/>
  <c r="BY106" i="1" s="1"/>
  <c r="FN106" i="1"/>
  <c r="BF106" i="1" s="1"/>
  <c r="BS106" i="1" s="1"/>
  <c r="FR106" i="1"/>
  <c r="BJ106" i="1" s="1"/>
  <c r="BW106" i="1" s="1"/>
  <c r="FS106" i="1"/>
  <c r="BK106" i="1" s="1"/>
  <c r="BX106" i="1" s="1"/>
  <c r="FV106" i="1"/>
  <c r="BN106" i="1" s="1"/>
  <c r="CA106" i="1" s="1"/>
  <c r="FU106" i="1"/>
  <c r="BM106" i="1" s="1"/>
  <c r="BZ106" i="1" s="1"/>
  <c r="FM106" i="1"/>
  <c r="BE106" i="1" s="1"/>
  <c r="BR106" i="1" s="1"/>
  <c r="FP106" i="1"/>
  <c r="BH106" i="1" s="1"/>
  <c r="BU106" i="1" s="1"/>
  <c r="BQ106" i="1" l="1"/>
  <c r="CF106" i="1" s="1"/>
  <c r="CM106" i="1" l="1"/>
  <c r="DW106" i="1" s="1"/>
  <c r="DY106" i="1" s="1"/>
  <c r="E106" i="1" s="1"/>
  <c r="CK106" i="1"/>
  <c r="CD106" i="1"/>
  <c r="CG106" i="1"/>
  <c r="CI106" i="1"/>
  <c r="CH106" i="1"/>
  <c r="CE106" i="1"/>
  <c r="CJ106" i="1"/>
  <c r="CL106" i="1"/>
  <c r="AG106" i="1" l="1"/>
  <c r="AK106" i="1"/>
  <c r="AH106" i="1"/>
  <c r="AL106" i="1"/>
  <c r="AI106" i="1"/>
  <c r="AM106" i="1"/>
  <c r="AF106" i="1"/>
  <c r="AJ106" i="1"/>
  <c r="AN106" i="1"/>
  <c r="M106" i="1"/>
  <c r="AO106" i="1" l="1"/>
  <c r="AE106" i="1"/>
  <c r="G106" i="1" s="1"/>
  <c r="AP106" i="1" l="1"/>
  <c r="H106" i="1" s="1"/>
  <c r="K106" i="1" s="1"/>
  <c r="F106" i="1"/>
  <c r="D107" i="1" l="1"/>
  <c r="O106" i="1"/>
  <c r="L106" i="1"/>
  <c r="B107" i="1"/>
  <c r="C107" i="1"/>
  <c r="I107" i="1"/>
  <c r="P106" i="1" l="1"/>
  <c r="CQ107" i="1"/>
  <c r="DC107" i="1" s="1"/>
  <c r="CU107" i="1"/>
  <c r="DG107" i="1" s="1"/>
  <c r="CY107" i="1"/>
  <c r="CR107" i="1"/>
  <c r="DD107" i="1" s="1"/>
  <c r="CV107" i="1"/>
  <c r="DH107" i="1" s="1"/>
  <c r="CP107" i="1"/>
  <c r="CS107" i="1"/>
  <c r="DE107" i="1" s="1"/>
  <c r="CW107" i="1"/>
  <c r="DI107" i="1" s="1"/>
  <c r="CT107" i="1"/>
  <c r="DF107" i="1" s="1"/>
  <c r="CX107" i="1"/>
  <c r="DJ107" i="1" s="1"/>
  <c r="V107" i="1"/>
  <c r="Z107" i="1"/>
  <c r="S107" i="1"/>
  <c r="W107" i="1"/>
  <c r="AA107" i="1"/>
  <c r="J107" i="1"/>
  <c r="T107" i="1"/>
  <c r="X107" i="1"/>
  <c r="U107" i="1"/>
  <c r="Y107" i="1"/>
  <c r="DK107" i="1" l="1"/>
  <c r="EG107" i="1"/>
  <c r="EI107" i="1"/>
  <c r="EH107" i="1"/>
  <c r="EE107" i="1"/>
  <c r="AB107" i="1"/>
  <c r="AC107" i="1" s="1"/>
  <c r="AW107" i="1" s="1"/>
  <c r="DR107" i="1" s="1"/>
  <c r="R107" i="1"/>
  <c r="ED107" i="1"/>
  <c r="EJ107" i="1"/>
  <c r="EK107" i="1"/>
  <c r="EF107" i="1"/>
  <c r="CO107" i="1"/>
  <c r="DB107" i="1"/>
  <c r="EL107" i="1"/>
  <c r="AZ107" i="1" l="1"/>
  <c r="DU107" i="1" s="1"/>
  <c r="EP107" i="1"/>
  <c r="ER107" i="1"/>
  <c r="EQ107" i="1"/>
  <c r="EO107" i="1"/>
  <c r="EN107" i="1"/>
  <c r="AT107" i="1"/>
  <c r="DO107" i="1" s="1"/>
  <c r="AX107" i="1"/>
  <c r="DS107" i="1" s="1"/>
  <c r="AV107" i="1"/>
  <c r="DQ107" i="1" s="1"/>
  <c r="BA107" i="1"/>
  <c r="DV107" i="1" s="1"/>
  <c r="AU107" i="1"/>
  <c r="DP107" i="1" s="1"/>
  <c r="AY107" i="1"/>
  <c r="DT107" i="1" s="1"/>
  <c r="AS107" i="1"/>
  <c r="EU107" i="1" l="1"/>
  <c r="EW107" i="1"/>
  <c r="EX107" i="1"/>
  <c r="EV107" i="1"/>
  <c r="ET107" i="1"/>
  <c r="DN107" i="1"/>
  <c r="BB107" i="1"/>
  <c r="FJ107" i="1" l="1"/>
  <c r="FW107" i="1" s="1"/>
  <c r="BO107" i="1" s="1"/>
  <c r="N107" i="1" s="1"/>
  <c r="EZ107" i="1"/>
  <c r="FD107" i="1"/>
  <c r="FH107" i="1"/>
  <c r="FA107" i="1"/>
  <c r="FE107" i="1"/>
  <c r="FI107" i="1"/>
  <c r="FB107" i="1"/>
  <c r="FF107" i="1"/>
  <c r="FC107" i="1"/>
  <c r="FG107" i="1"/>
  <c r="FL107" i="1" l="1"/>
  <c r="FP107" i="1" s="1"/>
  <c r="BH107" i="1" s="1"/>
  <c r="BU107" i="1" s="1"/>
  <c r="FU107" i="1" l="1"/>
  <c r="BM107" i="1" s="1"/>
  <c r="BZ107" i="1" s="1"/>
  <c r="FQ107" i="1"/>
  <c r="BI107" i="1" s="1"/>
  <c r="BV107" i="1" s="1"/>
  <c r="FM107" i="1"/>
  <c r="BE107" i="1" s="1"/>
  <c r="BR107" i="1" s="1"/>
  <c r="FO107" i="1"/>
  <c r="BG107" i="1" s="1"/>
  <c r="BT107" i="1" s="1"/>
  <c r="FR107" i="1"/>
  <c r="BJ107" i="1" s="1"/>
  <c r="BW107" i="1" s="1"/>
  <c r="FV107" i="1"/>
  <c r="BN107" i="1" s="1"/>
  <c r="CA107" i="1" s="1"/>
  <c r="FN107" i="1"/>
  <c r="BF107" i="1" s="1"/>
  <c r="BS107" i="1" s="1"/>
  <c r="FT107" i="1"/>
  <c r="BL107" i="1" s="1"/>
  <c r="BY107" i="1" s="1"/>
  <c r="FS107" i="1"/>
  <c r="BK107" i="1" s="1"/>
  <c r="BX107" i="1" s="1"/>
  <c r="BQ107" i="1" l="1"/>
  <c r="CG107" i="1" s="1"/>
  <c r="CJ107" i="1" l="1"/>
  <c r="CL107" i="1"/>
  <c r="CF107" i="1"/>
  <c r="CI107" i="1"/>
  <c r="CD107" i="1"/>
  <c r="CH107" i="1"/>
  <c r="CK107" i="1"/>
  <c r="CM107" i="1"/>
  <c r="DW107" i="1" s="1"/>
  <c r="DY107" i="1" s="1"/>
  <c r="E107" i="1" s="1"/>
  <c r="CE107" i="1"/>
  <c r="AH107" i="1" l="1"/>
  <c r="AL107" i="1"/>
  <c r="AI107" i="1"/>
  <c r="AM107" i="1"/>
  <c r="AF107" i="1"/>
  <c r="AJ107" i="1"/>
  <c r="AN107" i="1"/>
  <c r="AG107" i="1"/>
  <c r="AK107" i="1"/>
  <c r="M107" i="1"/>
  <c r="AE107" i="1" l="1"/>
  <c r="G107" i="1" s="1"/>
  <c r="AO107" i="1"/>
  <c r="AP107" i="1" l="1"/>
  <c r="H107" i="1" s="1"/>
  <c r="K107" i="1" s="1"/>
  <c r="F107" i="1"/>
  <c r="L107" i="1" l="1"/>
  <c r="B108" i="1"/>
  <c r="C108" i="1"/>
  <c r="I108" i="1"/>
  <c r="D108" i="1"/>
  <c r="O107" i="1"/>
  <c r="P107" i="1" l="1"/>
  <c r="S108" i="1"/>
  <c r="W108" i="1"/>
  <c r="AA108" i="1"/>
  <c r="J108" i="1"/>
  <c r="T108" i="1"/>
  <c r="X108" i="1"/>
  <c r="U108" i="1"/>
  <c r="Y108" i="1"/>
  <c r="V108" i="1"/>
  <c r="Z108" i="1"/>
  <c r="CY108" i="1"/>
  <c r="CR108" i="1"/>
  <c r="DD108" i="1" s="1"/>
  <c r="CV108" i="1"/>
  <c r="DH108" i="1" s="1"/>
  <c r="CP108" i="1"/>
  <c r="CS108" i="1"/>
  <c r="DE108" i="1" s="1"/>
  <c r="CW108" i="1"/>
  <c r="DI108" i="1" s="1"/>
  <c r="CT108" i="1"/>
  <c r="DF108" i="1" s="1"/>
  <c r="CX108" i="1"/>
  <c r="DJ108" i="1" s="1"/>
  <c r="CQ108" i="1"/>
  <c r="DC108" i="1" s="1"/>
  <c r="CU108" i="1"/>
  <c r="DG108" i="1" s="1"/>
  <c r="DK108" i="1" l="1"/>
  <c r="EJ108" i="1"/>
  <c r="DB108" i="1"/>
  <c r="CO108" i="1"/>
  <c r="EK108" i="1"/>
  <c r="EF108" i="1"/>
  <c r="EL108" i="1"/>
  <c r="EG108" i="1"/>
  <c r="EI108" i="1"/>
  <c r="EH108" i="1"/>
  <c r="EE108" i="1"/>
  <c r="ED108" i="1"/>
  <c r="AB108" i="1"/>
  <c r="AC108" i="1" s="1"/>
  <c r="AV108" i="1" s="1"/>
  <c r="DQ108" i="1" s="1"/>
  <c r="R108" i="1"/>
  <c r="EP108" i="1" l="1"/>
  <c r="EN108" i="1"/>
  <c r="EQ108" i="1"/>
  <c r="ER108" i="1"/>
  <c r="EO108" i="1"/>
  <c r="AU108" i="1"/>
  <c r="DP108" i="1" s="1"/>
  <c r="AY108" i="1"/>
  <c r="DT108" i="1" s="1"/>
  <c r="AW108" i="1"/>
  <c r="DR108" i="1" s="1"/>
  <c r="BA108" i="1"/>
  <c r="DV108" i="1" s="1"/>
  <c r="AS108" i="1"/>
  <c r="AT108" i="1"/>
  <c r="DO108" i="1" s="1"/>
  <c r="AX108" i="1"/>
  <c r="DS108" i="1" s="1"/>
  <c r="AZ108" i="1"/>
  <c r="DU108" i="1" s="1"/>
  <c r="DN108" i="1" l="1"/>
  <c r="BB108" i="1"/>
  <c r="EW108" i="1"/>
  <c r="EU108" i="1"/>
  <c r="ET108" i="1"/>
  <c r="EV108" i="1"/>
  <c r="EX108" i="1"/>
  <c r="FA108" i="1" l="1"/>
  <c r="FE108" i="1"/>
  <c r="FI108" i="1"/>
  <c r="FB108" i="1"/>
  <c r="FF108" i="1"/>
  <c r="FC108" i="1"/>
  <c r="FG108" i="1"/>
  <c r="FJ108" i="1"/>
  <c r="FW108" i="1" s="1"/>
  <c r="BO108" i="1" s="1"/>
  <c r="N108" i="1" s="1"/>
  <c r="EZ108" i="1"/>
  <c r="FD108" i="1"/>
  <c r="FH108" i="1"/>
  <c r="FL108" i="1" l="1"/>
  <c r="FU108" i="1" s="1"/>
  <c r="BM108" i="1" s="1"/>
  <c r="BZ108" i="1" s="1"/>
  <c r="FM108" i="1" l="1"/>
  <c r="BE108" i="1" s="1"/>
  <c r="BR108" i="1" s="1"/>
  <c r="FO108" i="1"/>
  <c r="BG108" i="1" s="1"/>
  <c r="BT108" i="1" s="1"/>
  <c r="FR108" i="1"/>
  <c r="BJ108" i="1" s="1"/>
  <c r="BW108" i="1" s="1"/>
  <c r="FT108" i="1"/>
  <c r="BL108" i="1" s="1"/>
  <c r="BY108" i="1" s="1"/>
  <c r="FQ108" i="1"/>
  <c r="BI108" i="1" s="1"/>
  <c r="BV108" i="1" s="1"/>
  <c r="FV108" i="1"/>
  <c r="BN108" i="1" s="1"/>
  <c r="CA108" i="1" s="1"/>
  <c r="FN108" i="1"/>
  <c r="BF108" i="1" s="1"/>
  <c r="BS108" i="1" s="1"/>
  <c r="FS108" i="1"/>
  <c r="BK108" i="1" s="1"/>
  <c r="BX108" i="1" s="1"/>
  <c r="FP108" i="1"/>
  <c r="BH108" i="1" s="1"/>
  <c r="BU108" i="1" s="1"/>
  <c r="BQ108" i="1" l="1"/>
  <c r="CL108" i="1" s="1"/>
  <c r="CG108" i="1" l="1"/>
  <c r="CD108" i="1"/>
  <c r="CK108" i="1"/>
  <c r="CM108" i="1"/>
  <c r="DW108" i="1" s="1"/>
  <c r="DY108" i="1" s="1"/>
  <c r="E108" i="1" s="1"/>
  <c r="AI108" i="1" s="1"/>
  <c r="CF108" i="1"/>
  <c r="CI108" i="1"/>
  <c r="CJ108" i="1"/>
  <c r="CH108" i="1"/>
  <c r="CE108" i="1"/>
  <c r="AH108" i="1" l="1"/>
  <c r="AK108" i="1"/>
  <c r="AF108" i="1"/>
  <c r="M108" i="1"/>
  <c r="AG108" i="1"/>
  <c r="AM108" i="1"/>
  <c r="AJ108" i="1"/>
  <c r="AL108" i="1"/>
  <c r="AN108" i="1"/>
  <c r="AE108" i="1" l="1"/>
  <c r="G108" i="1" s="1"/>
  <c r="AO108" i="1"/>
  <c r="F108" i="1" s="1"/>
  <c r="AP108" i="1" l="1"/>
  <c r="H108" i="1" s="1"/>
  <c r="K108" i="1" s="1"/>
  <c r="L108" i="1" s="1"/>
  <c r="I109" i="1" l="1"/>
  <c r="C109" i="1"/>
  <c r="D109" i="1"/>
  <c r="U109" i="1" s="1"/>
  <c r="O108" i="1"/>
  <c r="P108" i="1" s="1"/>
  <c r="B109" i="1"/>
  <c r="CX109" i="1" l="1"/>
  <c r="DJ109" i="1" s="1"/>
  <c r="J109" i="1"/>
  <c r="CP109" i="1"/>
  <c r="DB109" i="1" s="1"/>
  <c r="CQ109" i="1"/>
  <c r="DC109" i="1" s="1"/>
  <c r="CY109" i="1"/>
  <c r="DK109" i="1" s="1"/>
  <c r="CV109" i="1"/>
  <c r="DH109" i="1" s="1"/>
  <c r="Z109" i="1"/>
  <c r="EK109" i="1" s="1"/>
  <c r="X109" i="1"/>
  <c r="EI109" i="1" s="1"/>
  <c r="T109" i="1"/>
  <c r="EE109" i="1" s="1"/>
  <c r="AA109" i="1"/>
  <c r="EL109" i="1" s="1"/>
  <c r="CW109" i="1"/>
  <c r="DI109" i="1" s="1"/>
  <c r="CR109" i="1"/>
  <c r="DD109" i="1" s="1"/>
  <c r="CT109" i="1"/>
  <c r="DF109" i="1" s="1"/>
  <c r="W109" i="1"/>
  <c r="EH109" i="1" s="1"/>
  <c r="Y109" i="1"/>
  <c r="EJ109" i="1" s="1"/>
  <c r="V109" i="1"/>
  <c r="CS109" i="1"/>
  <c r="DE109" i="1" s="1"/>
  <c r="CU109" i="1"/>
  <c r="DG109" i="1" s="1"/>
  <c r="S109" i="1"/>
  <c r="ED109" i="1" s="1"/>
  <c r="EF109" i="1"/>
  <c r="AB109" i="1" l="1"/>
  <c r="AC109" i="1" s="1"/>
  <c r="AS109" i="1" s="1"/>
  <c r="DN109" i="1" s="1"/>
  <c r="R109" i="1"/>
  <c r="EG109" i="1"/>
  <c r="EP109" i="1" s="1"/>
  <c r="CO109" i="1"/>
  <c r="AX109" i="1" l="1"/>
  <c r="DS109" i="1" s="1"/>
  <c r="AY109" i="1"/>
  <c r="DT109" i="1" s="1"/>
  <c r="AU109" i="1"/>
  <c r="DP109" i="1" s="1"/>
  <c r="AV109" i="1"/>
  <c r="DQ109" i="1" s="1"/>
  <c r="AZ109" i="1"/>
  <c r="DU109" i="1" s="1"/>
  <c r="AW109" i="1"/>
  <c r="DR109" i="1" s="1"/>
  <c r="EO109" i="1"/>
  <c r="EQ109" i="1"/>
  <c r="AT109" i="1"/>
  <c r="DO109" i="1" s="1"/>
  <c r="BA109" i="1"/>
  <c r="DV109" i="1" s="1"/>
  <c r="ER109" i="1"/>
  <c r="EN109" i="1"/>
  <c r="EU109" i="1" l="1"/>
  <c r="BB109" i="1"/>
  <c r="EV109" i="1"/>
  <c r="EW109" i="1"/>
  <c r="EX109" i="1"/>
  <c r="ET109" i="1"/>
  <c r="FB109" i="1" l="1"/>
  <c r="FH109" i="1"/>
  <c r="FI109" i="1"/>
  <c r="FD109" i="1"/>
  <c r="FC109" i="1"/>
  <c r="EZ109" i="1"/>
  <c r="FF109" i="1"/>
  <c r="FG109" i="1"/>
  <c r="FE109" i="1"/>
  <c r="FA109" i="1"/>
  <c r="FJ109" i="1"/>
  <c r="FW109" i="1" s="1"/>
  <c r="BO109" i="1" s="1"/>
  <c r="N109" i="1" s="1"/>
  <c r="FL109" i="1" l="1"/>
  <c r="FU109" i="1" s="1"/>
  <c r="BM109" i="1" s="1"/>
  <c r="BZ109" i="1" s="1"/>
  <c r="FP109" i="1" l="1"/>
  <c r="BH109" i="1" s="1"/>
  <c r="BU109" i="1" s="1"/>
  <c r="FS109" i="1"/>
  <c r="BK109" i="1" s="1"/>
  <c r="BX109" i="1" s="1"/>
  <c r="FQ109" i="1"/>
  <c r="BI109" i="1" s="1"/>
  <c r="BV109" i="1" s="1"/>
  <c r="FT109" i="1"/>
  <c r="BL109" i="1" s="1"/>
  <c r="BY109" i="1" s="1"/>
  <c r="FN109" i="1"/>
  <c r="BF109" i="1" s="1"/>
  <c r="BS109" i="1" s="1"/>
  <c r="FR109" i="1"/>
  <c r="BJ109" i="1" s="1"/>
  <c r="BW109" i="1" s="1"/>
  <c r="FO109" i="1"/>
  <c r="BG109" i="1" s="1"/>
  <c r="BT109" i="1" s="1"/>
  <c r="FV109" i="1"/>
  <c r="BN109" i="1" s="1"/>
  <c r="CA109" i="1" s="1"/>
  <c r="FM109" i="1"/>
  <c r="BE109" i="1" s="1"/>
  <c r="BR109" i="1" s="1"/>
  <c r="BQ109" i="1" l="1"/>
  <c r="CL109" i="1" s="1"/>
  <c r="CE109" i="1" l="1"/>
  <c r="CH109" i="1"/>
  <c r="CJ109" i="1"/>
  <c r="CF109" i="1"/>
  <c r="CG109" i="1"/>
  <c r="CI109" i="1"/>
  <c r="CM109" i="1"/>
  <c r="DW109" i="1" s="1"/>
  <c r="DY109" i="1" s="1"/>
  <c r="E109" i="1" s="1"/>
  <c r="AN109" i="1" s="1"/>
  <c r="CD109" i="1"/>
  <c r="CK109" i="1"/>
  <c r="AM109" i="1" l="1"/>
  <c r="AH109" i="1"/>
  <c r="AI109" i="1"/>
  <c r="M109" i="1"/>
  <c r="AJ109" i="1"/>
  <c r="AK109" i="1"/>
  <c r="AF109" i="1"/>
  <c r="AG109" i="1"/>
  <c r="AL109" i="1"/>
  <c r="AO109" i="1" l="1"/>
  <c r="F109" i="1" s="1"/>
  <c r="AE109" i="1"/>
  <c r="G109" i="1" s="1"/>
  <c r="AP109" i="1" l="1"/>
  <c r="H109" i="1" s="1"/>
  <c r="K109" i="1" s="1"/>
  <c r="C110" i="1" s="1"/>
  <c r="L109" i="1" l="1"/>
  <c r="B110" i="1"/>
  <c r="O109" i="1"/>
  <c r="I110" i="1"/>
  <c r="D110" i="1"/>
  <c r="Z110" i="1" s="1"/>
  <c r="P109" i="1" l="1"/>
  <c r="CS110" i="1"/>
  <c r="DE110" i="1" s="1"/>
  <c r="CT110" i="1"/>
  <c r="DF110" i="1" s="1"/>
  <c r="CY110" i="1"/>
  <c r="CX110" i="1"/>
  <c r="DJ110" i="1" s="1"/>
  <c r="CP110" i="1"/>
  <c r="DB110" i="1" s="1"/>
  <c r="X110" i="1"/>
  <c r="EI110" i="1" s="1"/>
  <c r="CW110" i="1"/>
  <c r="DI110" i="1" s="1"/>
  <c r="AA110" i="1"/>
  <c r="EL110" i="1" s="1"/>
  <c r="CV110" i="1"/>
  <c r="DH110" i="1" s="1"/>
  <c r="V110" i="1"/>
  <c r="EG110" i="1" s="1"/>
  <c r="CQ110" i="1"/>
  <c r="DC110" i="1" s="1"/>
  <c r="W110" i="1"/>
  <c r="EH110" i="1" s="1"/>
  <c r="Y110" i="1"/>
  <c r="EJ110" i="1" s="1"/>
  <c r="CR110" i="1"/>
  <c r="DD110" i="1" s="1"/>
  <c r="T110" i="1"/>
  <c r="EE110" i="1" s="1"/>
  <c r="S110" i="1"/>
  <c r="ED110" i="1" s="1"/>
  <c r="U110" i="1"/>
  <c r="EF110" i="1" s="1"/>
  <c r="CU110" i="1"/>
  <c r="DG110" i="1" s="1"/>
  <c r="J110" i="1"/>
  <c r="EK110" i="1"/>
  <c r="DK110" i="1" l="1"/>
  <c r="R110" i="1"/>
  <c r="AB110" i="1"/>
  <c r="AC110" i="1" s="1"/>
  <c r="AV110" i="1" s="1"/>
  <c r="DQ110" i="1" s="1"/>
  <c r="CO110" i="1"/>
  <c r="EN110" i="1"/>
  <c r="EO110" i="1"/>
  <c r="EQ110" i="1"/>
  <c r="ER110" i="1"/>
  <c r="EP110" i="1"/>
  <c r="AT110" i="1" l="1"/>
  <c r="DO110" i="1" s="1"/>
  <c r="BA110" i="1"/>
  <c r="DV110" i="1" s="1"/>
  <c r="AU110" i="1"/>
  <c r="DP110" i="1" s="1"/>
  <c r="AY110" i="1"/>
  <c r="DT110" i="1" s="1"/>
  <c r="AZ110" i="1"/>
  <c r="DU110" i="1" s="1"/>
  <c r="AW110" i="1"/>
  <c r="DR110" i="1" s="1"/>
  <c r="AX110" i="1"/>
  <c r="DS110" i="1" s="1"/>
  <c r="AS110" i="1"/>
  <c r="DN110" i="1" s="1"/>
  <c r="EU110" i="1"/>
  <c r="EV110" i="1"/>
  <c r="EW110" i="1"/>
  <c r="ET110" i="1"/>
  <c r="EX110" i="1"/>
  <c r="BB110" i="1" l="1"/>
  <c r="FC110" i="1"/>
  <c r="FG110" i="1"/>
  <c r="FJ110" i="1"/>
  <c r="FW110" i="1" s="1"/>
  <c r="BO110" i="1" s="1"/>
  <c r="N110" i="1" s="1"/>
  <c r="EZ110" i="1"/>
  <c r="FD110" i="1"/>
  <c r="FH110" i="1"/>
  <c r="FA110" i="1"/>
  <c r="FE110" i="1"/>
  <c r="FI110" i="1"/>
  <c r="FB110" i="1"/>
  <c r="FF110" i="1"/>
  <c r="FL110" i="1" l="1"/>
  <c r="FR110" i="1" s="1"/>
  <c r="BJ110" i="1" s="1"/>
  <c r="BW110" i="1" s="1"/>
  <c r="FT110" i="1" l="1"/>
  <c r="BL110" i="1" s="1"/>
  <c r="BY110" i="1" s="1"/>
  <c r="FS110" i="1"/>
  <c r="BK110" i="1" s="1"/>
  <c r="BX110" i="1" s="1"/>
  <c r="FP110" i="1"/>
  <c r="BH110" i="1" s="1"/>
  <c r="BU110" i="1" s="1"/>
  <c r="FU110" i="1"/>
  <c r="BM110" i="1" s="1"/>
  <c r="BZ110" i="1" s="1"/>
  <c r="FM110" i="1"/>
  <c r="BE110" i="1" s="1"/>
  <c r="BR110" i="1" s="1"/>
  <c r="FQ110" i="1"/>
  <c r="BI110" i="1" s="1"/>
  <c r="BV110" i="1" s="1"/>
  <c r="FO110" i="1"/>
  <c r="BG110" i="1" s="1"/>
  <c r="BT110" i="1" s="1"/>
  <c r="FV110" i="1"/>
  <c r="BN110" i="1" s="1"/>
  <c r="CA110" i="1" s="1"/>
  <c r="FN110" i="1"/>
  <c r="BF110" i="1" s="1"/>
  <c r="BS110" i="1" s="1"/>
  <c r="BQ110" i="1" l="1"/>
  <c r="CI110" i="1" s="1"/>
  <c r="CH110" i="1" l="1"/>
  <c r="CK110" i="1"/>
  <c r="CL110" i="1"/>
  <c r="CE110" i="1"/>
  <c r="CJ110" i="1"/>
  <c r="CG110" i="1"/>
  <c r="CM110" i="1"/>
  <c r="DW110" i="1" s="1"/>
  <c r="DY110" i="1" s="1"/>
  <c r="E110" i="1" s="1"/>
  <c r="CD110" i="1"/>
  <c r="CF110" i="1"/>
  <c r="AG110" i="1" l="1"/>
  <c r="AK110" i="1"/>
  <c r="AH110" i="1"/>
  <c r="AL110" i="1"/>
  <c r="AI110" i="1"/>
  <c r="AM110" i="1"/>
  <c r="AF110" i="1"/>
  <c r="AJ110" i="1"/>
  <c r="AN110" i="1"/>
  <c r="M110" i="1"/>
  <c r="AO110" i="1" l="1"/>
  <c r="AE110" i="1"/>
  <c r="G110" i="1" s="1"/>
  <c r="AP110" i="1" l="1"/>
  <c r="H110" i="1" s="1"/>
  <c r="K110" i="1" s="1"/>
  <c r="F110" i="1"/>
  <c r="D111" i="1" l="1"/>
  <c r="O110" i="1"/>
  <c r="L110" i="1"/>
  <c r="P110" i="1" s="1"/>
  <c r="B111" i="1"/>
  <c r="C111" i="1"/>
  <c r="I111" i="1"/>
  <c r="CQ111" i="1" l="1"/>
  <c r="DC111" i="1" s="1"/>
  <c r="CU111" i="1"/>
  <c r="DG111" i="1" s="1"/>
  <c r="CY111" i="1"/>
  <c r="DK111" i="1" s="1"/>
  <c r="CR111" i="1"/>
  <c r="DD111" i="1" s="1"/>
  <c r="CV111" i="1"/>
  <c r="DH111" i="1" s="1"/>
  <c r="CP111" i="1"/>
  <c r="CS111" i="1"/>
  <c r="DE111" i="1" s="1"/>
  <c r="CW111" i="1"/>
  <c r="DI111" i="1" s="1"/>
  <c r="CT111" i="1"/>
  <c r="DF111" i="1" s="1"/>
  <c r="CX111" i="1"/>
  <c r="DJ111" i="1" s="1"/>
  <c r="V111" i="1"/>
  <c r="Z111" i="1"/>
  <c r="S111" i="1"/>
  <c r="W111" i="1"/>
  <c r="AA111" i="1"/>
  <c r="J111" i="1"/>
  <c r="T111" i="1"/>
  <c r="X111" i="1"/>
  <c r="U111" i="1"/>
  <c r="Y111" i="1"/>
  <c r="EF111" i="1" l="1"/>
  <c r="EL111" i="1"/>
  <c r="EH111" i="1"/>
  <c r="EE111" i="1"/>
  <c r="AB111" i="1"/>
  <c r="AC111" i="1" s="1"/>
  <c r="AU111" i="1" s="1"/>
  <c r="DP111" i="1" s="1"/>
  <c r="ED111" i="1"/>
  <c r="R111" i="1"/>
  <c r="EJ111" i="1"/>
  <c r="EK111" i="1"/>
  <c r="EG111" i="1"/>
  <c r="CO111" i="1"/>
  <c r="DB111" i="1"/>
  <c r="EI111" i="1"/>
  <c r="AZ111" i="1" l="1"/>
  <c r="DU111" i="1" s="1"/>
  <c r="EO111" i="1"/>
  <c r="EQ111" i="1"/>
  <c r="ER111" i="1"/>
  <c r="EN111" i="1"/>
  <c r="EP111" i="1"/>
  <c r="AT111" i="1"/>
  <c r="DO111" i="1" s="1"/>
  <c r="BA111" i="1"/>
  <c r="DV111" i="1" s="1"/>
  <c r="AX111" i="1"/>
  <c r="DS111" i="1" s="1"/>
  <c r="AV111" i="1"/>
  <c r="DQ111" i="1" s="1"/>
  <c r="AY111" i="1"/>
  <c r="DT111" i="1" s="1"/>
  <c r="AS111" i="1"/>
  <c r="AW111" i="1"/>
  <c r="DR111" i="1" s="1"/>
  <c r="DN111" i="1" l="1"/>
  <c r="BB111" i="1"/>
  <c r="ET111" i="1"/>
  <c r="EV111" i="1"/>
  <c r="EU111" i="1"/>
  <c r="EW111" i="1"/>
  <c r="EX111" i="1"/>
  <c r="FJ111" i="1" l="1"/>
  <c r="FW111" i="1" s="1"/>
  <c r="BO111" i="1" s="1"/>
  <c r="N111" i="1" s="1"/>
  <c r="EZ111" i="1"/>
  <c r="FD111" i="1"/>
  <c r="FH111" i="1"/>
  <c r="FA111" i="1"/>
  <c r="FE111" i="1"/>
  <c r="FI111" i="1"/>
  <c r="FB111" i="1"/>
  <c r="FF111" i="1"/>
  <c r="FC111" i="1"/>
  <c r="FG111" i="1"/>
  <c r="FL111" i="1" l="1"/>
  <c r="FO111" i="1" s="1"/>
  <c r="BG111" i="1" s="1"/>
  <c r="BT111" i="1" s="1"/>
  <c r="FN111" i="1" l="1"/>
  <c r="BF111" i="1" s="1"/>
  <c r="BS111" i="1" s="1"/>
  <c r="FT111" i="1"/>
  <c r="BL111" i="1" s="1"/>
  <c r="BY111" i="1" s="1"/>
  <c r="FV111" i="1"/>
  <c r="BN111" i="1" s="1"/>
  <c r="CA111" i="1" s="1"/>
  <c r="FR111" i="1"/>
  <c r="BJ111" i="1" s="1"/>
  <c r="BW111" i="1" s="1"/>
  <c r="FS111" i="1"/>
  <c r="BK111" i="1" s="1"/>
  <c r="BX111" i="1" s="1"/>
  <c r="FP111" i="1"/>
  <c r="BH111" i="1" s="1"/>
  <c r="BU111" i="1" s="1"/>
  <c r="FU111" i="1"/>
  <c r="BM111" i="1" s="1"/>
  <c r="BZ111" i="1" s="1"/>
  <c r="FM111" i="1"/>
  <c r="BE111" i="1" s="1"/>
  <c r="BR111" i="1" s="1"/>
  <c r="FQ111" i="1"/>
  <c r="BI111" i="1" s="1"/>
  <c r="BV111" i="1" s="1"/>
  <c r="BQ111" i="1" l="1"/>
  <c r="CF111" i="1" s="1"/>
  <c r="CG111" i="1" l="1"/>
  <c r="CK111" i="1"/>
  <c r="CE111" i="1"/>
  <c r="CM111" i="1"/>
  <c r="DW111" i="1" s="1"/>
  <c r="DY111" i="1" s="1"/>
  <c r="E111" i="1" s="1"/>
  <c r="CH111" i="1"/>
  <c r="CI111" i="1"/>
  <c r="CD111" i="1"/>
  <c r="CJ111" i="1"/>
  <c r="CL111" i="1"/>
  <c r="AH111" i="1" l="1"/>
  <c r="AL111" i="1"/>
  <c r="AI111" i="1"/>
  <c r="AM111" i="1"/>
  <c r="AF111" i="1"/>
  <c r="AJ111" i="1"/>
  <c r="AN111" i="1"/>
  <c r="AG111" i="1"/>
  <c r="AK111" i="1"/>
  <c r="M111" i="1"/>
  <c r="AE111" i="1" l="1"/>
  <c r="G111" i="1" s="1"/>
  <c r="AO111" i="1"/>
  <c r="AP111" i="1" l="1"/>
  <c r="H111" i="1" s="1"/>
  <c r="K111" i="1" s="1"/>
  <c r="F111" i="1"/>
  <c r="L111" i="1" l="1"/>
  <c r="B112" i="1"/>
  <c r="C112" i="1"/>
  <c r="I112" i="1"/>
  <c r="D112" i="1"/>
  <c r="O111" i="1"/>
  <c r="P111" i="1" l="1"/>
  <c r="S112" i="1"/>
  <c r="W112" i="1"/>
  <c r="AA112" i="1"/>
  <c r="J112" i="1"/>
  <c r="T112" i="1"/>
  <c r="X112" i="1"/>
  <c r="U112" i="1"/>
  <c r="Y112" i="1"/>
  <c r="V112" i="1"/>
  <c r="Z112" i="1"/>
  <c r="CY112" i="1"/>
  <c r="CR112" i="1"/>
  <c r="DD112" i="1" s="1"/>
  <c r="CV112" i="1"/>
  <c r="DH112" i="1" s="1"/>
  <c r="CP112" i="1"/>
  <c r="CS112" i="1"/>
  <c r="DE112" i="1" s="1"/>
  <c r="CW112" i="1"/>
  <c r="DI112" i="1" s="1"/>
  <c r="CT112" i="1"/>
  <c r="DF112" i="1" s="1"/>
  <c r="CX112" i="1"/>
  <c r="DJ112" i="1" s="1"/>
  <c r="CQ112" i="1"/>
  <c r="DC112" i="1" s="1"/>
  <c r="CU112" i="1"/>
  <c r="DG112" i="1" s="1"/>
  <c r="DK112" i="1" l="1"/>
  <c r="EJ112" i="1"/>
  <c r="DB112" i="1"/>
  <c r="CO112" i="1"/>
  <c r="EK112" i="1"/>
  <c r="EF112" i="1"/>
  <c r="EL112" i="1"/>
  <c r="EG112" i="1"/>
  <c r="EI112" i="1"/>
  <c r="EH112" i="1"/>
  <c r="EE112" i="1"/>
  <c r="ED112" i="1"/>
  <c r="AB112" i="1"/>
  <c r="AC112" i="1" s="1"/>
  <c r="AU112" i="1" s="1"/>
  <c r="DP112" i="1" s="1"/>
  <c r="R112" i="1"/>
  <c r="ER112" i="1" l="1"/>
  <c r="EQ112" i="1"/>
  <c r="EP112" i="1"/>
  <c r="EO112" i="1"/>
  <c r="EN112" i="1"/>
  <c r="AW112" i="1"/>
  <c r="DR112" i="1" s="1"/>
  <c r="AS112" i="1"/>
  <c r="AX112" i="1"/>
  <c r="DS112" i="1" s="1"/>
  <c r="BA112" i="1"/>
  <c r="DV112" i="1" s="1"/>
  <c r="AT112" i="1"/>
  <c r="DO112" i="1" s="1"/>
  <c r="AZ112" i="1"/>
  <c r="DU112" i="1" s="1"/>
  <c r="AY112" i="1"/>
  <c r="DT112" i="1" s="1"/>
  <c r="AV112" i="1"/>
  <c r="DQ112" i="1" s="1"/>
  <c r="DN112" i="1" l="1"/>
  <c r="BB112" i="1"/>
  <c r="EV112" i="1"/>
  <c r="EX112" i="1"/>
  <c r="ET112" i="1"/>
  <c r="EU112" i="1"/>
  <c r="EW112" i="1"/>
  <c r="FA112" i="1" l="1"/>
  <c r="FE112" i="1"/>
  <c r="FI112" i="1"/>
  <c r="FB112" i="1"/>
  <c r="FF112" i="1"/>
  <c r="FC112" i="1"/>
  <c r="FG112" i="1"/>
  <c r="FJ112" i="1"/>
  <c r="FW112" i="1" s="1"/>
  <c r="BO112" i="1" s="1"/>
  <c r="N112" i="1" s="1"/>
  <c r="EZ112" i="1"/>
  <c r="FD112" i="1"/>
  <c r="FH112" i="1"/>
  <c r="FL112" i="1" l="1"/>
  <c r="FU112" i="1" s="1"/>
  <c r="BM112" i="1" s="1"/>
  <c r="BZ112" i="1" s="1"/>
  <c r="FM112" i="1" l="1"/>
  <c r="BE112" i="1" s="1"/>
  <c r="BR112" i="1" s="1"/>
  <c r="FQ112" i="1"/>
  <c r="BI112" i="1" s="1"/>
  <c r="BV112" i="1" s="1"/>
  <c r="FO112" i="1"/>
  <c r="BG112" i="1" s="1"/>
  <c r="BT112" i="1" s="1"/>
  <c r="FV112" i="1"/>
  <c r="BN112" i="1" s="1"/>
  <c r="CA112" i="1" s="1"/>
  <c r="FT112" i="1"/>
  <c r="BL112" i="1" s="1"/>
  <c r="BY112" i="1" s="1"/>
  <c r="FN112" i="1"/>
  <c r="BF112" i="1" s="1"/>
  <c r="BS112" i="1" s="1"/>
  <c r="FR112" i="1"/>
  <c r="BJ112" i="1" s="1"/>
  <c r="BW112" i="1" s="1"/>
  <c r="FS112" i="1"/>
  <c r="BK112" i="1" s="1"/>
  <c r="BX112" i="1" s="1"/>
  <c r="FP112" i="1"/>
  <c r="BH112" i="1" s="1"/>
  <c r="BU112" i="1" s="1"/>
  <c r="BQ112" i="1" l="1"/>
  <c r="CL112" i="1" s="1"/>
  <c r="CG112" i="1" l="1"/>
  <c r="CF112" i="1"/>
  <c r="CE112" i="1"/>
  <c r="CD112" i="1"/>
  <c r="CH112" i="1"/>
  <c r="CM112" i="1"/>
  <c r="DW112" i="1" s="1"/>
  <c r="DY112" i="1" s="1"/>
  <c r="E112" i="1" s="1"/>
  <c r="CJ112" i="1"/>
  <c r="CK112" i="1"/>
  <c r="CI112" i="1"/>
  <c r="AI112" i="1" l="1"/>
  <c r="AM112" i="1"/>
  <c r="AF112" i="1"/>
  <c r="AJ112" i="1"/>
  <c r="AN112" i="1"/>
  <c r="AG112" i="1"/>
  <c r="AK112" i="1"/>
  <c r="AH112" i="1"/>
  <c r="AL112" i="1"/>
  <c r="M112" i="1"/>
  <c r="AE112" i="1" l="1"/>
  <c r="G112" i="1" s="1"/>
  <c r="AO112" i="1"/>
  <c r="F112" i="1" l="1"/>
  <c r="AP112" i="1"/>
  <c r="H112" i="1" s="1"/>
  <c r="K112" i="1" s="1"/>
  <c r="L112" i="1" l="1"/>
  <c r="B113" i="1"/>
  <c r="C113" i="1"/>
  <c r="I113" i="1"/>
  <c r="D113" i="1"/>
  <c r="O112" i="1"/>
  <c r="P112" i="1" l="1"/>
  <c r="T113" i="1"/>
  <c r="X113" i="1"/>
  <c r="U113" i="1"/>
  <c r="Y113" i="1"/>
  <c r="V113" i="1"/>
  <c r="Z113" i="1"/>
  <c r="S113" i="1"/>
  <c r="W113" i="1"/>
  <c r="AA113" i="1"/>
  <c r="J113" i="1"/>
  <c r="CP113" i="1"/>
  <c r="CT113" i="1"/>
  <c r="DF113" i="1" s="1"/>
  <c r="CX113" i="1"/>
  <c r="DJ113" i="1" s="1"/>
  <c r="CQ113" i="1"/>
  <c r="DC113" i="1" s="1"/>
  <c r="CU113" i="1"/>
  <c r="DG113" i="1" s="1"/>
  <c r="CR113" i="1"/>
  <c r="DD113" i="1" s="1"/>
  <c r="CV113" i="1"/>
  <c r="DH113" i="1" s="1"/>
  <c r="CY113" i="1"/>
  <c r="DK113" i="1" s="1"/>
  <c r="CS113" i="1"/>
  <c r="DE113" i="1" s="1"/>
  <c r="CW113" i="1"/>
  <c r="DI113" i="1" s="1"/>
  <c r="CO113" i="1" l="1"/>
  <c r="DB113" i="1"/>
  <c r="AB113" i="1"/>
  <c r="AC113" i="1" s="1"/>
  <c r="AZ113" i="1" s="1"/>
  <c r="DU113" i="1" s="1"/>
  <c r="ED113" i="1"/>
  <c r="R113" i="1"/>
  <c r="EJ113" i="1"/>
  <c r="EK113" i="1"/>
  <c r="EF113" i="1"/>
  <c r="EL113" i="1"/>
  <c r="EG113" i="1"/>
  <c r="EI113" i="1"/>
  <c r="EH113" i="1"/>
  <c r="EE113" i="1"/>
  <c r="AW113" i="1" l="1"/>
  <c r="DR113" i="1" s="1"/>
  <c r="AV113" i="1"/>
  <c r="DQ113" i="1" s="1"/>
  <c r="AY113" i="1"/>
  <c r="DT113" i="1" s="1"/>
  <c r="BA113" i="1"/>
  <c r="DV113" i="1" s="1"/>
  <c r="AS113" i="1"/>
  <c r="AU113" i="1"/>
  <c r="DP113" i="1" s="1"/>
  <c r="AT113" i="1"/>
  <c r="DO113" i="1" s="1"/>
  <c r="AX113" i="1"/>
  <c r="DS113" i="1" s="1"/>
  <c r="EQ113" i="1"/>
  <c r="EO113" i="1"/>
  <c r="ER113" i="1"/>
  <c r="EN113" i="1"/>
  <c r="EP113" i="1"/>
  <c r="EX113" i="1" l="1"/>
  <c r="EV113" i="1"/>
  <c r="EU113" i="1"/>
  <c r="EW113" i="1"/>
  <c r="ET113" i="1"/>
  <c r="BB113" i="1"/>
  <c r="DN113" i="1"/>
  <c r="FB113" i="1" l="1"/>
  <c r="FF113" i="1"/>
  <c r="FC113" i="1"/>
  <c r="FG113" i="1"/>
  <c r="FJ113" i="1"/>
  <c r="FW113" i="1" s="1"/>
  <c r="BO113" i="1" s="1"/>
  <c r="N113" i="1" s="1"/>
  <c r="EZ113" i="1"/>
  <c r="FD113" i="1"/>
  <c r="FH113" i="1"/>
  <c r="FA113" i="1"/>
  <c r="FE113" i="1"/>
  <c r="FI113" i="1"/>
  <c r="FL113" i="1" l="1"/>
  <c r="FR113" i="1" s="1"/>
  <c r="BJ113" i="1" s="1"/>
  <c r="BW113" i="1" s="1"/>
  <c r="FP113" i="1" l="1"/>
  <c r="BH113" i="1" s="1"/>
  <c r="BU113" i="1" s="1"/>
  <c r="FT113" i="1"/>
  <c r="BL113" i="1" s="1"/>
  <c r="BY113" i="1" s="1"/>
  <c r="FS113" i="1"/>
  <c r="BK113" i="1" s="1"/>
  <c r="BX113" i="1" s="1"/>
  <c r="FU113" i="1"/>
  <c r="BM113" i="1" s="1"/>
  <c r="BZ113" i="1" s="1"/>
  <c r="FM113" i="1"/>
  <c r="BE113" i="1" s="1"/>
  <c r="BR113" i="1" s="1"/>
  <c r="FQ113" i="1"/>
  <c r="BI113" i="1" s="1"/>
  <c r="BV113" i="1" s="1"/>
  <c r="FN113" i="1"/>
  <c r="BF113" i="1" s="1"/>
  <c r="BS113" i="1" s="1"/>
  <c r="FV113" i="1"/>
  <c r="BN113" i="1" s="1"/>
  <c r="CA113" i="1" s="1"/>
  <c r="FO113" i="1"/>
  <c r="BG113" i="1" s="1"/>
  <c r="BT113" i="1" s="1"/>
  <c r="BQ113" i="1" l="1"/>
  <c r="CI113" i="1" s="1"/>
  <c r="CH113" i="1" l="1"/>
  <c r="CG113" i="1"/>
  <c r="CF113" i="1"/>
  <c r="CK113" i="1"/>
  <c r="CL113" i="1"/>
  <c r="CJ113" i="1"/>
  <c r="CM113" i="1"/>
  <c r="DW113" i="1" s="1"/>
  <c r="DY113" i="1" s="1"/>
  <c r="E113" i="1" s="1"/>
  <c r="CD113" i="1"/>
  <c r="CE113" i="1"/>
  <c r="AF113" i="1" l="1"/>
  <c r="AJ113" i="1"/>
  <c r="AN113" i="1"/>
  <c r="AG113" i="1"/>
  <c r="AK113" i="1"/>
  <c r="AH113" i="1"/>
  <c r="AL113" i="1"/>
  <c r="AI113" i="1"/>
  <c r="AM113" i="1"/>
  <c r="M113" i="1"/>
  <c r="AE113" i="1" l="1"/>
  <c r="G113" i="1" s="1"/>
  <c r="AO113" i="1"/>
  <c r="F113" i="1" l="1"/>
  <c r="AP113" i="1"/>
  <c r="H113" i="1" s="1"/>
  <c r="K113" i="1" s="1"/>
  <c r="C114" i="1" l="1"/>
  <c r="I114" i="1"/>
  <c r="D114" i="1"/>
  <c r="O113" i="1"/>
  <c r="L113" i="1"/>
  <c r="B114" i="1"/>
  <c r="P113" i="1" l="1"/>
  <c r="U114" i="1"/>
  <c r="Y114" i="1"/>
  <c r="V114" i="1"/>
  <c r="Z114" i="1"/>
  <c r="S114" i="1"/>
  <c r="W114" i="1"/>
  <c r="AA114" i="1"/>
  <c r="J114" i="1"/>
  <c r="T114" i="1"/>
  <c r="X114" i="1"/>
  <c r="CR114" i="1"/>
  <c r="DD114" i="1" s="1"/>
  <c r="CV114" i="1"/>
  <c r="DH114" i="1" s="1"/>
  <c r="CS114" i="1"/>
  <c r="DE114" i="1" s="1"/>
  <c r="CW114" i="1"/>
  <c r="DI114" i="1" s="1"/>
  <c r="CY114" i="1"/>
  <c r="DK114" i="1" s="1"/>
  <c r="CP114" i="1"/>
  <c r="CT114" i="1"/>
  <c r="DF114" i="1" s="1"/>
  <c r="CX114" i="1"/>
  <c r="DJ114" i="1" s="1"/>
  <c r="CQ114" i="1"/>
  <c r="DC114" i="1" s="1"/>
  <c r="CU114" i="1"/>
  <c r="DG114" i="1" s="1"/>
  <c r="EL114" i="1" l="1"/>
  <c r="EG114" i="1"/>
  <c r="EI114" i="1"/>
  <c r="EH114" i="1"/>
  <c r="EE114" i="1"/>
  <c r="ED114" i="1"/>
  <c r="AB114" i="1"/>
  <c r="AC114" i="1" s="1"/>
  <c r="AV114" i="1" s="1"/>
  <c r="DQ114" i="1" s="1"/>
  <c r="R114" i="1"/>
  <c r="EJ114" i="1"/>
  <c r="DB114" i="1"/>
  <c r="CO114" i="1"/>
  <c r="EK114" i="1"/>
  <c r="EF114" i="1"/>
  <c r="ER114" i="1" l="1"/>
  <c r="EP114" i="1"/>
  <c r="EQ114" i="1"/>
  <c r="EN114" i="1"/>
  <c r="EO114" i="1"/>
  <c r="AW114" i="1"/>
  <c r="DR114" i="1" s="1"/>
  <c r="AT114" i="1"/>
  <c r="DO114" i="1" s="1"/>
  <c r="AX114" i="1"/>
  <c r="DS114" i="1" s="1"/>
  <c r="BA114" i="1"/>
  <c r="DV114" i="1" s="1"/>
  <c r="AU114" i="1"/>
  <c r="DP114" i="1" s="1"/>
  <c r="AZ114" i="1"/>
  <c r="DU114" i="1" s="1"/>
  <c r="AY114" i="1"/>
  <c r="DT114" i="1" s="1"/>
  <c r="AS114" i="1"/>
  <c r="ET114" i="1" l="1"/>
  <c r="EX114" i="1"/>
  <c r="EW114" i="1"/>
  <c r="EU114" i="1"/>
  <c r="EV114" i="1"/>
  <c r="DN114" i="1"/>
  <c r="BB114" i="1"/>
  <c r="FC114" i="1" l="1"/>
  <c r="FG114" i="1"/>
  <c r="FJ114" i="1"/>
  <c r="FW114" i="1" s="1"/>
  <c r="BO114" i="1" s="1"/>
  <c r="N114" i="1" s="1"/>
  <c r="EZ114" i="1"/>
  <c r="FD114" i="1"/>
  <c r="FH114" i="1"/>
  <c r="FA114" i="1"/>
  <c r="FE114" i="1"/>
  <c r="FI114" i="1"/>
  <c r="FB114" i="1"/>
  <c r="FF114" i="1"/>
  <c r="FL114" i="1" l="1"/>
  <c r="FU114" i="1" s="1"/>
  <c r="BM114" i="1" s="1"/>
  <c r="BZ114" i="1" s="1"/>
  <c r="FR114" i="1" l="1"/>
  <c r="BJ114" i="1" s="1"/>
  <c r="BW114" i="1" s="1"/>
  <c r="FT114" i="1"/>
  <c r="BL114" i="1" s="1"/>
  <c r="BY114" i="1" s="1"/>
  <c r="FQ114" i="1"/>
  <c r="BI114" i="1" s="1"/>
  <c r="BV114" i="1" s="1"/>
  <c r="FN114" i="1"/>
  <c r="BF114" i="1" s="1"/>
  <c r="BS114" i="1" s="1"/>
  <c r="FV114" i="1"/>
  <c r="BN114" i="1" s="1"/>
  <c r="CA114" i="1" s="1"/>
  <c r="FS114" i="1"/>
  <c r="BK114" i="1" s="1"/>
  <c r="BX114" i="1" s="1"/>
  <c r="FO114" i="1"/>
  <c r="BG114" i="1" s="1"/>
  <c r="BT114" i="1" s="1"/>
  <c r="FM114" i="1"/>
  <c r="BE114" i="1" s="1"/>
  <c r="BR114" i="1" s="1"/>
  <c r="FP114" i="1"/>
  <c r="BH114" i="1" s="1"/>
  <c r="BU114" i="1" s="1"/>
  <c r="BQ114" i="1" l="1"/>
  <c r="CL114" i="1" s="1"/>
  <c r="CK114" i="1" l="1"/>
  <c r="CJ114" i="1"/>
  <c r="CD114" i="1"/>
  <c r="CG114" i="1"/>
  <c r="CE114" i="1"/>
  <c r="CI114" i="1"/>
  <c r="CH114" i="1"/>
  <c r="CM114" i="1"/>
  <c r="DW114" i="1" s="1"/>
  <c r="DY114" i="1" s="1"/>
  <c r="E114" i="1" s="1"/>
  <c r="CF114" i="1"/>
  <c r="AG114" i="1" l="1"/>
  <c r="AK114" i="1"/>
  <c r="AH114" i="1"/>
  <c r="AL114" i="1"/>
  <c r="AI114" i="1"/>
  <c r="AM114" i="1"/>
  <c r="AF114" i="1"/>
  <c r="AJ114" i="1"/>
  <c r="AN114" i="1"/>
  <c r="M114" i="1"/>
  <c r="AO114" i="1" l="1"/>
  <c r="AE114" i="1"/>
  <c r="G114" i="1" s="1"/>
  <c r="AP114" i="1" l="1"/>
  <c r="H114" i="1" s="1"/>
  <c r="K114" i="1" s="1"/>
  <c r="F114" i="1"/>
  <c r="D115" i="1" l="1"/>
  <c r="O114" i="1"/>
  <c r="L114" i="1"/>
  <c r="P114" i="1" s="1"/>
  <c r="B115" i="1"/>
  <c r="C115" i="1"/>
  <c r="I115" i="1"/>
  <c r="CQ115" i="1" l="1"/>
  <c r="DC115" i="1" s="1"/>
  <c r="CU115" i="1"/>
  <c r="DG115" i="1" s="1"/>
  <c r="CY115" i="1"/>
  <c r="DK115" i="1" s="1"/>
  <c r="CR115" i="1"/>
  <c r="DD115" i="1" s="1"/>
  <c r="CV115" i="1"/>
  <c r="DH115" i="1" s="1"/>
  <c r="CS115" i="1"/>
  <c r="DE115" i="1" s="1"/>
  <c r="CW115" i="1"/>
  <c r="DI115" i="1" s="1"/>
  <c r="CP115" i="1"/>
  <c r="CT115" i="1"/>
  <c r="DF115" i="1" s="1"/>
  <c r="CX115" i="1"/>
  <c r="DJ115" i="1" s="1"/>
  <c r="V115" i="1"/>
  <c r="Z115" i="1"/>
  <c r="S115" i="1"/>
  <c r="W115" i="1"/>
  <c r="AA115" i="1"/>
  <c r="J115" i="1"/>
  <c r="T115" i="1"/>
  <c r="X115" i="1"/>
  <c r="U115" i="1"/>
  <c r="Y115" i="1"/>
  <c r="EF115" i="1" l="1"/>
  <c r="EG115" i="1"/>
  <c r="EI115" i="1"/>
  <c r="EH115" i="1"/>
  <c r="EE115" i="1"/>
  <c r="ED115" i="1"/>
  <c r="R115" i="1"/>
  <c r="AB115" i="1"/>
  <c r="AC115" i="1" s="1"/>
  <c r="AU115" i="1" s="1"/>
  <c r="DP115" i="1" s="1"/>
  <c r="EJ115" i="1"/>
  <c r="EK115" i="1"/>
  <c r="CO115" i="1"/>
  <c r="DB115" i="1"/>
  <c r="EL115" i="1"/>
  <c r="BA115" i="1" l="1"/>
  <c r="DV115" i="1" s="1"/>
  <c r="AZ115" i="1"/>
  <c r="DU115" i="1" s="1"/>
  <c r="EQ115" i="1"/>
  <c r="EN115" i="1"/>
  <c r="ER115" i="1"/>
  <c r="EP115" i="1"/>
  <c r="EO115" i="1"/>
  <c r="AY115" i="1"/>
  <c r="DT115" i="1" s="1"/>
  <c r="AS115" i="1"/>
  <c r="AW115" i="1"/>
  <c r="DR115" i="1" s="1"/>
  <c r="AV115" i="1"/>
  <c r="DQ115" i="1" s="1"/>
  <c r="AT115" i="1"/>
  <c r="DO115" i="1" s="1"/>
  <c r="AX115" i="1"/>
  <c r="DS115" i="1" s="1"/>
  <c r="EV115" i="1" l="1"/>
  <c r="ET115" i="1"/>
  <c r="EX115" i="1"/>
  <c r="EU115" i="1"/>
  <c r="EW115" i="1"/>
  <c r="DN115" i="1"/>
  <c r="BB115" i="1"/>
  <c r="FJ115" i="1" l="1"/>
  <c r="FW115" i="1" s="1"/>
  <c r="BO115" i="1" s="1"/>
  <c r="N115" i="1" s="1"/>
  <c r="EZ115" i="1"/>
  <c r="FD115" i="1"/>
  <c r="FH115" i="1"/>
  <c r="FA115" i="1"/>
  <c r="FE115" i="1"/>
  <c r="FI115" i="1"/>
  <c r="FB115" i="1"/>
  <c r="FF115" i="1"/>
  <c r="FC115" i="1"/>
  <c r="FG115" i="1"/>
  <c r="FL115" i="1" l="1"/>
  <c r="FP115" i="1" s="1"/>
  <c r="BH115" i="1" s="1"/>
  <c r="BU115" i="1" s="1"/>
  <c r="FM115" i="1" l="1"/>
  <c r="BE115" i="1" s="1"/>
  <c r="BR115" i="1" s="1"/>
  <c r="FU115" i="1"/>
  <c r="BM115" i="1" s="1"/>
  <c r="BZ115" i="1" s="1"/>
  <c r="FO115" i="1"/>
  <c r="BG115" i="1" s="1"/>
  <c r="BT115" i="1" s="1"/>
  <c r="FV115" i="1"/>
  <c r="BN115" i="1" s="1"/>
  <c r="CA115" i="1" s="1"/>
  <c r="FN115" i="1"/>
  <c r="BF115" i="1" s="1"/>
  <c r="BS115" i="1" s="1"/>
  <c r="FR115" i="1"/>
  <c r="BJ115" i="1" s="1"/>
  <c r="BW115" i="1" s="1"/>
  <c r="FQ115" i="1"/>
  <c r="BI115" i="1" s="1"/>
  <c r="BV115" i="1" s="1"/>
  <c r="FT115" i="1"/>
  <c r="BL115" i="1" s="1"/>
  <c r="BY115" i="1" s="1"/>
  <c r="FS115" i="1"/>
  <c r="BK115" i="1" s="1"/>
  <c r="BX115" i="1" s="1"/>
  <c r="BQ115" i="1" l="1"/>
  <c r="CG115" i="1" s="1"/>
  <c r="CD115" i="1" l="1"/>
  <c r="CI115" i="1"/>
  <c r="CJ115" i="1"/>
  <c r="CL115" i="1"/>
  <c r="CM115" i="1"/>
  <c r="DW115" i="1" s="1"/>
  <c r="DY115" i="1" s="1"/>
  <c r="E115" i="1" s="1"/>
  <c r="CF115" i="1"/>
  <c r="CK115" i="1"/>
  <c r="CE115" i="1"/>
  <c r="CH115" i="1"/>
  <c r="AH115" i="1" l="1"/>
  <c r="AL115" i="1"/>
  <c r="AI115" i="1"/>
  <c r="AM115" i="1"/>
  <c r="AF115" i="1"/>
  <c r="AJ115" i="1"/>
  <c r="AN115" i="1"/>
  <c r="AG115" i="1"/>
  <c r="AK115" i="1"/>
  <c r="M115" i="1"/>
  <c r="AE115" i="1" l="1"/>
  <c r="G115" i="1" s="1"/>
  <c r="AO115" i="1"/>
  <c r="AP115" i="1" l="1"/>
  <c r="H115" i="1" s="1"/>
  <c r="K115" i="1" s="1"/>
  <c r="F115" i="1"/>
  <c r="L115" i="1" l="1"/>
  <c r="I116" i="1"/>
  <c r="B116" i="1"/>
  <c r="C116" i="1"/>
  <c r="D116" i="1"/>
  <c r="O115" i="1"/>
  <c r="P115" i="1" l="1"/>
  <c r="CY116" i="1"/>
  <c r="CQ116" i="1"/>
  <c r="DC116" i="1" s="1"/>
  <c r="CU116" i="1"/>
  <c r="DG116" i="1" s="1"/>
  <c r="CR116" i="1"/>
  <c r="DD116" i="1" s="1"/>
  <c r="CV116" i="1"/>
  <c r="DH116" i="1" s="1"/>
  <c r="CP116" i="1"/>
  <c r="CS116" i="1"/>
  <c r="DE116" i="1" s="1"/>
  <c r="CW116" i="1"/>
  <c r="DI116" i="1" s="1"/>
  <c r="CT116" i="1"/>
  <c r="DF116" i="1" s="1"/>
  <c r="CX116" i="1"/>
  <c r="DJ116" i="1" s="1"/>
  <c r="S116" i="1"/>
  <c r="W116" i="1"/>
  <c r="AA116" i="1"/>
  <c r="J116" i="1"/>
  <c r="T116" i="1"/>
  <c r="X116" i="1"/>
  <c r="U116" i="1"/>
  <c r="Y116" i="1"/>
  <c r="V116" i="1"/>
  <c r="Z116" i="1"/>
  <c r="DK116" i="1" l="1"/>
  <c r="EJ116" i="1"/>
  <c r="EK116" i="1"/>
  <c r="EF116" i="1"/>
  <c r="EL116" i="1"/>
  <c r="EG116" i="1"/>
  <c r="EI116" i="1"/>
  <c r="EH116" i="1"/>
  <c r="EE116" i="1"/>
  <c r="ED116" i="1"/>
  <c r="AB116" i="1"/>
  <c r="AC116" i="1" s="1"/>
  <c r="BA116" i="1" s="1"/>
  <c r="DV116" i="1" s="1"/>
  <c r="R116" i="1"/>
  <c r="CO116" i="1"/>
  <c r="DB116" i="1"/>
  <c r="AX116" i="1" l="1"/>
  <c r="DS116" i="1" s="1"/>
  <c r="AZ116" i="1"/>
  <c r="DU116" i="1" s="1"/>
  <c r="AW116" i="1"/>
  <c r="DR116" i="1" s="1"/>
  <c r="EP116" i="1"/>
  <c r="EN116" i="1"/>
  <c r="EO116" i="1"/>
  <c r="EQ116" i="1"/>
  <c r="ER116" i="1"/>
  <c r="AV116" i="1"/>
  <c r="DQ116" i="1" s="1"/>
  <c r="AU116" i="1"/>
  <c r="DP116" i="1" s="1"/>
  <c r="AY116" i="1"/>
  <c r="DT116" i="1" s="1"/>
  <c r="AT116" i="1"/>
  <c r="DO116" i="1" s="1"/>
  <c r="AS116" i="1"/>
  <c r="DN116" i="1" l="1"/>
  <c r="BB116" i="1"/>
  <c r="EV116" i="1"/>
  <c r="EU116" i="1"/>
  <c r="EX116" i="1"/>
  <c r="EW116" i="1"/>
  <c r="ET116" i="1"/>
  <c r="FA116" i="1" l="1"/>
  <c r="FE116" i="1"/>
  <c r="FI116" i="1"/>
  <c r="FB116" i="1"/>
  <c r="FF116" i="1"/>
  <c r="FC116" i="1"/>
  <c r="FG116" i="1"/>
  <c r="FJ116" i="1"/>
  <c r="FW116" i="1" s="1"/>
  <c r="BO116" i="1" s="1"/>
  <c r="N116" i="1" s="1"/>
  <c r="EZ116" i="1"/>
  <c r="FD116" i="1"/>
  <c r="FH116" i="1"/>
  <c r="FL116" i="1" l="1"/>
  <c r="FU116" i="1" s="1"/>
  <c r="BM116" i="1" s="1"/>
  <c r="BZ116" i="1" s="1"/>
  <c r="FM116" i="1" l="1"/>
  <c r="BE116" i="1" s="1"/>
  <c r="BR116" i="1" s="1"/>
  <c r="FQ116" i="1"/>
  <c r="BI116" i="1" s="1"/>
  <c r="BV116" i="1" s="1"/>
  <c r="FO116" i="1"/>
  <c r="BG116" i="1" s="1"/>
  <c r="BT116" i="1" s="1"/>
  <c r="FR116" i="1"/>
  <c r="BJ116" i="1" s="1"/>
  <c r="BW116" i="1" s="1"/>
  <c r="FV116" i="1"/>
  <c r="BN116" i="1" s="1"/>
  <c r="CA116" i="1" s="1"/>
  <c r="FN116" i="1"/>
  <c r="BF116" i="1" s="1"/>
  <c r="BS116" i="1" s="1"/>
  <c r="FT116" i="1"/>
  <c r="BL116" i="1" s="1"/>
  <c r="BY116" i="1" s="1"/>
  <c r="FS116" i="1"/>
  <c r="BK116" i="1" s="1"/>
  <c r="BX116" i="1" s="1"/>
  <c r="FP116" i="1"/>
  <c r="BH116" i="1" s="1"/>
  <c r="BU116" i="1" s="1"/>
  <c r="BQ116" i="1" l="1"/>
  <c r="CL116" i="1" s="1"/>
  <c r="CI116" i="1" l="1"/>
  <c r="CG116" i="1"/>
  <c r="CE116" i="1"/>
  <c r="CD116" i="1"/>
  <c r="CH116" i="1"/>
  <c r="CF116" i="1"/>
  <c r="CJ116" i="1"/>
  <c r="CM116" i="1"/>
  <c r="DW116" i="1" s="1"/>
  <c r="DY116" i="1" s="1"/>
  <c r="E116" i="1" s="1"/>
  <c r="CK116" i="1"/>
  <c r="AI116" i="1" l="1"/>
  <c r="AM116" i="1"/>
  <c r="AF116" i="1"/>
  <c r="AJ116" i="1"/>
  <c r="AN116" i="1"/>
  <c r="AG116" i="1"/>
  <c r="AK116" i="1"/>
  <c r="AH116" i="1"/>
  <c r="AL116" i="1"/>
  <c r="M116" i="1"/>
  <c r="AE116" i="1" l="1"/>
  <c r="G116" i="1" s="1"/>
  <c r="AO116" i="1"/>
  <c r="F116" i="1" l="1"/>
  <c r="AP116" i="1"/>
  <c r="H116" i="1" s="1"/>
  <c r="K116" i="1" s="1"/>
  <c r="L116" i="1" l="1"/>
  <c r="B117" i="1"/>
  <c r="C117" i="1"/>
  <c r="I117" i="1"/>
  <c r="D117" i="1"/>
  <c r="O116" i="1"/>
  <c r="P116" i="1" l="1"/>
  <c r="CR117" i="1"/>
  <c r="DD117" i="1" s="1"/>
  <c r="CV117" i="1"/>
  <c r="DH117" i="1" s="1"/>
  <c r="CS117" i="1"/>
  <c r="DE117" i="1" s="1"/>
  <c r="CW117" i="1"/>
  <c r="DI117" i="1" s="1"/>
  <c r="CP117" i="1"/>
  <c r="CT117" i="1"/>
  <c r="DF117" i="1" s="1"/>
  <c r="CX117" i="1"/>
  <c r="DJ117" i="1" s="1"/>
  <c r="CY117" i="1"/>
  <c r="DK117" i="1" s="1"/>
  <c r="CQ117" i="1"/>
  <c r="DC117" i="1" s="1"/>
  <c r="CU117" i="1"/>
  <c r="DG117" i="1" s="1"/>
  <c r="T117" i="1"/>
  <c r="X117" i="1"/>
  <c r="U117" i="1"/>
  <c r="Y117" i="1"/>
  <c r="V117" i="1"/>
  <c r="Z117" i="1"/>
  <c r="S117" i="1"/>
  <c r="W117" i="1"/>
  <c r="AA117" i="1"/>
  <c r="J117" i="1"/>
  <c r="EJ117" i="1" l="1"/>
  <c r="EK117" i="1"/>
  <c r="EF117" i="1"/>
  <c r="EL117" i="1"/>
  <c r="EG117" i="1"/>
  <c r="EI117" i="1"/>
  <c r="EH117" i="1"/>
  <c r="EE117" i="1"/>
  <c r="AB117" i="1"/>
  <c r="AC117" i="1" s="1"/>
  <c r="BA117" i="1" s="1"/>
  <c r="DV117" i="1" s="1"/>
  <c r="R117" i="1"/>
  <c r="ED117" i="1"/>
  <c r="DB117" i="1"/>
  <c r="CO117" i="1"/>
  <c r="AS117" i="1" l="1"/>
  <c r="AT117" i="1"/>
  <c r="DO117" i="1" s="1"/>
  <c r="AX117" i="1"/>
  <c r="DS117" i="1" s="1"/>
  <c r="AZ117" i="1"/>
  <c r="DU117" i="1" s="1"/>
  <c r="AU117" i="1"/>
  <c r="DP117" i="1" s="1"/>
  <c r="AY117" i="1"/>
  <c r="DT117" i="1" s="1"/>
  <c r="AW117" i="1"/>
  <c r="DR117" i="1" s="1"/>
  <c r="AV117" i="1"/>
  <c r="DQ117" i="1" s="1"/>
  <c r="EP117" i="1"/>
  <c r="EO117" i="1"/>
  <c r="ER117" i="1"/>
  <c r="EN117" i="1"/>
  <c r="EQ117" i="1"/>
  <c r="EW117" i="1" l="1"/>
  <c r="EX117" i="1"/>
  <c r="EV117" i="1"/>
  <c r="EU117" i="1"/>
  <c r="ET117" i="1"/>
  <c r="BB117" i="1"/>
  <c r="DN117" i="1"/>
  <c r="FB117" i="1" l="1"/>
  <c r="FF117" i="1"/>
  <c r="FC117" i="1"/>
  <c r="FG117" i="1"/>
  <c r="FJ117" i="1"/>
  <c r="FW117" i="1" s="1"/>
  <c r="BO117" i="1" s="1"/>
  <c r="N117" i="1" s="1"/>
  <c r="EZ117" i="1"/>
  <c r="FD117" i="1"/>
  <c r="FH117" i="1"/>
  <c r="FA117" i="1"/>
  <c r="FE117" i="1"/>
  <c r="FI117" i="1"/>
  <c r="FL117" i="1" l="1"/>
  <c r="FR117" i="1" s="1"/>
  <c r="BJ117" i="1" s="1"/>
  <c r="BW117" i="1" s="1"/>
  <c r="FP117" i="1" l="1"/>
  <c r="BH117" i="1" s="1"/>
  <c r="BU117" i="1" s="1"/>
  <c r="FT117" i="1"/>
  <c r="BL117" i="1" s="1"/>
  <c r="BY117" i="1" s="1"/>
  <c r="FS117" i="1"/>
  <c r="BK117" i="1" s="1"/>
  <c r="BX117" i="1" s="1"/>
  <c r="FU117" i="1"/>
  <c r="BM117" i="1" s="1"/>
  <c r="BZ117" i="1" s="1"/>
  <c r="FM117" i="1"/>
  <c r="BE117" i="1" s="1"/>
  <c r="BR117" i="1" s="1"/>
  <c r="FQ117" i="1"/>
  <c r="BI117" i="1" s="1"/>
  <c r="BV117" i="1" s="1"/>
  <c r="FN117" i="1"/>
  <c r="BF117" i="1" s="1"/>
  <c r="BS117" i="1" s="1"/>
  <c r="FV117" i="1"/>
  <c r="BN117" i="1" s="1"/>
  <c r="CA117" i="1" s="1"/>
  <c r="FO117" i="1"/>
  <c r="BG117" i="1" s="1"/>
  <c r="BT117" i="1" s="1"/>
  <c r="BQ117" i="1" l="1"/>
  <c r="CE117" i="1" s="1"/>
  <c r="CL117" i="1" l="1"/>
  <c r="CF117" i="1"/>
  <c r="CM117" i="1"/>
  <c r="DW117" i="1" s="1"/>
  <c r="DY117" i="1" s="1"/>
  <c r="E117" i="1" s="1"/>
  <c r="CH117" i="1"/>
  <c r="CI117" i="1"/>
  <c r="CK117" i="1"/>
  <c r="CG117" i="1"/>
  <c r="CD117" i="1"/>
  <c r="CJ117" i="1"/>
  <c r="AF117" i="1" l="1"/>
  <c r="AJ117" i="1"/>
  <c r="AN117" i="1"/>
  <c r="AG117" i="1"/>
  <c r="AK117" i="1"/>
  <c r="AH117" i="1"/>
  <c r="AL117" i="1"/>
  <c r="AI117" i="1"/>
  <c r="AM117" i="1"/>
  <c r="M117" i="1"/>
  <c r="AE117" i="1" l="1"/>
  <c r="G117" i="1" s="1"/>
  <c r="AO117" i="1"/>
  <c r="F117" i="1" l="1"/>
  <c r="AP117" i="1"/>
  <c r="H117" i="1" s="1"/>
  <c r="K117" i="1" s="1"/>
  <c r="C118" i="1" l="1"/>
  <c r="I118" i="1"/>
  <c r="D118" i="1"/>
  <c r="O117" i="1"/>
  <c r="L117" i="1"/>
  <c r="B118" i="1"/>
  <c r="P117" i="1" l="1"/>
  <c r="U118" i="1"/>
  <c r="Y118" i="1"/>
  <c r="V118" i="1"/>
  <c r="Z118" i="1"/>
  <c r="S118" i="1"/>
  <c r="W118" i="1"/>
  <c r="AA118" i="1"/>
  <c r="J118" i="1"/>
  <c r="T118" i="1"/>
  <c r="X118" i="1"/>
  <c r="CT118" i="1"/>
  <c r="DF118" i="1" s="1"/>
  <c r="CX118" i="1"/>
  <c r="DJ118" i="1" s="1"/>
  <c r="CQ118" i="1"/>
  <c r="DC118" i="1" s="1"/>
  <c r="CU118" i="1"/>
  <c r="DG118" i="1" s="1"/>
  <c r="CY118" i="1"/>
  <c r="DK118" i="1" s="1"/>
  <c r="CR118" i="1"/>
  <c r="DD118" i="1" s="1"/>
  <c r="CV118" i="1"/>
  <c r="DH118" i="1" s="1"/>
  <c r="CP118" i="1"/>
  <c r="CS118" i="1"/>
  <c r="DE118" i="1" s="1"/>
  <c r="CW118" i="1"/>
  <c r="DI118" i="1" s="1"/>
  <c r="EK118" i="1" l="1"/>
  <c r="DB118" i="1"/>
  <c r="CO118" i="1"/>
  <c r="EL118" i="1"/>
  <c r="EG118" i="1"/>
  <c r="EI118" i="1"/>
  <c r="EH118" i="1"/>
  <c r="EJ118" i="1"/>
  <c r="EE118" i="1"/>
  <c r="ED118" i="1"/>
  <c r="R118" i="1"/>
  <c r="AB118" i="1"/>
  <c r="AC118" i="1" s="1"/>
  <c r="AV118" i="1" s="1"/>
  <c r="DQ118" i="1" s="1"/>
  <c r="EF118" i="1"/>
  <c r="AT118" i="1" l="1"/>
  <c r="DO118" i="1" s="1"/>
  <c r="AX118" i="1"/>
  <c r="DS118" i="1" s="1"/>
  <c r="AZ118" i="1"/>
  <c r="DU118" i="1" s="1"/>
  <c r="ER118" i="1"/>
  <c r="EO118" i="1"/>
  <c r="EP118" i="1"/>
  <c r="EQ118" i="1"/>
  <c r="EN118" i="1"/>
  <c r="AU118" i="1"/>
  <c r="DP118" i="1" s="1"/>
  <c r="AS118" i="1"/>
  <c r="AY118" i="1"/>
  <c r="DT118" i="1" s="1"/>
  <c r="BA118" i="1"/>
  <c r="DV118" i="1" s="1"/>
  <c r="AW118" i="1"/>
  <c r="DR118" i="1" s="1"/>
  <c r="EU118" i="1" l="1"/>
  <c r="EV118" i="1"/>
  <c r="EX118" i="1"/>
  <c r="ET118" i="1"/>
  <c r="EW118" i="1"/>
  <c r="DN118" i="1"/>
  <c r="BB118" i="1"/>
  <c r="FJ118" i="1" l="1"/>
  <c r="FW118" i="1" s="1"/>
  <c r="BO118" i="1" s="1"/>
  <c r="N118" i="1" s="1"/>
  <c r="EZ118" i="1"/>
  <c r="FD118" i="1"/>
  <c r="FA118" i="1"/>
  <c r="FF118" i="1"/>
  <c r="FB118" i="1"/>
  <c r="FG118" i="1"/>
  <c r="FC118" i="1"/>
  <c r="FH118" i="1"/>
  <c r="FE118" i="1"/>
  <c r="FI118" i="1"/>
  <c r="FL118" i="1" l="1"/>
  <c r="FP118" i="1" s="1"/>
  <c r="BH118" i="1" s="1"/>
  <c r="BU118" i="1" s="1"/>
  <c r="FT118" i="1" l="1"/>
  <c r="BL118" i="1" s="1"/>
  <c r="BY118" i="1" s="1"/>
  <c r="FO118" i="1"/>
  <c r="BG118" i="1" s="1"/>
  <c r="BT118" i="1" s="1"/>
  <c r="FN118" i="1"/>
  <c r="BF118" i="1" s="1"/>
  <c r="BS118" i="1" s="1"/>
  <c r="FS118" i="1"/>
  <c r="BK118" i="1" s="1"/>
  <c r="BX118" i="1" s="1"/>
  <c r="FV118" i="1"/>
  <c r="BN118" i="1" s="1"/>
  <c r="CA118" i="1" s="1"/>
  <c r="FU118" i="1"/>
  <c r="BM118" i="1" s="1"/>
  <c r="BZ118" i="1" s="1"/>
  <c r="FR118" i="1"/>
  <c r="BJ118" i="1" s="1"/>
  <c r="BW118" i="1" s="1"/>
  <c r="FM118" i="1"/>
  <c r="BE118" i="1" s="1"/>
  <c r="BR118" i="1" s="1"/>
  <c r="FQ118" i="1"/>
  <c r="BI118" i="1" s="1"/>
  <c r="BV118" i="1" s="1"/>
  <c r="BQ118" i="1" l="1"/>
  <c r="CG118" i="1" s="1"/>
  <c r="CD118" i="1" l="1"/>
  <c r="CH118" i="1"/>
  <c r="CJ118" i="1"/>
  <c r="CM118" i="1"/>
  <c r="DW118" i="1" s="1"/>
  <c r="DY118" i="1" s="1"/>
  <c r="E118" i="1" s="1"/>
  <c r="AG118" i="1" s="1"/>
  <c r="CL118" i="1"/>
  <c r="CI118" i="1"/>
  <c r="CF118" i="1"/>
  <c r="CK118" i="1"/>
  <c r="CE118" i="1"/>
  <c r="AL118" i="1" l="1"/>
  <c r="AN118" i="1"/>
  <c r="M118" i="1"/>
  <c r="AH118" i="1"/>
  <c r="AJ118" i="1"/>
  <c r="AM118" i="1"/>
  <c r="AK118" i="1"/>
  <c r="AF118" i="1"/>
  <c r="AI118" i="1"/>
  <c r="AE118" i="1" l="1"/>
  <c r="G118" i="1" s="1"/>
  <c r="AO118" i="1"/>
  <c r="F118" i="1" s="1"/>
  <c r="AP118" i="1" l="1"/>
  <c r="H118" i="1" s="1"/>
  <c r="K118" i="1" s="1"/>
  <c r="C119" i="1" s="1"/>
  <c r="O118" i="1" l="1"/>
  <c r="D119" i="1"/>
  <c r="Y119" i="1" s="1"/>
  <c r="B119" i="1"/>
  <c r="I119" i="1"/>
  <c r="L118" i="1"/>
  <c r="P118" i="1" l="1"/>
  <c r="CS119" i="1"/>
  <c r="DE119" i="1" s="1"/>
  <c r="CU119" i="1"/>
  <c r="DG119" i="1" s="1"/>
  <c r="CT119" i="1"/>
  <c r="DF119" i="1" s="1"/>
  <c r="CY119" i="1"/>
  <c r="DK119" i="1" s="1"/>
  <c r="CQ119" i="1"/>
  <c r="DC119" i="1" s="1"/>
  <c r="CX119" i="1"/>
  <c r="DJ119" i="1" s="1"/>
  <c r="CP119" i="1"/>
  <c r="DB119" i="1" s="1"/>
  <c r="CV119" i="1"/>
  <c r="DH119" i="1" s="1"/>
  <c r="U119" i="1"/>
  <c r="EF119" i="1" s="1"/>
  <c r="CW119" i="1"/>
  <c r="DI119" i="1" s="1"/>
  <c r="CR119" i="1"/>
  <c r="DD119" i="1" s="1"/>
  <c r="X119" i="1"/>
  <c r="EI119" i="1" s="1"/>
  <c r="T119" i="1"/>
  <c r="EE119" i="1" s="1"/>
  <c r="J119" i="1"/>
  <c r="AA119" i="1"/>
  <c r="EL119" i="1" s="1"/>
  <c r="W119" i="1"/>
  <c r="EH119" i="1" s="1"/>
  <c r="S119" i="1"/>
  <c r="ED119" i="1" s="1"/>
  <c r="Z119" i="1"/>
  <c r="EK119" i="1" s="1"/>
  <c r="V119" i="1"/>
  <c r="EJ119" i="1"/>
  <c r="CO119" i="1" l="1"/>
  <c r="R119" i="1"/>
  <c r="AB119" i="1"/>
  <c r="AC119" i="1" s="1"/>
  <c r="AX119" i="1" s="1"/>
  <c r="DS119" i="1" s="1"/>
  <c r="EG119" i="1"/>
  <c r="EO119" i="1" s="1"/>
  <c r="BA119" i="1" l="1"/>
  <c r="DV119" i="1" s="1"/>
  <c r="ER119" i="1"/>
  <c r="EN119" i="1"/>
  <c r="EQ119" i="1"/>
  <c r="AW119" i="1"/>
  <c r="DR119" i="1" s="1"/>
  <c r="EP119" i="1"/>
  <c r="AT119" i="1"/>
  <c r="DO119" i="1" s="1"/>
  <c r="AS119" i="1"/>
  <c r="DN119" i="1" s="1"/>
  <c r="AZ119" i="1"/>
  <c r="DU119" i="1" s="1"/>
  <c r="AY119" i="1"/>
  <c r="DT119" i="1" s="1"/>
  <c r="AV119" i="1"/>
  <c r="DQ119" i="1" s="1"/>
  <c r="AU119" i="1"/>
  <c r="DP119" i="1" s="1"/>
  <c r="EU119" i="1" l="1"/>
  <c r="EV119" i="1"/>
  <c r="EW119" i="1"/>
  <c r="EX119" i="1"/>
  <c r="ET119" i="1"/>
  <c r="BB119" i="1"/>
  <c r="FB119" i="1" l="1"/>
  <c r="FG119" i="1"/>
  <c r="FI119" i="1"/>
  <c r="FA119" i="1"/>
  <c r="FF119" i="1"/>
  <c r="FD119" i="1"/>
  <c r="FJ119" i="1"/>
  <c r="FW119" i="1" s="1"/>
  <c r="BO119" i="1" s="1"/>
  <c r="N119" i="1" s="1"/>
  <c r="FE119" i="1"/>
  <c r="FC119" i="1"/>
  <c r="EZ119" i="1"/>
  <c r="FH119" i="1"/>
  <c r="FL119" i="1" l="1"/>
  <c r="FR119" i="1" s="1"/>
  <c r="BJ119" i="1" s="1"/>
  <c r="BW119" i="1" s="1"/>
  <c r="FV119" i="1" l="1"/>
  <c r="BN119" i="1" s="1"/>
  <c r="CA119" i="1" s="1"/>
  <c r="FS119" i="1"/>
  <c r="BK119" i="1" s="1"/>
  <c r="BX119" i="1" s="1"/>
  <c r="FM119" i="1"/>
  <c r="BE119" i="1" s="1"/>
  <c r="BR119" i="1" s="1"/>
  <c r="FU119" i="1"/>
  <c r="BM119" i="1" s="1"/>
  <c r="BZ119" i="1" s="1"/>
  <c r="FP119" i="1"/>
  <c r="BH119" i="1" s="1"/>
  <c r="BU119" i="1" s="1"/>
  <c r="FO119" i="1"/>
  <c r="BG119" i="1" s="1"/>
  <c r="BT119" i="1" s="1"/>
  <c r="FQ119" i="1"/>
  <c r="BI119" i="1" s="1"/>
  <c r="BV119" i="1" s="1"/>
  <c r="FN119" i="1"/>
  <c r="BF119" i="1" s="1"/>
  <c r="BS119" i="1" s="1"/>
  <c r="FT119" i="1"/>
  <c r="BL119" i="1" s="1"/>
  <c r="BY119" i="1" s="1"/>
  <c r="BQ119" i="1" l="1"/>
  <c r="CF119" i="1" s="1"/>
  <c r="CG119" i="1" l="1"/>
  <c r="CD119" i="1"/>
  <c r="CL119" i="1"/>
  <c r="CE119" i="1"/>
  <c r="CK119" i="1"/>
  <c r="CI119" i="1"/>
  <c r="CM119" i="1"/>
  <c r="DW119" i="1" s="1"/>
  <c r="DY119" i="1" s="1"/>
  <c r="E119" i="1" s="1"/>
  <c r="AH119" i="1" s="1"/>
  <c r="CJ119" i="1"/>
  <c r="CH119" i="1"/>
  <c r="M119" i="1" l="1"/>
  <c r="AK119" i="1"/>
  <c r="AN119" i="1"/>
  <c r="AI119" i="1"/>
  <c r="AF119" i="1"/>
  <c r="AL119" i="1"/>
  <c r="AM119" i="1"/>
  <c r="AJ119" i="1"/>
  <c r="AG119" i="1"/>
  <c r="AE119" i="1" l="1"/>
  <c r="G119" i="1" s="1"/>
  <c r="AO119" i="1"/>
  <c r="AP119" i="1" s="1"/>
  <c r="H119" i="1" s="1"/>
  <c r="K119" i="1" s="1"/>
  <c r="B120" i="1" s="1"/>
  <c r="L119" i="1" l="1"/>
  <c r="I120" i="1"/>
  <c r="C120" i="1"/>
  <c r="D120" i="1"/>
  <c r="Z120" i="1" s="1"/>
  <c r="F119" i="1"/>
  <c r="O119" i="1" s="1"/>
  <c r="P119" i="1" l="1"/>
  <c r="CY120" i="1"/>
  <c r="U120" i="1"/>
  <c r="X120" i="1"/>
  <c r="EI120" i="1" s="1"/>
  <c r="W120" i="1"/>
  <c r="CT120" i="1"/>
  <c r="DF120" i="1" s="1"/>
  <c r="S120" i="1"/>
  <c r="ED120" i="1" s="1"/>
  <c r="CP120" i="1"/>
  <c r="DB120" i="1" s="1"/>
  <c r="AA120" i="1"/>
  <c r="EL120" i="1" s="1"/>
  <c r="V120" i="1"/>
  <c r="CR120" i="1"/>
  <c r="DD120" i="1" s="1"/>
  <c r="CX120" i="1"/>
  <c r="DJ120" i="1" s="1"/>
  <c r="CW120" i="1"/>
  <c r="DI120" i="1" s="1"/>
  <c r="CU120" i="1"/>
  <c r="DG120" i="1" s="1"/>
  <c r="T120" i="1"/>
  <c r="EE120" i="1" s="1"/>
  <c r="CS120" i="1"/>
  <c r="DE120" i="1" s="1"/>
  <c r="CQ120" i="1"/>
  <c r="DC120" i="1" s="1"/>
  <c r="Y120" i="1"/>
  <c r="EJ120" i="1" s="1"/>
  <c r="J120" i="1"/>
  <c r="CV120" i="1"/>
  <c r="DH120" i="1" s="1"/>
  <c r="EH120" i="1"/>
  <c r="EK120" i="1"/>
  <c r="EF120" i="1"/>
  <c r="DK120" i="1" l="1"/>
  <c r="AB120" i="1"/>
  <c r="AC120" i="1" s="1"/>
  <c r="AT120" i="1" s="1"/>
  <c r="DO120" i="1" s="1"/>
  <c r="EG120" i="1"/>
  <c r="ER120" i="1" s="1"/>
  <c r="CO120" i="1"/>
  <c r="R120" i="1"/>
  <c r="EP120" i="1" l="1"/>
  <c r="EQ120" i="1"/>
  <c r="EN120" i="1"/>
  <c r="EO120" i="1"/>
  <c r="AU120" i="1"/>
  <c r="DP120" i="1" s="1"/>
  <c r="BA120" i="1"/>
  <c r="DV120" i="1" s="1"/>
  <c r="AX120" i="1"/>
  <c r="DS120" i="1" s="1"/>
  <c r="AW120" i="1"/>
  <c r="DR120" i="1" s="1"/>
  <c r="AZ120" i="1"/>
  <c r="DU120" i="1" s="1"/>
  <c r="AS120" i="1"/>
  <c r="DN120" i="1" s="1"/>
  <c r="AV120" i="1"/>
  <c r="DQ120" i="1" s="1"/>
  <c r="AY120" i="1"/>
  <c r="DT120" i="1" s="1"/>
  <c r="EV120" i="1" l="1"/>
  <c r="EW120" i="1"/>
  <c r="EU120" i="1"/>
  <c r="EX120" i="1"/>
  <c r="ET120" i="1"/>
  <c r="BB120" i="1"/>
  <c r="FA120" i="1" l="1"/>
  <c r="FD120" i="1"/>
  <c r="FG120" i="1"/>
  <c r="FI120" i="1"/>
  <c r="FH120" i="1"/>
  <c r="FE120" i="1"/>
  <c r="FB120" i="1"/>
  <c r="FC120" i="1"/>
  <c r="FF120" i="1"/>
  <c r="FJ120" i="1"/>
  <c r="FW120" i="1" s="1"/>
  <c r="BO120" i="1" s="1"/>
  <c r="N120" i="1" s="1"/>
  <c r="EZ120" i="1"/>
  <c r="FL120" i="1" l="1"/>
  <c r="FO120" i="1" s="1"/>
  <c r="BG120" i="1" s="1"/>
  <c r="BT120" i="1" s="1"/>
  <c r="FP120" i="1" l="1"/>
  <c r="BH120" i="1" s="1"/>
  <c r="BU120" i="1" s="1"/>
  <c r="FV120" i="1"/>
  <c r="BN120" i="1" s="1"/>
  <c r="CA120" i="1" s="1"/>
  <c r="FT120" i="1"/>
  <c r="BL120" i="1" s="1"/>
  <c r="BY120" i="1" s="1"/>
  <c r="FU120" i="1"/>
  <c r="BM120" i="1" s="1"/>
  <c r="BZ120" i="1" s="1"/>
  <c r="FM120" i="1"/>
  <c r="BE120" i="1" s="1"/>
  <c r="BR120" i="1" s="1"/>
  <c r="FS120" i="1"/>
  <c r="BK120" i="1" s="1"/>
  <c r="BX120" i="1" s="1"/>
  <c r="FQ120" i="1"/>
  <c r="BI120" i="1" s="1"/>
  <c r="BV120" i="1" s="1"/>
  <c r="FR120" i="1"/>
  <c r="BJ120" i="1" s="1"/>
  <c r="BW120" i="1" s="1"/>
  <c r="FN120" i="1"/>
  <c r="BF120" i="1" s="1"/>
  <c r="BS120" i="1" s="1"/>
  <c r="BQ120" i="1" l="1"/>
  <c r="CF120" i="1" s="1"/>
  <c r="CG120" i="1" l="1"/>
  <c r="CK120" i="1"/>
  <c r="CD120" i="1"/>
  <c r="CE120" i="1"/>
  <c r="CL120" i="1"/>
  <c r="CM120" i="1"/>
  <c r="DW120" i="1" s="1"/>
  <c r="DY120" i="1" s="1"/>
  <c r="E120" i="1" s="1"/>
  <c r="AL120" i="1" s="1"/>
  <c r="CH120" i="1"/>
  <c r="CJ120" i="1"/>
  <c r="CI120" i="1"/>
  <c r="AK120" i="1" l="1"/>
  <c r="AH120" i="1"/>
  <c r="AM120" i="1"/>
  <c r="AF120" i="1"/>
  <c r="AG120" i="1"/>
  <c r="AN120" i="1"/>
  <c r="AI120" i="1"/>
  <c r="M120" i="1"/>
  <c r="AJ120" i="1"/>
  <c r="AE120" i="1" l="1"/>
  <c r="G120" i="1" s="1"/>
  <c r="AO120" i="1"/>
  <c r="AP120" i="1" s="1"/>
  <c r="H120" i="1" s="1"/>
  <c r="K120" i="1" s="1"/>
  <c r="F120" i="1" l="1"/>
  <c r="O120" i="1" s="1"/>
  <c r="L120" i="1"/>
  <c r="B121" i="1"/>
  <c r="C121" i="1"/>
  <c r="I121" i="1"/>
  <c r="D121" i="1"/>
  <c r="P120" i="1" l="1"/>
  <c r="S121" i="1"/>
  <c r="W121" i="1"/>
  <c r="AA121" i="1"/>
  <c r="J121" i="1"/>
  <c r="T121" i="1"/>
  <c r="X121" i="1"/>
  <c r="U121" i="1"/>
  <c r="Y121" i="1"/>
  <c r="V121" i="1"/>
  <c r="Z121" i="1"/>
  <c r="CY121" i="1"/>
  <c r="CP121" i="1"/>
  <c r="CS121" i="1"/>
  <c r="DE121" i="1" s="1"/>
  <c r="CW121" i="1"/>
  <c r="DI121" i="1" s="1"/>
  <c r="CT121" i="1"/>
  <c r="DF121" i="1" s="1"/>
  <c r="CX121" i="1"/>
  <c r="DJ121" i="1" s="1"/>
  <c r="CQ121" i="1"/>
  <c r="DC121" i="1" s="1"/>
  <c r="CU121" i="1"/>
  <c r="DG121" i="1" s="1"/>
  <c r="CR121" i="1"/>
  <c r="DD121" i="1" s="1"/>
  <c r="CV121" i="1"/>
  <c r="DH121" i="1" s="1"/>
  <c r="DK121" i="1" l="1"/>
  <c r="EJ121" i="1"/>
  <c r="EK121" i="1"/>
  <c r="EF121" i="1"/>
  <c r="EL121" i="1"/>
  <c r="EG121" i="1"/>
  <c r="EI121" i="1"/>
  <c r="EH121" i="1"/>
  <c r="DB121" i="1"/>
  <c r="CO121" i="1"/>
  <c r="EE121" i="1"/>
  <c r="ED121" i="1"/>
  <c r="AB121" i="1"/>
  <c r="AC121" i="1" s="1"/>
  <c r="BA121" i="1" s="1"/>
  <c r="DV121" i="1" s="1"/>
  <c r="R121" i="1"/>
  <c r="AX121" i="1" l="1"/>
  <c r="DS121" i="1" s="1"/>
  <c r="AZ121" i="1"/>
  <c r="DU121" i="1" s="1"/>
  <c r="ER121" i="1"/>
  <c r="EP121" i="1"/>
  <c r="EN121" i="1"/>
  <c r="EO121" i="1"/>
  <c r="EQ121" i="1"/>
  <c r="AY121" i="1"/>
  <c r="DT121" i="1" s="1"/>
  <c r="AW121" i="1"/>
  <c r="DR121" i="1" s="1"/>
  <c r="AS121" i="1"/>
  <c r="AT121" i="1"/>
  <c r="DO121" i="1" s="1"/>
  <c r="AV121" i="1"/>
  <c r="DQ121" i="1" s="1"/>
  <c r="AU121" i="1"/>
  <c r="DP121" i="1" s="1"/>
  <c r="DN121" i="1" l="1"/>
  <c r="BB121" i="1"/>
  <c r="EW121" i="1"/>
  <c r="ET121" i="1"/>
  <c r="EX121" i="1"/>
  <c r="EU121" i="1"/>
  <c r="EV121" i="1"/>
  <c r="FA121" i="1" l="1"/>
  <c r="FE121" i="1"/>
  <c r="FI121" i="1"/>
  <c r="FB121" i="1"/>
  <c r="FF121" i="1"/>
  <c r="FC121" i="1"/>
  <c r="FG121" i="1"/>
  <c r="FJ121" i="1"/>
  <c r="FW121" i="1" s="1"/>
  <c r="BO121" i="1" s="1"/>
  <c r="N121" i="1" s="1"/>
  <c r="EZ121" i="1"/>
  <c r="FD121" i="1"/>
  <c r="FH121" i="1"/>
  <c r="FL121" i="1" l="1"/>
  <c r="FO121" i="1" s="1"/>
  <c r="BG121" i="1" s="1"/>
  <c r="BT121" i="1" s="1"/>
  <c r="FR121" i="1" l="1"/>
  <c r="BJ121" i="1" s="1"/>
  <c r="BW121" i="1" s="1"/>
  <c r="FU121" i="1"/>
  <c r="BM121" i="1" s="1"/>
  <c r="BZ121" i="1" s="1"/>
  <c r="FV121" i="1"/>
  <c r="BN121" i="1" s="1"/>
  <c r="CA121" i="1" s="1"/>
  <c r="FN121" i="1"/>
  <c r="BF121" i="1" s="1"/>
  <c r="BS121" i="1" s="1"/>
  <c r="FT121" i="1"/>
  <c r="BL121" i="1" s="1"/>
  <c r="BY121" i="1" s="1"/>
  <c r="FS121" i="1"/>
  <c r="BK121" i="1" s="1"/>
  <c r="BX121" i="1" s="1"/>
  <c r="FP121" i="1"/>
  <c r="BH121" i="1" s="1"/>
  <c r="BU121" i="1" s="1"/>
  <c r="FM121" i="1"/>
  <c r="BE121" i="1" s="1"/>
  <c r="BR121" i="1" s="1"/>
  <c r="FQ121" i="1"/>
  <c r="BI121" i="1" s="1"/>
  <c r="BV121" i="1" s="1"/>
  <c r="BQ121" i="1" l="1"/>
  <c r="CF121" i="1" s="1"/>
  <c r="CH121" i="1" l="1"/>
  <c r="CE121" i="1"/>
  <c r="CM121" i="1"/>
  <c r="DW121" i="1" s="1"/>
  <c r="DY121" i="1" s="1"/>
  <c r="E121" i="1" s="1"/>
  <c r="CL121" i="1"/>
  <c r="CJ121" i="1"/>
  <c r="CI121" i="1"/>
  <c r="CD121" i="1"/>
  <c r="CK121" i="1"/>
  <c r="CG121" i="1"/>
  <c r="AI121" i="1" l="1"/>
  <c r="AM121" i="1"/>
  <c r="AF121" i="1"/>
  <c r="AJ121" i="1"/>
  <c r="AN121" i="1"/>
  <c r="AG121" i="1"/>
  <c r="AK121" i="1"/>
  <c r="AH121" i="1"/>
  <c r="AL121" i="1"/>
  <c r="M121" i="1"/>
  <c r="AE121" i="1" l="1"/>
  <c r="G121" i="1" s="1"/>
  <c r="AO121" i="1"/>
  <c r="F121" i="1" l="1"/>
  <c r="AP121" i="1"/>
  <c r="H121" i="1" s="1"/>
  <c r="K121" i="1" s="1"/>
  <c r="L121" i="1" l="1"/>
  <c r="B122" i="1"/>
  <c r="C122" i="1"/>
  <c r="I122" i="1"/>
  <c r="D122" i="1"/>
  <c r="O121" i="1"/>
  <c r="P121" i="1" l="1"/>
  <c r="T122" i="1"/>
  <c r="X122" i="1"/>
  <c r="U122" i="1"/>
  <c r="Y122" i="1"/>
  <c r="V122" i="1"/>
  <c r="Z122" i="1"/>
  <c r="S122" i="1"/>
  <c r="W122" i="1"/>
  <c r="AA122" i="1"/>
  <c r="J122" i="1"/>
  <c r="CR122" i="1"/>
  <c r="DD122" i="1" s="1"/>
  <c r="CV122" i="1"/>
  <c r="DH122" i="1" s="1"/>
  <c r="CP122" i="1"/>
  <c r="CS122" i="1"/>
  <c r="DE122" i="1" s="1"/>
  <c r="CW122" i="1"/>
  <c r="DI122" i="1" s="1"/>
  <c r="CT122" i="1"/>
  <c r="DF122" i="1" s="1"/>
  <c r="CX122" i="1"/>
  <c r="DJ122" i="1" s="1"/>
  <c r="CY122" i="1"/>
  <c r="CQ122" i="1"/>
  <c r="DC122" i="1" s="1"/>
  <c r="CU122" i="1"/>
  <c r="DG122" i="1" s="1"/>
  <c r="DK122" i="1" l="1"/>
  <c r="AB122" i="1"/>
  <c r="AC122" i="1" s="1"/>
  <c r="AW122" i="1" s="1"/>
  <c r="DR122" i="1" s="1"/>
  <c r="R122" i="1"/>
  <c r="ED122" i="1"/>
  <c r="EJ122" i="1"/>
  <c r="EK122" i="1"/>
  <c r="EF122" i="1"/>
  <c r="DB122" i="1"/>
  <c r="CO122" i="1"/>
  <c r="EL122" i="1"/>
  <c r="EG122" i="1"/>
  <c r="EI122" i="1"/>
  <c r="EH122" i="1"/>
  <c r="EE122" i="1"/>
  <c r="AV122" i="1" l="1"/>
  <c r="DQ122" i="1" s="1"/>
  <c r="AZ122" i="1"/>
  <c r="DU122" i="1" s="1"/>
  <c r="AS122" i="1"/>
  <c r="AY122" i="1"/>
  <c r="DT122" i="1" s="1"/>
  <c r="AT122" i="1"/>
  <c r="DO122" i="1" s="1"/>
  <c r="AX122" i="1"/>
  <c r="DS122" i="1" s="1"/>
  <c r="BA122" i="1"/>
  <c r="DV122" i="1" s="1"/>
  <c r="AU122" i="1"/>
  <c r="DP122" i="1" s="1"/>
  <c r="EO122" i="1"/>
  <c r="EQ122" i="1"/>
  <c r="EN122" i="1"/>
  <c r="EP122" i="1"/>
  <c r="ER122" i="1"/>
  <c r="EX122" i="1" l="1"/>
  <c r="EV122" i="1"/>
  <c r="ET122" i="1"/>
  <c r="EW122" i="1"/>
  <c r="EU122" i="1"/>
  <c r="BB122" i="1"/>
  <c r="DN122" i="1"/>
  <c r="FB122" i="1" l="1"/>
  <c r="FF122" i="1"/>
  <c r="FC122" i="1"/>
  <c r="FG122" i="1"/>
  <c r="FJ122" i="1"/>
  <c r="FW122" i="1" s="1"/>
  <c r="BO122" i="1" s="1"/>
  <c r="N122" i="1" s="1"/>
  <c r="EZ122" i="1"/>
  <c r="FD122" i="1"/>
  <c r="FH122" i="1"/>
  <c r="FA122" i="1"/>
  <c r="FE122" i="1"/>
  <c r="FI122" i="1"/>
  <c r="FL122" i="1" l="1"/>
  <c r="FV122" i="1" s="1"/>
  <c r="BN122" i="1" s="1"/>
  <c r="CA122" i="1" s="1"/>
  <c r="FS122" i="1" l="1"/>
  <c r="BK122" i="1" s="1"/>
  <c r="BX122" i="1" s="1"/>
  <c r="FT122" i="1"/>
  <c r="BL122" i="1" s="1"/>
  <c r="BY122" i="1" s="1"/>
  <c r="FN122" i="1"/>
  <c r="BF122" i="1" s="1"/>
  <c r="BS122" i="1" s="1"/>
  <c r="FR122" i="1"/>
  <c r="BJ122" i="1" s="1"/>
  <c r="BW122" i="1" s="1"/>
  <c r="FO122" i="1"/>
  <c r="BG122" i="1" s="1"/>
  <c r="BT122" i="1" s="1"/>
  <c r="FP122" i="1"/>
  <c r="BH122" i="1" s="1"/>
  <c r="BU122" i="1" s="1"/>
  <c r="FU122" i="1"/>
  <c r="BM122" i="1" s="1"/>
  <c r="BZ122" i="1" s="1"/>
  <c r="FM122" i="1"/>
  <c r="BE122" i="1" s="1"/>
  <c r="BR122" i="1" s="1"/>
  <c r="FQ122" i="1"/>
  <c r="BI122" i="1" s="1"/>
  <c r="BV122" i="1" s="1"/>
  <c r="BQ122" i="1" l="1"/>
  <c r="CM122" i="1" l="1"/>
  <c r="DW122" i="1" s="1"/>
  <c r="DY122" i="1" s="1"/>
  <c r="E122" i="1" s="1"/>
  <c r="CJ122" i="1"/>
  <c r="CK122" i="1"/>
  <c r="CE122" i="1"/>
  <c r="CF122" i="1"/>
  <c r="CI122" i="1"/>
  <c r="CG122" i="1"/>
  <c r="CH122" i="1"/>
  <c r="CL122" i="1"/>
  <c r="CD122" i="1"/>
  <c r="AF122" i="1" l="1"/>
  <c r="AJ122" i="1"/>
  <c r="AN122" i="1"/>
  <c r="AG122" i="1"/>
  <c r="AK122" i="1"/>
  <c r="AH122" i="1"/>
  <c r="AL122" i="1"/>
  <c r="AI122" i="1"/>
  <c r="AM122" i="1"/>
  <c r="M122" i="1"/>
  <c r="AE122" i="1" l="1"/>
  <c r="G122" i="1" s="1"/>
  <c r="AO122" i="1"/>
  <c r="F122" i="1" l="1"/>
  <c r="AP122" i="1"/>
  <c r="H122" i="1" s="1"/>
  <c r="K122" i="1" s="1"/>
  <c r="C123" i="1" l="1"/>
  <c r="D123" i="1"/>
  <c r="O122" i="1"/>
  <c r="L122" i="1"/>
  <c r="I123" i="1"/>
  <c r="B123" i="1"/>
  <c r="P122" i="1" l="1"/>
  <c r="U123" i="1"/>
  <c r="Y123" i="1"/>
  <c r="V123" i="1"/>
  <c r="Z123" i="1"/>
  <c r="S123" i="1"/>
  <c r="W123" i="1"/>
  <c r="AA123" i="1"/>
  <c r="J123" i="1"/>
  <c r="T123" i="1"/>
  <c r="X123" i="1"/>
  <c r="CP123" i="1"/>
  <c r="CT123" i="1"/>
  <c r="DF123" i="1" s="1"/>
  <c r="CX123" i="1"/>
  <c r="DJ123" i="1" s="1"/>
  <c r="CQ123" i="1"/>
  <c r="DC123" i="1" s="1"/>
  <c r="CU123" i="1"/>
  <c r="DG123" i="1" s="1"/>
  <c r="CY123" i="1"/>
  <c r="DK123" i="1" s="1"/>
  <c r="CR123" i="1"/>
  <c r="DD123" i="1" s="1"/>
  <c r="CV123" i="1"/>
  <c r="DH123" i="1" s="1"/>
  <c r="CS123" i="1"/>
  <c r="DE123" i="1" s="1"/>
  <c r="CW123" i="1"/>
  <c r="DI123" i="1" s="1"/>
  <c r="CO123" i="1" l="1"/>
  <c r="DB123" i="1"/>
  <c r="EL123" i="1"/>
  <c r="EG123" i="1"/>
  <c r="EI123" i="1"/>
  <c r="EH123" i="1"/>
  <c r="EE123" i="1"/>
  <c r="ED123" i="1"/>
  <c r="R123" i="1"/>
  <c r="AB123" i="1"/>
  <c r="AC123" i="1" s="1"/>
  <c r="BA123" i="1" s="1"/>
  <c r="DV123" i="1" s="1"/>
  <c r="EJ123" i="1"/>
  <c r="EK123" i="1"/>
  <c r="EF123" i="1"/>
  <c r="AX123" i="1" l="1"/>
  <c r="DS123" i="1" s="1"/>
  <c r="AZ123" i="1"/>
  <c r="DU123" i="1" s="1"/>
  <c r="EP123" i="1"/>
  <c r="ER123" i="1"/>
  <c r="EQ123" i="1"/>
  <c r="EO123" i="1"/>
  <c r="EN123" i="1"/>
  <c r="AV123" i="1"/>
  <c r="DQ123" i="1" s="1"/>
  <c r="AU123" i="1"/>
  <c r="DP123" i="1" s="1"/>
  <c r="AY123" i="1"/>
  <c r="DT123" i="1" s="1"/>
  <c r="AS123" i="1"/>
  <c r="AW123" i="1"/>
  <c r="DR123" i="1" s="1"/>
  <c r="AT123" i="1"/>
  <c r="DO123" i="1" s="1"/>
  <c r="DN123" i="1" l="1"/>
  <c r="BB123" i="1"/>
  <c r="EW123" i="1"/>
  <c r="ET123" i="1"/>
  <c r="EV123" i="1"/>
  <c r="EU123" i="1"/>
  <c r="EX123" i="1"/>
  <c r="FC123" i="1" l="1"/>
  <c r="FG123" i="1"/>
  <c r="FJ123" i="1"/>
  <c r="FW123" i="1" s="1"/>
  <c r="BO123" i="1" s="1"/>
  <c r="N123" i="1" s="1"/>
  <c r="EZ123" i="1"/>
  <c r="FD123" i="1"/>
  <c r="FH123" i="1"/>
  <c r="FA123" i="1"/>
  <c r="FE123" i="1"/>
  <c r="FI123" i="1"/>
  <c r="FB123" i="1"/>
  <c r="FF123" i="1"/>
  <c r="FL123" i="1" l="1"/>
  <c r="FR123" i="1" s="1"/>
  <c r="BJ123" i="1" s="1"/>
  <c r="BW123" i="1" s="1"/>
  <c r="FT123" i="1" l="1"/>
  <c r="BL123" i="1" s="1"/>
  <c r="BY123" i="1" s="1"/>
  <c r="FN123" i="1"/>
  <c r="BF123" i="1" s="1"/>
  <c r="BS123" i="1" s="1"/>
  <c r="FP123" i="1"/>
  <c r="BH123" i="1" s="1"/>
  <c r="BU123" i="1" s="1"/>
  <c r="FU123" i="1"/>
  <c r="BM123" i="1" s="1"/>
  <c r="BZ123" i="1" s="1"/>
  <c r="FM123" i="1"/>
  <c r="BE123" i="1" s="1"/>
  <c r="BR123" i="1" s="1"/>
  <c r="FQ123" i="1"/>
  <c r="BI123" i="1" s="1"/>
  <c r="BV123" i="1" s="1"/>
  <c r="FO123" i="1"/>
  <c r="BG123" i="1" s="1"/>
  <c r="BT123" i="1" s="1"/>
  <c r="FV123" i="1"/>
  <c r="BN123" i="1" s="1"/>
  <c r="CA123" i="1" s="1"/>
  <c r="FS123" i="1"/>
  <c r="BK123" i="1" s="1"/>
  <c r="BX123" i="1" s="1"/>
  <c r="BQ123" i="1" l="1"/>
  <c r="CE123" i="1" s="1"/>
  <c r="CM123" i="1" l="1"/>
  <c r="DW123" i="1" s="1"/>
  <c r="DY123" i="1" s="1"/>
  <c r="E123" i="1" s="1"/>
  <c r="AK123" i="1" s="1"/>
  <c r="CF123" i="1"/>
  <c r="CJ123" i="1"/>
  <c r="CH123" i="1"/>
  <c r="CI123" i="1"/>
  <c r="CK123" i="1"/>
  <c r="CL123" i="1"/>
  <c r="CD123" i="1"/>
  <c r="CG123" i="1"/>
  <c r="AN123" i="1" l="1"/>
  <c r="AI123" i="1"/>
  <c r="AG123" i="1"/>
  <c r="AJ123" i="1"/>
  <c r="AL123" i="1"/>
  <c r="AF123" i="1"/>
  <c r="AH123" i="1"/>
  <c r="M123" i="1"/>
  <c r="AM123" i="1"/>
  <c r="AE123" i="1" l="1"/>
  <c r="G123" i="1" s="1"/>
  <c r="AO123" i="1"/>
  <c r="AP123" i="1" s="1"/>
  <c r="H123" i="1" s="1"/>
  <c r="K123" i="1" s="1"/>
  <c r="F123" i="1" l="1"/>
  <c r="O123" i="1" s="1"/>
  <c r="D124" i="1"/>
  <c r="L123" i="1"/>
  <c r="B124" i="1"/>
  <c r="C124" i="1"/>
  <c r="I124" i="1"/>
  <c r="P123" i="1" l="1"/>
  <c r="CQ124" i="1"/>
  <c r="DC124" i="1" s="1"/>
  <c r="CU124" i="1"/>
  <c r="DG124" i="1" s="1"/>
  <c r="CY124" i="1"/>
  <c r="CR124" i="1"/>
  <c r="DD124" i="1" s="1"/>
  <c r="CV124" i="1"/>
  <c r="DH124" i="1" s="1"/>
  <c r="CP124" i="1"/>
  <c r="CS124" i="1"/>
  <c r="DE124" i="1" s="1"/>
  <c r="CW124" i="1"/>
  <c r="DI124" i="1" s="1"/>
  <c r="CT124" i="1"/>
  <c r="DF124" i="1" s="1"/>
  <c r="CX124" i="1"/>
  <c r="DJ124" i="1" s="1"/>
  <c r="V124" i="1"/>
  <c r="Z124" i="1"/>
  <c r="S124" i="1"/>
  <c r="W124" i="1"/>
  <c r="AA124" i="1"/>
  <c r="J124" i="1"/>
  <c r="T124" i="1"/>
  <c r="X124" i="1"/>
  <c r="U124" i="1"/>
  <c r="Y124" i="1"/>
  <c r="DK124" i="1" l="1"/>
  <c r="EG124" i="1"/>
  <c r="EI124" i="1"/>
  <c r="EH124" i="1"/>
  <c r="EE124" i="1"/>
  <c r="ED124" i="1"/>
  <c r="AB124" i="1"/>
  <c r="AC124" i="1" s="1"/>
  <c r="AW124" i="1" s="1"/>
  <c r="DR124" i="1" s="1"/>
  <c r="R124" i="1"/>
  <c r="EJ124" i="1"/>
  <c r="EK124" i="1"/>
  <c r="EL124" i="1"/>
  <c r="CO124" i="1"/>
  <c r="DB124" i="1"/>
  <c r="EF124" i="1"/>
  <c r="AZ124" i="1" l="1"/>
  <c r="DU124" i="1" s="1"/>
  <c r="AT124" i="1"/>
  <c r="DO124" i="1" s="1"/>
  <c r="AX124" i="1"/>
  <c r="DS124" i="1" s="1"/>
  <c r="EO124" i="1"/>
  <c r="EQ124" i="1"/>
  <c r="EP124" i="1"/>
  <c r="EN124" i="1"/>
  <c r="ER124" i="1"/>
  <c r="AV124" i="1"/>
  <c r="DQ124" i="1" s="1"/>
  <c r="AU124" i="1"/>
  <c r="DP124" i="1" s="1"/>
  <c r="BA124" i="1"/>
  <c r="DV124" i="1" s="1"/>
  <c r="AY124" i="1"/>
  <c r="DT124" i="1" s="1"/>
  <c r="AS124" i="1"/>
  <c r="EU124" i="1" l="1"/>
  <c r="EV124" i="1"/>
  <c r="ET124" i="1"/>
  <c r="EX124" i="1"/>
  <c r="EW124" i="1"/>
  <c r="DN124" i="1"/>
  <c r="BB124" i="1"/>
  <c r="FJ124" i="1" l="1"/>
  <c r="FW124" i="1" s="1"/>
  <c r="BO124" i="1" s="1"/>
  <c r="N124" i="1" s="1"/>
  <c r="EZ124" i="1"/>
  <c r="FD124" i="1"/>
  <c r="FH124" i="1"/>
  <c r="FA124" i="1"/>
  <c r="FE124" i="1"/>
  <c r="FI124" i="1"/>
  <c r="FB124" i="1"/>
  <c r="FF124" i="1"/>
  <c r="FC124" i="1"/>
  <c r="FG124" i="1"/>
  <c r="FL124" i="1" l="1"/>
  <c r="FV124" i="1" s="1"/>
  <c r="BN124" i="1" s="1"/>
  <c r="CA124" i="1" s="1"/>
  <c r="FU124" i="1" l="1"/>
  <c r="BM124" i="1" s="1"/>
  <c r="BZ124" i="1" s="1"/>
  <c r="FN124" i="1"/>
  <c r="BF124" i="1" s="1"/>
  <c r="BS124" i="1" s="1"/>
  <c r="FT124" i="1"/>
  <c r="BL124" i="1" s="1"/>
  <c r="BY124" i="1" s="1"/>
  <c r="FP124" i="1"/>
  <c r="BH124" i="1" s="1"/>
  <c r="BU124" i="1" s="1"/>
  <c r="FS124" i="1"/>
  <c r="BK124" i="1" s="1"/>
  <c r="BX124" i="1" s="1"/>
  <c r="FR124" i="1"/>
  <c r="BJ124" i="1" s="1"/>
  <c r="BW124" i="1" s="1"/>
  <c r="FO124" i="1"/>
  <c r="BG124" i="1" s="1"/>
  <c r="BT124" i="1" s="1"/>
  <c r="FM124" i="1"/>
  <c r="BE124" i="1" s="1"/>
  <c r="BR124" i="1" s="1"/>
  <c r="FQ124" i="1"/>
  <c r="BI124" i="1" s="1"/>
  <c r="BV124" i="1" s="1"/>
  <c r="BQ124" i="1" l="1"/>
  <c r="CD124" i="1" s="1"/>
  <c r="CF124" i="1" l="1"/>
  <c r="CM124" i="1"/>
  <c r="DW124" i="1" s="1"/>
  <c r="DY124" i="1" s="1"/>
  <c r="E124" i="1" s="1"/>
  <c r="CG124" i="1"/>
  <c r="CL124" i="1"/>
  <c r="CI124" i="1"/>
  <c r="CJ124" i="1"/>
  <c r="CE124" i="1"/>
  <c r="CK124" i="1"/>
  <c r="CH124" i="1"/>
  <c r="AH124" i="1" l="1"/>
  <c r="AL124" i="1"/>
  <c r="AI124" i="1"/>
  <c r="AM124" i="1"/>
  <c r="AF124" i="1"/>
  <c r="AJ124" i="1"/>
  <c r="AN124" i="1"/>
  <c r="AG124" i="1"/>
  <c r="AK124" i="1"/>
  <c r="M124" i="1"/>
  <c r="AE124" i="1" l="1"/>
  <c r="G124" i="1" s="1"/>
  <c r="AO124" i="1"/>
  <c r="AP124" i="1" l="1"/>
  <c r="H124" i="1" s="1"/>
  <c r="K124" i="1" s="1"/>
  <c r="F124" i="1"/>
  <c r="L124" i="1" l="1"/>
  <c r="B125" i="1"/>
  <c r="C125" i="1"/>
  <c r="I125" i="1"/>
  <c r="D125" i="1"/>
  <c r="O124" i="1"/>
  <c r="P124" i="1" l="1"/>
  <c r="S125" i="1"/>
  <c r="W125" i="1"/>
  <c r="AA125" i="1"/>
  <c r="J125" i="1"/>
  <c r="T125" i="1"/>
  <c r="X125" i="1"/>
  <c r="U125" i="1"/>
  <c r="Y125" i="1"/>
  <c r="V125" i="1"/>
  <c r="Z125" i="1"/>
  <c r="CY125" i="1"/>
  <c r="CT125" i="1"/>
  <c r="DF125" i="1" s="1"/>
  <c r="CX125" i="1"/>
  <c r="DJ125" i="1" s="1"/>
  <c r="CQ125" i="1"/>
  <c r="DC125" i="1" s="1"/>
  <c r="CU125" i="1"/>
  <c r="DG125" i="1" s="1"/>
  <c r="CR125" i="1"/>
  <c r="DD125" i="1" s="1"/>
  <c r="CV125" i="1"/>
  <c r="DH125" i="1" s="1"/>
  <c r="CP125" i="1"/>
  <c r="CS125" i="1"/>
  <c r="DE125" i="1" s="1"/>
  <c r="CW125" i="1"/>
  <c r="DI125" i="1" s="1"/>
  <c r="DK125" i="1" l="1"/>
  <c r="EJ125" i="1"/>
  <c r="DB125" i="1"/>
  <c r="CO125" i="1"/>
  <c r="EK125" i="1"/>
  <c r="EF125" i="1"/>
  <c r="EL125" i="1"/>
  <c r="EG125" i="1"/>
  <c r="EI125" i="1"/>
  <c r="EH125" i="1"/>
  <c r="EE125" i="1"/>
  <c r="R125" i="1"/>
  <c r="AB125" i="1"/>
  <c r="AC125" i="1" s="1"/>
  <c r="AW125" i="1" s="1"/>
  <c r="DR125" i="1" s="1"/>
  <c r="ED125" i="1"/>
  <c r="AV125" i="1" l="1"/>
  <c r="DQ125" i="1" s="1"/>
  <c r="AU125" i="1"/>
  <c r="DP125" i="1" s="1"/>
  <c r="AY125" i="1"/>
  <c r="DT125" i="1" s="1"/>
  <c r="EP125" i="1"/>
  <c r="EO125" i="1"/>
  <c r="EQ125" i="1"/>
  <c r="EN125" i="1"/>
  <c r="ER125" i="1"/>
  <c r="BA125" i="1"/>
  <c r="DV125" i="1" s="1"/>
  <c r="AS125" i="1"/>
  <c r="AT125" i="1"/>
  <c r="DO125" i="1" s="1"/>
  <c r="AX125" i="1"/>
  <c r="DS125" i="1" s="1"/>
  <c r="AZ125" i="1"/>
  <c r="DU125" i="1" s="1"/>
  <c r="EU125" i="1" l="1"/>
  <c r="EX125" i="1"/>
  <c r="ET125" i="1"/>
  <c r="EW125" i="1"/>
  <c r="EV125" i="1"/>
  <c r="DN125" i="1"/>
  <c r="BB125" i="1"/>
  <c r="FA125" i="1" l="1"/>
  <c r="FE125" i="1"/>
  <c r="FI125" i="1"/>
  <c r="FB125" i="1"/>
  <c r="FF125" i="1"/>
  <c r="FC125" i="1"/>
  <c r="FG125" i="1"/>
  <c r="FJ125" i="1"/>
  <c r="FW125" i="1" s="1"/>
  <c r="BO125" i="1" s="1"/>
  <c r="N125" i="1" s="1"/>
  <c r="EZ125" i="1"/>
  <c r="FD125" i="1"/>
  <c r="FH125" i="1"/>
  <c r="FL125" i="1" l="1"/>
  <c r="FU125" i="1" s="1"/>
  <c r="BM125" i="1" s="1"/>
  <c r="BZ125" i="1" s="1"/>
  <c r="FQ125" i="1" l="1"/>
  <c r="BI125" i="1" s="1"/>
  <c r="BV125" i="1" s="1"/>
  <c r="FM125" i="1"/>
  <c r="BE125" i="1" s="1"/>
  <c r="BR125" i="1" s="1"/>
  <c r="FO125" i="1"/>
  <c r="BG125" i="1" s="1"/>
  <c r="BT125" i="1" s="1"/>
  <c r="FV125" i="1"/>
  <c r="BN125" i="1" s="1"/>
  <c r="CA125" i="1" s="1"/>
  <c r="FN125" i="1"/>
  <c r="BF125" i="1" s="1"/>
  <c r="BS125" i="1" s="1"/>
  <c r="FR125" i="1"/>
  <c r="BJ125" i="1" s="1"/>
  <c r="BW125" i="1" s="1"/>
  <c r="FT125" i="1"/>
  <c r="BL125" i="1" s="1"/>
  <c r="BY125" i="1" s="1"/>
  <c r="FS125" i="1"/>
  <c r="BK125" i="1" s="1"/>
  <c r="BX125" i="1" s="1"/>
  <c r="FP125" i="1"/>
  <c r="BH125" i="1" s="1"/>
  <c r="BU125" i="1" s="1"/>
  <c r="BQ125" i="1" l="1"/>
  <c r="CL125" i="1" s="1"/>
  <c r="CG125" i="1" l="1"/>
  <c r="CD125" i="1"/>
  <c r="CH125" i="1"/>
  <c r="CM125" i="1"/>
  <c r="DW125" i="1" s="1"/>
  <c r="DY125" i="1" s="1"/>
  <c r="E125" i="1" s="1"/>
  <c r="CE125" i="1"/>
  <c r="CK125" i="1"/>
  <c r="CJ125" i="1"/>
  <c r="CI125" i="1"/>
  <c r="CF125" i="1"/>
  <c r="AI125" i="1" l="1"/>
  <c r="AM125" i="1"/>
  <c r="AF125" i="1"/>
  <c r="AJ125" i="1"/>
  <c r="AN125" i="1"/>
  <c r="AG125" i="1"/>
  <c r="AK125" i="1"/>
  <c r="AH125" i="1"/>
  <c r="AL125" i="1"/>
  <c r="M125" i="1"/>
  <c r="AE125" i="1" l="1"/>
  <c r="G125" i="1" s="1"/>
  <c r="AO125" i="1"/>
  <c r="F125" i="1" l="1"/>
  <c r="AP125" i="1"/>
  <c r="H125" i="1" s="1"/>
  <c r="K125" i="1" s="1"/>
  <c r="L125" i="1" l="1"/>
  <c r="B126" i="1"/>
  <c r="C126" i="1"/>
  <c r="I126" i="1"/>
  <c r="D126" i="1"/>
  <c r="O125" i="1"/>
  <c r="P125" i="1" l="1"/>
  <c r="T126" i="1"/>
  <c r="X126" i="1"/>
  <c r="U126" i="1"/>
  <c r="Y126" i="1"/>
  <c r="V126" i="1"/>
  <c r="Z126" i="1"/>
  <c r="S126" i="1"/>
  <c r="W126" i="1"/>
  <c r="AA126" i="1"/>
  <c r="J126" i="1"/>
  <c r="CP126" i="1"/>
  <c r="CS126" i="1"/>
  <c r="DE126" i="1" s="1"/>
  <c r="CW126" i="1"/>
  <c r="DI126" i="1" s="1"/>
  <c r="CT126" i="1"/>
  <c r="DF126" i="1" s="1"/>
  <c r="CX126" i="1"/>
  <c r="DJ126" i="1" s="1"/>
  <c r="CQ126" i="1"/>
  <c r="DC126" i="1" s="1"/>
  <c r="CU126" i="1"/>
  <c r="DG126" i="1" s="1"/>
  <c r="CY126" i="1"/>
  <c r="DK126" i="1" s="1"/>
  <c r="CR126" i="1"/>
  <c r="DD126" i="1" s="1"/>
  <c r="CV126" i="1"/>
  <c r="DH126" i="1" s="1"/>
  <c r="DB126" i="1" l="1"/>
  <c r="CO126" i="1"/>
  <c r="AB126" i="1"/>
  <c r="AC126" i="1" s="1"/>
  <c r="AS126" i="1" s="1"/>
  <c r="R126" i="1"/>
  <c r="ED126" i="1"/>
  <c r="EJ126" i="1"/>
  <c r="EK126" i="1"/>
  <c r="EF126" i="1"/>
  <c r="EL126" i="1"/>
  <c r="EG126" i="1"/>
  <c r="EI126" i="1"/>
  <c r="EH126" i="1"/>
  <c r="EE126" i="1"/>
  <c r="DN126" i="1" l="1"/>
  <c r="AY126" i="1"/>
  <c r="DT126" i="1" s="1"/>
  <c r="AV126" i="1"/>
  <c r="DQ126" i="1" s="1"/>
  <c r="EO126" i="1"/>
  <c r="EP126" i="1"/>
  <c r="ER126" i="1"/>
  <c r="EN126" i="1"/>
  <c r="EQ126" i="1"/>
  <c r="AT126" i="1"/>
  <c r="DO126" i="1" s="1"/>
  <c r="AX126" i="1"/>
  <c r="DS126" i="1" s="1"/>
  <c r="BA126" i="1"/>
  <c r="DV126" i="1" s="1"/>
  <c r="AZ126" i="1"/>
  <c r="DU126" i="1" s="1"/>
  <c r="AW126" i="1"/>
  <c r="DR126" i="1" s="1"/>
  <c r="AU126" i="1"/>
  <c r="DP126" i="1" s="1"/>
  <c r="ET126" i="1" l="1"/>
  <c r="EV126" i="1"/>
  <c r="EX126" i="1"/>
  <c r="EU126" i="1"/>
  <c r="EW126" i="1"/>
  <c r="BB126" i="1"/>
  <c r="FB126" i="1" l="1"/>
  <c r="FF126" i="1"/>
  <c r="FC126" i="1"/>
  <c r="FG126" i="1"/>
  <c r="FJ126" i="1"/>
  <c r="FW126" i="1" s="1"/>
  <c r="BO126" i="1" s="1"/>
  <c r="N126" i="1" s="1"/>
  <c r="EZ126" i="1"/>
  <c r="FD126" i="1"/>
  <c r="FH126" i="1"/>
  <c r="FA126" i="1"/>
  <c r="FE126" i="1"/>
  <c r="FI126" i="1"/>
  <c r="FL126" i="1" l="1"/>
  <c r="FV126" i="1" s="1"/>
  <c r="BN126" i="1" s="1"/>
  <c r="CA126" i="1" s="1"/>
  <c r="FN126" i="1" l="1"/>
  <c r="BF126" i="1" s="1"/>
  <c r="BS126" i="1" s="1"/>
  <c r="FS126" i="1"/>
  <c r="BK126" i="1" s="1"/>
  <c r="BX126" i="1" s="1"/>
  <c r="FT126" i="1"/>
  <c r="BL126" i="1" s="1"/>
  <c r="BY126" i="1" s="1"/>
  <c r="FO126" i="1"/>
  <c r="BG126" i="1" s="1"/>
  <c r="BT126" i="1" s="1"/>
  <c r="FR126" i="1"/>
  <c r="BJ126" i="1" s="1"/>
  <c r="BW126" i="1" s="1"/>
  <c r="FP126" i="1"/>
  <c r="BH126" i="1" s="1"/>
  <c r="BU126" i="1" s="1"/>
  <c r="FU126" i="1"/>
  <c r="BM126" i="1" s="1"/>
  <c r="BZ126" i="1" s="1"/>
  <c r="FM126" i="1"/>
  <c r="BE126" i="1" s="1"/>
  <c r="BR126" i="1" s="1"/>
  <c r="FQ126" i="1"/>
  <c r="BI126" i="1" s="1"/>
  <c r="BV126" i="1" s="1"/>
  <c r="BQ126" i="1" l="1"/>
  <c r="CM126" i="1" l="1"/>
  <c r="DW126" i="1" s="1"/>
  <c r="DY126" i="1" s="1"/>
  <c r="E126" i="1" s="1"/>
  <c r="CJ126" i="1"/>
  <c r="CK126" i="1"/>
  <c r="CI126" i="1"/>
  <c r="CF126" i="1"/>
  <c r="CE126" i="1"/>
  <c r="CG126" i="1"/>
  <c r="CL126" i="1"/>
  <c r="CD126" i="1"/>
  <c r="CH126" i="1"/>
  <c r="AF126" i="1" l="1"/>
  <c r="AJ126" i="1"/>
  <c r="AN126" i="1"/>
  <c r="AG126" i="1"/>
  <c r="AK126" i="1"/>
  <c r="AH126" i="1"/>
  <c r="AL126" i="1"/>
  <c r="AI126" i="1"/>
  <c r="AM126" i="1"/>
  <c r="M126" i="1"/>
  <c r="AE126" i="1" l="1"/>
  <c r="G126" i="1" s="1"/>
  <c r="AO126" i="1"/>
  <c r="F126" i="1" l="1"/>
  <c r="AP126" i="1"/>
  <c r="H126" i="1" s="1"/>
  <c r="K126" i="1" s="1"/>
  <c r="C127" i="1" l="1"/>
  <c r="I127" i="1"/>
  <c r="D127" i="1"/>
  <c r="O126" i="1"/>
  <c r="L126" i="1"/>
  <c r="B127" i="1"/>
  <c r="P126" i="1" l="1"/>
  <c r="U127" i="1"/>
  <c r="Y127" i="1"/>
  <c r="V127" i="1"/>
  <c r="Z127" i="1"/>
  <c r="S127" i="1"/>
  <c r="W127" i="1"/>
  <c r="AA127" i="1"/>
  <c r="J127" i="1"/>
  <c r="T127" i="1"/>
  <c r="X127" i="1"/>
  <c r="CP127" i="1"/>
  <c r="CT127" i="1"/>
  <c r="DF127" i="1" s="1"/>
  <c r="CX127" i="1"/>
  <c r="DJ127" i="1" s="1"/>
  <c r="CQ127" i="1"/>
  <c r="DC127" i="1" s="1"/>
  <c r="CU127" i="1"/>
  <c r="DG127" i="1" s="1"/>
  <c r="CY127" i="1"/>
  <c r="DK127" i="1" s="1"/>
  <c r="CR127" i="1"/>
  <c r="DD127" i="1" s="1"/>
  <c r="CV127" i="1"/>
  <c r="DH127" i="1" s="1"/>
  <c r="CS127" i="1"/>
  <c r="DE127" i="1" s="1"/>
  <c r="CW127" i="1"/>
  <c r="DI127" i="1" s="1"/>
  <c r="CO127" i="1" l="1"/>
  <c r="DB127" i="1"/>
  <c r="EL127" i="1"/>
  <c r="EG127" i="1"/>
  <c r="EI127" i="1"/>
  <c r="EH127" i="1"/>
  <c r="EE127" i="1"/>
  <c r="R127" i="1"/>
  <c r="AB127" i="1"/>
  <c r="AC127" i="1" s="1"/>
  <c r="AX127" i="1" s="1"/>
  <c r="DS127" i="1" s="1"/>
  <c r="ED127" i="1"/>
  <c r="EJ127" i="1"/>
  <c r="EK127" i="1"/>
  <c r="EF127" i="1"/>
  <c r="BA127" i="1" l="1"/>
  <c r="DV127" i="1" s="1"/>
  <c r="AV127" i="1"/>
  <c r="DQ127" i="1" s="1"/>
  <c r="AY127" i="1"/>
  <c r="DT127" i="1" s="1"/>
  <c r="AU127" i="1"/>
  <c r="DP127" i="1" s="1"/>
  <c r="AS127" i="1"/>
  <c r="AW127" i="1"/>
  <c r="DR127" i="1" s="1"/>
  <c r="AZ127" i="1"/>
  <c r="DU127" i="1" s="1"/>
  <c r="ER127" i="1"/>
  <c r="EN127" i="1"/>
  <c r="EQ127" i="1"/>
  <c r="EO127" i="1"/>
  <c r="EP127" i="1"/>
  <c r="AT127" i="1"/>
  <c r="DO127" i="1" s="1"/>
  <c r="EV127" i="1" l="1"/>
  <c r="EW127" i="1"/>
  <c r="ET127" i="1"/>
  <c r="EU127" i="1"/>
  <c r="EX127" i="1"/>
  <c r="DN127" i="1"/>
  <c r="BB127" i="1"/>
  <c r="FC127" i="1" l="1"/>
  <c r="FG127" i="1"/>
  <c r="FJ127" i="1"/>
  <c r="FW127" i="1" s="1"/>
  <c r="BO127" i="1" s="1"/>
  <c r="N127" i="1" s="1"/>
  <c r="EZ127" i="1"/>
  <c r="FD127" i="1"/>
  <c r="FH127" i="1"/>
  <c r="FA127" i="1"/>
  <c r="FE127" i="1"/>
  <c r="FI127" i="1"/>
  <c r="FB127" i="1"/>
  <c r="FF127" i="1"/>
  <c r="FL127" i="1" l="1"/>
  <c r="FR127" i="1" s="1"/>
  <c r="BJ127" i="1" s="1"/>
  <c r="BW127" i="1" s="1"/>
  <c r="FT127" i="1" l="1"/>
  <c r="BL127" i="1" s="1"/>
  <c r="BY127" i="1" s="1"/>
  <c r="FP127" i="1"/>
  <c r="BH127" i="1" s="1"/>
  <c r="BU127" i="1" s="1"/>
  <c r="FS127" i="1"/>
  <c r="BK127" i="1" s="1"/>
  <c r="BX127" i="1" s="1"/>
  <c r="FU127" i="1"/>
  <c r="BM127" i="1" s="1"/>
  <c r="BZ127" i="1" s="1"/>
  <c r="FM127" i="1"/>
  <c r="BE127" i="1" s="1"/>
  <c r="BR127" i="1" s="1"/>
  <c r="FQ127" i="1"/>
  <c r="BI127" i="1" s="1"/>
  <c r="BV127" i="1" s="1"/>
  <c r="FO127" i="1"/>
  <c r="BG127" i="1" s="1"/>
  <c r="BT127" i="1" s="1"/>
  <c r="FV127" i="1"/>
  <c r="BN127" i="1" s="1"/>
  <c r="CA127" i="1" s="1"/>
  <c r="FN127" i="1"/>
  <c r="BF127" i="1" s="1"/>
  <c r="BS127" i="1" s="1"/>
  <c r="BQ127" i="1" l="1"/>
  <c r="CI127" i="1" l="1"/>
  <c r="CK127" i="1"/>
  <c r="CD127" i="1"/>
  <c r="CF127" i="1"/>
  <c r="CJ127" i="1"/>
  <c r="CM127" i="1"/>
  <c r="DW127" i="1" s="1"/>
  <c r="DY127" i="1" s="1"/>
  <c r="E127" i="1" s="1"/>
  <c r="CE127" i="1"/>
  <c r="CL127" i="1"/>
  <c r="CG127" i="1"/>
  <c r="CH127" i="1"/>
  <c r="AG127" i="1" l="1"/>
  <c r="AK127" i="1"/>
  <c r="AH127" i="1"/>
  <c r="AL127" i="1"/>
  <c r="AI127" i="1"/>
  <c r="AM127" i="1"/>
  <c r="AF127" i="1"/>
  <c r="AJ127" i="1"/>
  <c r="AN127" i="1"/>
  <c r="M127" i="1"/>
  <c r="AO127" i="1" l="1"/>
  <c r="AE127" i="1"/>
  <c r="G127" i="1" s="1"/>
  <c r="AP127" i="1" l="1"/>
  <c r="H127" i="1" s="1"/>
  <c r="K127" i="1" s="1"/>
  <c r="F127" i="1"/>
  <c r="D128" i="1" l="1"/>
  <c r="O127" i="1"/>
  <c r="L127" i="1"/>
  <c r="P127" i="1" s="1"/>
  <c r="B128" i="1"/>
  <c r="C128" i="1"/>
  <c r="I128" i="1"/>
  <c r="CR128" i="1" l="1"/>
  <c r="DD128" i="1" s="1"/>
  <c r="CV128" i="1"/>
  <c r="DH128" i="1" s="1"/>
  <c r="CY128" i="1"/>
  <c r="DK128" i="1" s="1"/>
  <c r="CS128" i="1"/>
  <c r="DE128" i="1" s="1"/>
  <c r="CW128" i="1"/>
  <c r="DI128" i="1" s="1"/>
  <c r="CP128" i="1"/>
  <c r="CT128" i="1"/>
  <c r="DF128" i="1" s="1"/>
  <c r="CX128" i="1"/>
  <c r="DJ128" i="1" s="1"/>
  <c r="CQ128" i="1"/>
  <c r="DC128" i="1" s="1"/>
  <c r="CU128" i="1"/>
  <c r="DG128" i="1" s="1"/>
  <c r="V128" i="1"/>
  <c r="Z128" i="1"/>
  <c r="S128" i="1"/>
  <c r="W128" i="1"/>
  <c r="AA128" i="1"/>
  <c r="J128" i="1"/>
  <c r="T128" i="1"/>
  <c r="X128" i="1"/>
  <c r="U128" i="1"/>
  <c r="Y128" i="1"/>
  <c r="EF128" i="1" l="1"/>
  <c r="EL128" i="1"/>
  <c r="EG128" i="1"/>
  <c r="EI128" i="1"/>
  <c r="EH128" i="1"/>
  <c r="EE128" i="1"/>
  <c r="ED128" i="1"/>
  <c r="AB128" i="1"/>
  <c r="AC128" i="1" s="1"/>
  <c r="AU128" i="1" s="1"/>
  <c r="DP128" i="1" s="1"/>
  <c r="R128" i="1"/>
  <c r="EJ128" i="1"/>
  <c r="EK128" i="1"/>
  <c r="DB128" i="1"/>
  <c r="CO128" i="1"/>
  <c r="AX128" i="1" l="1"/>
  <c r="DS128" i="1" s="1"/>
  <c r="BA128" i="1"/>
  <c r="DV128" i="1" s="1"/>
  <c r="EO128" i="1"/>
  <c r="EP128" i="1"/>
  <c r="ER128" i="1"/>
  <c r="EQ128" i="1"/>
  <c r="EN128" i="1"/>
  <c r="AZ128" i="1"/>
  <c r="DU128" i="1" s="1"/>
  <c r="AT128" i="1"/>
  <c r="DO128" i="1" s="1"/>
  <c r="AY128" i="1"/>
  <c r="DT128" i="1" s="1"/>
  <c r="AS128" i="1"/>
  <c r="AW128" i="1"/>
  <c r="DR128" i="1" s="1"/>
  <c r="AV128" i="1"/>
  <c r="DQ128" i="1" s="1"/>
  <c r="ET128" i="1" l="1"/>
  <c r="EV128" i="1"/>
  <c r="EU128" i="1"/>
  <c r="EW128" i="1"/>
  <c r="EX128" i="1"/>
  <c r="DN128" i="1"/>
  <c r="BB128" i="1"/>
  <c r="FJ128" i="1" l="1"/>
  <c r="FW128" i="1" s="1"/>
  <c r="BO128" i="1" s="1"/>
  <c r="N128" i="1" s="1"/>
  <c r="EZ128" i="1"/>
  <c r="FD128" i="1"/>
  <c r="FH128" i="1"/>
  <c r="FA128" i="1"/>
  <c r="FE128" i="1"/>
  <c r="FI128" i="1"/>
  <c r="FB128" i="1"/>
  <c r="FF128" i="1"/>
  <c r="FC128" i="1"/>
  <c r="FG128" i="1"/>
  <c r="FL128" i="1" l="1"/>
  <c r="FP128" i="1" s="1"/>
  <c r="BH128" i="1" s="1"/>
  <c r="BU128" i="1" s="1"/>
  <c r="FM128" i="1" l="1"/>
  <c r="BE128" i="1" s="1"/>
  <c r="BR128" i="1" s="1"/>
  <c r="FQ128" i="1"/>
  <c r="BI128" i="1" s="1"/>
  <c r="BV128" i="1" s="1"/>
  <c r="FO128" i="1"/>
  <c r="BG128" i="1" s="1"/>
  <c r="BT128" i="1" s="1"/>
  <c r="FV128" i="1"/>
  <c r="BN128" i="1" s="1"/>
  <c r="CA128" i="1" s="1"/>
  <c r="FN128" i="1"/>
  <c r="BF128" i="1" s="1"/>
  <c r="BS128" i="1" s="1"/>
  <c r="FR128" i="1"/>
  <c r="BJ128" i="1" s="1"/>
  <c r="BW128" i="1" s="1"/>
  <c r="FU128" i="1"/>
  <c r="BM128" i="1" s="1"/>
  <c r="BZ128" i="1" s="1"/>
  <c r="FT128" i="1"/>
  <c r="BL128" i="1" s="1"/>
  <c r="BY128" i="1" s="1"/>
  <c r="FS128" i="1"/>
  <c r="BK128" i="1" s="1"/>
  <c r="BX128" i="1" s="1"/>
  <c r="BQ128" i="1" l="1"/>
  <c r="CG128" i="1" s="1"/>
  <c r="CJ128" i="1" l="1"/>
  <c r="CD128" i="1"/>
  <c r="CI128" i="1"/>
  <c r="CH128" i="1"/>
  <c r="CM128" i="1"/>
  <c r="DW128" i="1" s="1"/>
  <c r="DY128" i="1" s="1"/>
  <c r="E128" i="1" s="1"/>
  <c r="CF128" i="1"/>
  <c r="CK128" i="1"/>
  <c r="CE128" i="1"/>
  <c r="CL128" i="1"/>
  <c r="AH128" i="1" l="1"/>
  <c r="AL128" i="1"/>
  <c r="AI128" i="1"/>
  <c r="AM128" i="1"/>
  <c r="AF128" i="1"/>
  <c r="AJ128" i="1"/>
  <c r="AN128" i="1"/>
  <c r="AG128" i="1"/>
  <c r="AK128" i="1"/>
  <c r="M128" i="1"/>
  <c r="AE128" i="1" l="1"/>
  <c r="G128" i="1" s="1"/>
  <c r="AO128" i="1"/>
  <c r="AP128" i="1" l="1"/>
  <c r="H128" i="1" s="1"/>
  <c r="K128" i="1" s="1"/>
  <c r="F128" i="1"/>
  <c r="L128" i="1" l="1"/>
  <c r="B129" i="1"/>
  <c r="C129" i="1"/>
  <c r="I129" i="1"/>
  <c r="D129" i="1"/>
  <c r="O128" i="1"/>
  <c r="P128" i="1" l="1"/>
  <c r="S129" i="1"/>
  <c r="W129" i="1"/>
  <c r="AA129" i="1"/>
  <c r="J129" i="1"/>
  <c r="T129" i="1"/>
  <c r="X129" i="1"/>
  <c r="U129" i="1"/>
  <c r="Y129" i="1"/>
  <c r="V129" i="1"/>
  <c r="Z129" i="1"/>
  <c r="CY129" i="1"/>
  <c r="DK129" i="1" s="1"/>
  <c r="CP129" i="1"/>
  <c r="CS129" i="1"/>
  <c r="DE129" i="1" s="1"/>
  <c r="CW129" i="1"/>
  <c r="DI129" i="1" s="1"/>
  <c r="CT129" i="1"/>
  <c r="DF129" i="1" s="1"/>
  <c r="CX129" i="1"/>
  <c r="DJ129" i="1" s="1"/>
  <c r="CQ129" i="1"/>
  <c r="DC129" i="1" s="1"/>
  <c r="CU129" i="1"/>
  <c r="DG129" i="1" s="1"/>
  <c r="CR129" i="1"/>
  <c r="DD129" i="1" s="1"/>
  <c r="CV129" i="1"/>
  <c r="DH129" i="1" s="1"/>
  <c r="EJ129" i="1" l="1"/>
  <c r="EK129" i="1"/>
  <c r="EF129" i="1"/>
  <c r="EL129" i="1"/>
  <c r="EG129" i="1"/>
  <c r="EI129" i="1"/>
  <c r="EH129" i="1"/>
  <c r="DB129" i="1"/>
  <c r="CO129" i="1"/>
  <c r="EE129" i="1"/>
  <c r="AB129" i="1"/>
  <c r="AC129" i="1" s="1"/>
  <c r="BA129" i="1" s="1"/>
  <c r="DV129" i="1" s="1"/>
  <c r="R129" i="1"/>
  <c r="ED129" i="1"/>
  <c r="AZ129" i="1" l="1"/>
  <c r="DU129" i="1" s="1"/>
  <c r="AS129" i="1"/>
  <c r="AW129" i="1"/>
  <c r="DR129" i="1" s="1"/>
  <c r="EN129" i="1"/>
  <c r="EP129" i="1"/>
  <c r="ER129" i="1"/>
  <c r="EQ129" i="1"/>
  <c r="EO129" i="1"/>
  <c r="AT129" i="1"/>
  <c r="DO129" i="1" s="1"/>
  <c r="AV129" i="1"/>
  <c r="DQ129" i="1" s="1"/>
  <c r="AU129" i="1"/>
  <c r="DP129" i="1" s="1"/>
  <c r="AY129" i="1"/>
  <c r="DT129" i="1" s="1"/>
  <c r="AX129" i="1"/>
  <c r="DS129" i="1" s="1"/>
  <c r="EW129" i="1" l="1"/>
  <c r="EU129" i="1"/>
  <c r="EV129" i="1"/>
  <c r="EX129" i="1"/>
  <c r="ET129" i="1"/>
  <c r="DN129" i="1"/>
  <c r="BB129" i="1"/>
  <c r="FA129" i="1" l="1"/>
  <c r="FE129" i="1"/>
  <c r="FI129" i="1"/>
  <c r="FB129" i="1"/>
  <c r="FF129" i="1"/>
  <c r="FC129" i="1"/>
  <c r="FG129" i="1"/>
  <c r="FJ129" i="1"/>
  <c r="FW129" i="1" s="1"/>
  <c r="BO129" i="1" s="1"/>
  <c r="N129" i="1" s="1"/>
  <c r="EZ129" i="1"/>
  <c r="FD129" i="1"/>
  <c r="FH129" i="1"/>
  <c r="FL129" i="1" l="1"/>
  <c r="FP129" i="1" s="1"/>
  <c r="BH129" i="1" s="1"/>
  <c r="BU129" i="1" s="1"/>
  <c r="FU129" i="1" l="1"/>
  <c r="BM129" i="1" s="1"/>
  <c r="BZ129" i="1" s="1"/>
  <c r="FQ129" i="1"/>
  <c r="BI129" i="1" s="1"/>
  <c r="BV129" i="1" s="1"/>
  <c r="FV129" i="1"/>
  <c r="BN129" i="1" s="1"/>
  <c r="CA129" i="1" s="1"/>
  <c r="FN129" i="1"/>
  <c r="BF129" i="1" s="1"/>
  <c r="BS129" i="1" s="1"/>
  <c r="FS129" i="1"/>
  <c r="BK129" i="1" s="1"/>
  <c r="BX129" i="1" s="1"/>
  <c r="FO129" i="1"/>
  <c r="BG129" i="1" s="1"/>
  <c r="BT129" i="1" s="1"/>
  <c r="FT129" i="1"/>
  <c r="BL129" i="1" s="1"/>
  <c r="BY129" i="1" s="1"/>
  <c r="FM129" i="1"/>
  <c r="BE129" i="1" s="1"/>
  <c r="BR129" i="1" s="1"/>
  <c r="FR129" i="1"/>
  <c r="BJ129" i="1" s="1"/>
  <c r="BW129" i="1" s="1"/>
  <c r="BQ129" i="1" l="1"/>
  <c r="CG129" i="1" l="1"/>
  <c r="CM129" i="1"/>
  <c r="DW129" i="1" s="1"/>
  <c r="DY129" i="1" s="1"/>
  <c r="E129" i="1" s="1"/>
  <c r="CE129" i="1"/>
  <c r="CL129" i="1"/>
  <c r="CH129" i="1"/>
  <c r="CI129" i="1"/>
  <c r="CK129" i="1"/>
  <c r="CF129" i="1"/>
  <c r="CD129" i="1"/>
  <c r="CJ129" i="1"/>
  <c r="AI129" i="1" l="1"/>
  <c r="AM129" i="1"/>
  <c r="AF129" i="1"/>
  <c r="AJ129" i="1"/>
  <c r="AN129" i="1"/>
  <c r="AG129" i="1"/>
  <c r="AK129" i="1"/>
  <c r="AH129" i="1"/>
  <c r="AL129" i="1"/>
  <c r="M129" i="1"/>
  <c r="AE129" i="1" l="1"/>
  <c r="G129" i="1" s="1"/>
  <c r="AO129" i="1"/>
  <c r="F129" i="1" l="1"/>
  <c r="AP129" i="1"/>
  <c r="H129" i="1" s="1"/>
  <c r="K129" i="1" s="1"/>
  <c r="L129" i="1" l="1"/>
  <c r="B130" i="1"/>
  <c r="C130" i="1"/>
  <c r="I130" i="1"/>
  <c r="D130" i="1"/>
  <c r="O129" i="1"/>
  <c r="P129" i="1" l="1"/>
  <c r="CP130" i="1"/>
  <c r="CT130" i="1"/>
  <c r="DF130" i="1" s="1"/>
  <c r="CX130" i="1"/>
  <c r="DJ130" i="1" s="1"/>
  <c r="CQ130" i="1"/>
  <c r="DC130" i="1" s="1"/>
  <c r="CU130" i="1"/>
  <c r="DG130" i="1" s="1"/>
  <c r="CR130" i="1"/>
  <c r="DD130" i="1" s="1"/>
  <c r="CV130" i="1"/>
  <c r="DH130" i="1" s="1"/>
  <c r="CY130" i="1"/>
  <c r="DK130" i="1" s="1"/>
  <c r="CS130" i="1"/>
  <c r="DE130" i="1" s="1"/>
  <c r="CW130" i="1"/>
  <c r="DI130" i="1" s="1"/>
  <c r="T130" i="1"/>
  <c r="X130" i="1"/>
  <c r="U130" i="1"/>
  <c r="Y130" i="1"/>
  <c r="V130" i="1"/>
  <c r="Z130" i="1"/>
  <c r="S130" i="1"/>
  <c r="W130" i="1"/>
  <c r="AA130" i="1"/>
  <c r="J130" i="1"/>
  <c r="AB130" i="1" l="1"/>
  <c r="AC130" i="1" s="1"/>
  <c r="AY130" i="1" s="1"/>
  <c r="DT130" i="1" s="1"/>
  <c r="ED130" i="1"/>
  <c r="R130" i="1"/>
  <c r="EJ130" i="1"/>
  <c r="EK130" i="1"/>
  <c r="EF130" i="1"/>
  <c r="EL130" i="1"/>
  <c r="EG130" i="1"/>
  <c r="EI130" i="1"/>
  <c r="EH130" i="1"/>
  <c r="EE130" i="1"/>
  <c r="CO130" i="1"/>
  <c r="DB130" i="1"/>
  <c r="AV130" i="1" l="1"/>
  <c r="DQ130" i="1" s="1"/>
  <c r="AU130" i="1"/>
  <c r="DP130" i="1" s="1"/>
  <c r="AT130" i="1"/>
  <c r="DO130" i="1" s="1"/>
  <c r="AX130" i="1"/>
  <c r="DS130" i="1" s="1"/>
  <c r="BA130" i="1"/>
  <c r="DV130" i="1" s="1"/>
  <c r="AZ130" i="1"/>
  <c r="DU130" i="1" s="1"/>
  <c r="AS130" i="1"/>
  <c r="AW130" i="1"/>
  <c r="DR130" i="1" s="1"/>
  <c r="EP130" i="1"/>
  <c r="EQ130" i="1"/>
  <c r="ER130" i="1"/>
  <c r="EN130" i="1"/>
  <c r="EO130" i="1"/>
  <c r="EU130" i="1" l="1"/>
  <c r="EV130" i="1"/>
  <c r="EX130" i="1"/>
  <c r="ET130" i="1"/>
  <c r="EW130" i="1"/>
  <c r="BB130" i="1"/>
  <c r="DN130" i="1"/>
  <c r="FB130" i="1" l="1"/>
  <c r="FF130" i="1"/>
  <c r="FC130" i="1"/>
  <c r="FG130" i="1"/>
  <c r="FJ130" i="1"/>
  <c r="FW130" i="1" s="1"/>
  <c r="BO130" i="1" s="1"/>
  <c r="N130" i="1" s="1"/>
  <c r="EZ130" i="1"/>
  <c r="FD130" i="1"/>
  <c r="FH130" i="1"/>
  <c r="FA130" i="1"/>
  <c r="FE130" i="1"/>
  <c r="FI130" i="1"/>
  <c r="FL130" i="1" l="1"/>
  <c r="FU130" i="1" s="1"/>
  <c r="BM130" i="1" s="1"/>
  <c r="BZ130" i="1" s="1"/>
  <c r="FM130" i="1" l="1"/>
  <c r="BE130" i="1" s="1"/>
  <c r="BR130" i="1" s="1"/>
  <c r="FQ130" i="1"/>
  <c r="BI130" i="1" s="1"/>
  <c r="BV130" i="1" s="1"/>
  <c r="FP130" i="1"/>
  <c r="BH130" i="1" s="1"/>
  <c r="BU130" i="1" s="1"/>
  <c r="FO130" i="1"/>
  <c r="BG130" i="1" s="1"/>
  <c r="BT130" i="1" s="1"/>
  <c r="FR130" i="1"/>
  <c r="BJ130" i="1" s="1"/>
  <c r="BW130" i="1" s="1"/>
  <c r="FT130" i="1"/>
  <c r="BL130" i="1" s="1"/>
  <c r="BY130" i="1" s="1"/>
  <c r="FN130" i="1"/>
  <c r="BF130" i="1" s="1"/>
  <c r="BS130" i="1" s="1"/>
  <c r="FS130" i="1"/>
  <c r="BK130" i="1" s="1"/>
  <c r="BX130" i="1" s="1"/>
  <c r="FV130" i="1"/>
  <c r="BN130" i="1" s="1"/>
  <c r="CA130" i="1" s="1"/>
  <c r="BQ130" i="1" l="1"/>
  <c r="CL130" i="1" s="1"/>
  <c r="CM130" i="1" l="1"/>
  <c r="DW130" i="1" s="1"/>
  <c r="DY130" i="1" s="1"/>
  <c r="E130" i="1" s="1"/>
  <c r="CK130" i="1"/>
  <c r="CH130" i="1"/>
  <c r="CF130" i="1"/>
  <c r="CD130" i="1"/>
  <c r="CG130" i="1"/>
  <c r="CJ130" i="1"/>
  <c r="CI130" i="1"/>
  <c r="CE130" i="1"/>
  <c r="AF130" i="1" l="1"/>
  <c r="AJ130" i="1"/>
  <c r="AN130" i="1"/>
  <c r="AG130" i="1"/>
  <c r="AK130" i="1"/>
  <c r="AH130" i="1"/>
  <c r="AL130" i="1"/>
  <c r="AI130" i="1"/>
  <c r="AM130" i="1"/>
  <c r="M130" i="1"/>
  <c r="AE130" i="1" l="1"/>
  <c r="G130" i="1" s="1"/>
  <c r="AO130" i="1"/>
  <c r="F130" i="1" l="1"/>
  <c r="AP130" i="1"/>
  <c r="H130" i="1" s="1"/>
  <c r="K130" i="1" s="1"/>
  <c r="C131" i="1" l="1"/>
  <c r="I131" i="1"/>
  <c r="D131" i="1"/>
  <c r="O130" i="1"/>
  <c r="L130" i="1"/>
  <c r="B131" i="1"/>
  <c r="P130" i="1" l="1"/>
  <c r="U131" i="1"/>
  <c r="Y131" i="1"/>
  <c r="V131" i="1"/>
  <c r="Z131" i="1"/>
  <c r="S131" i="1"/>
  <c r="W131" i="1"/>
  <c r="AA131" i="1"/>
  <c r="J131" i="1"/>
  <c r="T131" i="1"/>
  <c r="X131" i="1"/>
  <c r="CQ131" i="1"/>
  <c r="DC131" i="1" s="1"/>
  <c r="CU131" i="1"/>
  <c r="DG131" i="1" s="1"/>
  <c r="CR131" i="1"/>
  <c r="DD131" i="1" s="1"/>
  <c r="CV131" i="1"/>
  <c r="DH131" i="1" s="1"/>
  <c r="CY131" i="1"/>
  <c r="CS131" i="1"/>
  <c r="DE131" i="1" s="1"/>
  <c r="CW131" i="1"/>
  <c r="DI131" i="1" s="1"/>
  <c r="CP131" i="1"/>
  <c r="CT131" i="1"/>
  <c r="DF131" i="1" s="1"/>
  <c r="CX131" i="1"/>
  <c r="DJ131" i="1" s="1"/>
  <c r="DK131" i="1" l="1"/>
  <c r="EL131" i="1"/>
  <c r="EG131" i="1"/>
  <c r="CO131" i="1"/>
  <c r="DB131" i="1"/>
  <c r="EI131" i="1"/>
  <c r="EH131" i="1"/>
  <c r="EE131" i="1"/>
  <c r="R131" i="1"/>
  <c r="AB131" i="1"/>
  <c r="AC131" i="1" s="1"/>
  <c r="AV131" i="1" s="1"/>
  <c r="DQ131" i="1" s="1"/>
  <c r="ED131" i="1"/>
  <c r="EJ131" i="1"/>
  <c r="EK131" i="1"/>
  <c r="EF131" i="1"/>
  <c r="AS131" i="1" l="1"/>
  <c r="AW131" i="1"/>
  <c r="DR131" i="1" s="1"/>
  <c r="BA131" i="1"/>
  <c r="DV131" i="1" s="1"/>
  <c r="AU131" i="1"/>
  <c r="DP131" i="1" s="1"/>
  <c r="AY131" i="1"/>
  <c r="DT131" i="1" s="1"/>
  <c r="AZ131" i="1"/>
  <c r="DU131" i="1" s="1"/>
  <c r="EP131" i="1"/>
  <c r="EQ131" i="1"/>
  <c r="EN131" i="1"/>
  <c r="ER131" i="1"/>
  <c r="EO131" i="1"/>
  <c r="AT131" i="1"/>
  <c r="DO131" i="1" s="1"/>
  <c r="AX131" i="1"/>
  <c r="DS131" i="1" s="1"/>
  <c r="ET131" i="1" l="1"/>
  <c r="EW131" i="1"/>
  <c r="EV131" i="1"/>
  <c r="EX131" i="1"/>
  <c r="EU131" i="1"/>
  <c r="DN131" i="1"/>
  <c r="BB131" i="1"/>
  <c r="FC131" i="1" l="1"/>
  <c r="FG131" i="1"/>
  <c r="FJ131" i="1"/>
  <c r="FW131" i="1" s="1"/>
  <c r="BO131" i="1" s="1"/>
  <c r="N131" i="1" s="1"/>
  <c r="EZ131" i="1"/>
  <c r="FD131" i="1"/>
  <c r="FH131" i="1"/>
  <c r="FA131" i="1"/>
  <c r="FE131" i="1"/>
  <c r="FI131" i="1"/>
  <c r="FB131" i="1"/>
  <c r="FF131" i="1"/>
  <c r="FL131" i="1" l="1"/>
  <c r="FO131" i="1" s="1"/>
  <c r="BG131" i="1" s="1"/>
  <c r="BT131" i="1" s="1"/>
  <c r="FQ131" i="1" l="1"/>
  <c r="BI131" i="1" s="1"/>
  <c r="BV131" i="1" s="1"/>
  <c r="FR131" i="1"/>
  <c r="BJ131" i="1" s="1"/>
  <c r="BW131" i="1" s="1"/>
  <c r="FT131" i="1"/>
  <c r="BL131" i="1" s="1"/>
  <c r="BY131" i="1" s="1"/>
  <c r="FN131" i="1"/>
  <c r="BF131" i="1" s="1"/>
  <c r="BS131" i="1" s="1"/>
  <c r="FS131" i="1"/>
  <c r="BK131" i="1" s="1"/>
  <c r="BX131" i="1" s="1"/>
  <c r="FV131" i="1"/>
  <c r="BN131" i="1" s="1"/>
  <c r="CA131" i="1" s="1"/>
  <c r="FU131" i="1"/>
  <c r="BM131" i="1" s="1"/>
  <c r="BZ131" i="1" s="1"/>
  <c r="FM131" i="1"/>
  <c r="BE131" i="1" s="1"/>
  <c r="BR131" i="1" s="1"/>
  <c r="FP131" i="1"/>
  <c r="BH131" i="1" s="1"/>
  <c r="BU131" i="1" s="1"/>
  <c r="BQ131" i="1" l="1"/>
  <c r="CF131" i="1" s="1"/>
  <c r="CE131" i="1" l="1"/>
  <c r="CD131" i="1"/>
  <c r="CH131" i="1"/>
  <c r="CI131" i="1"/>
  <c r="CM131" i="1"/>
  <c r="DW131" i="1" s="1"/>
  <c r="DY131" i="1" s="1"/>
  <c r="E131" i="1" s="1"/>
  <c r="AG131" i="1" s="1"/>
  <c r="CJ131" i="1"/>
  <c r="CK131" i="1"/>
  <c r="CG131" i="1"/>
  <c r="CL131" i="1"/>
  <c r="AJ131" i="1" l="1"/>
  <c r="AL131" i="1"/>
  <c r="AF131" i="1"/>
  <c r="AH131" i="1"/>
  <c r="M131" i="1"/>
  <c r="AM131" i="1"/>
  <c r="AK131" i="1"/>
  <c r="AN131" i="1"/>
  <c r="AI131" i="1"/>
  <c r="AO131" i="1" l="1"/>
  <c r="AP131" i="1" s="1"/>
  <c r="H131" i="1" s="1"/>
  <c r="K131" i="1" s="1"/>
  <c r="AE131" i="1"/>
  <c r="G131" i="1" s="1"/>
  <c r="F131" i="1" l="1"/>
  <c r="O131" i="1" s="1"/>
  <c r="D132" i="1"/>
  <c r="L131" i="1"/>
  <c r="B132" i="1"/>
  <c r="C132" i="1"/>
  <c r="I132" i="1"/>
  <c r="P131" i="1" l="1"/>
  <c r="CQ132" i="1"/>
  <c r="DC132" i="1" s="1"/>
  <c r="CU132" i="1"/>
  <c r="DG132" i="1" s="1"/>
  <c r="CY132" i="1"/>
  <c r="CR132" i="1"/>
  <c r="DD132" i="1" s="1"/>
  <c r="CV132" i="1"/>
  <c r="DH132" i="1" s="1"/>
  <c r="CP132" i="1"/>
  <c r="CS132" i="1"/>
  <c r="DE132" i="1" s="1"/>
  <c r="CW132" i="1"/>
  <c r="DI132" i="1" s="1"/>
  <c r="CT132" i="1"/>
  <c r="DF132" i="1" s="1"/>
  <c r="CX132" i="1"/>
  <c r="DJ132" i="1" s="1"/>
  <c r="V132" i="1"/>
  <c r="Z132" i="1"/>
  <c r="S132" i="1"/>
  <c r="W132" i="1"/>
  <c r="AA132" i="1"/>
  <c r="J132" i="1"/>
  <c r="T132" i="1"/>
  <c r="X132" i="1"/>
  <c r="U132" i="1"/>
  <c r="Y132" i="1"/>
  <c r="DK132" i="1" l="1"/>
  <c r="EL132" i="1"/>
  <c r="EG132" i="1"/>
  <c r="EI132" i="1"/>
  <c r="EH132" i="1"/>
  <c r="EE132" i="1"/>
  <c r="ED132" i="1"/>
  <c r="R132" i="1"/>
  <c r="AB132" i="1"/>
  <c r="AC132" i="1" s="1"/>
  <c r="BA132" i="1" s="1"/>
  <c r="DV132" i="1" s="1"/>
  <c r="EJ132" i="1"/>
  <c r="EK132" i="1"/>
  <c r="CO132" i="1"/>
  <c r="DB132" i="1"/>
  <c r="EF132" i="1"/>
  <c r="AU132" i="1" l="1"/>
  <c r="DP132" i="1" s="1"/>
  <c r="EQ132" i="1"/>
  <c r="EN132" i="1"/>
  <c r="EP132" i="1"/>
  <c r="ER132" i="1"/>
  <c r="EO132" i="1"/>
  <c r="AZ132" i="1"/>
  <c r="DU132" i="1" s="1"/>
  <c r="AY132" i="1"/>
  <c r="DT132" i="1" s="1"/>
  <c r="AS132" i="1"/>
  <c r="AW132" i="1"/>
  <c r="DR132" i="1" s="1"/>
  <c r="AV132" i="1"/>
  <c r="DQ132" i="1" s="1"/>
  <c r="AT132" i="1"/>
  <c r="DO132" i="1" s="1"/>
  <c r="AX132" i="1"/>
  <c r="DS132" i="1" s="1"/>
  <c r="EW132" i="1" l="1"/>
  <c r="EU132" i="1"/>
  <c r="EV132" i="1"/>
  <c r="ET132" i="1"/>
  <c r="EX132" i="1"/>
  <c r="DN132" i="1"/>
  <c r="BB132" i="1"/>
  <c r="FJ132" i="1" l="1"/>
  <c r="FW132" i="1" s="1"/>
  <c r="BO132" i="1" s="1"/>
  <c r="N132" i="1" s="1"/>
  <c r="EZ132" i="1"/>
  <c r="FD132" i="1"/>
  <c r="FH132" i="1"/>
  <c r="FA132" i="1"/>
  <c r="FE132" i="1"/>
  <c r="FI132" i="1"/>
  <c r="FB132" i="1"/>
  <c r="FF132" i="1"/>
  <c r="FC132" i="1"/>
  <c r="FG132" i="1"/>
  <c r="FL132" i="1" l="1"/>
  <c r="FO132" i="1" s="1"/>
  <c r="BG132" i="1" s="1"/>
  <c r="BT132" i="1" s="1"/>
  <c r="FN132" i="1" l="1"/>
  <c r="BF132" i="1" s="1"/>
  <c r="BS132" i="1" s="1"/>
  <c r="FU132" i="1"/>
  <c r="BM132" i="1" s="1"/>
  <c r="BZ132" i="1" s="1"/>
  <c r="FQ132" i="1"/>
  <c r="BI132" i="1" s="1"/>
  <c r="BV132" i="1" s="1"/>
  <c r="FR132" i="1"/>
  <c r="BJ132" i="1" s="1"/>
  <c r="BW132" i="1" s="1"/>
  <c r="FV132" i="1"/>
  <c r="BN132" i="1" s="1"/>
  <c r="CA132" i="1" s="1"/>
  <c r="FS132" i="1"/>
  <c r="BK132" i="1" s="1"/>
  <c r="BX132" i="1" s="1"/>
  <c r="FP132" i="1"/>
  <c r="BH132" i="1" s="1"/>
  <c r="BU132" i="1" s="1"/>
  <c r="FM132" i="1"/>
  <c r="BE132" i="1" s="1"/>
  <c r="BR132" i="1" s="1"/>
  <c r="FT132" i="1"/>
  <c r="BL132" i="1" s="1"/>
  <c r="BY132" i="1" s="1"/>
  <c r="BQ132" i="1" l="1"/>
  <c r="CF132" i="1" s="1"/>
  <c r="CJ132" i="1" l="1"/>
  <c r="CK132" i="1"/>
  <c r="CI132" i="1"/>
  <c r="CH132" i="1"/>
  <c r="CL132" i="1"/>
  <c r="CE132" i="1"/>
  <c r="CD132" i="1"/>
  <c r="CM132" i="1"/>
  <c r="DW132" i="1" s="1"/>
  <c r="DY132" i="1" s="1"/>
  <c r="E132" i="1" s="1"/>
  <c r="CG132" i="1"/>
  <c r="AH132" i="1" l="1"/>
  <c r="AL132" i="1"/>
  <c r="AI132" i="1"/>
  <c r="AM132" i="1"/>
  <c r="AF132" i="1"/>
  <c r="AJ132" i="1"/>
  <c r="AN132" i="1"/>
  <c r="AG132" i="1"/>
  <c r="AK132" i="1"/>
  <c r="M132" i="1"/>
  <c r="AE132" i="1" l="1"/>
  <c r="G132" i="1" s="1"/>
  <c r="AO132" i="1"/>
  <c r="AP132" i="1" l="1"/>
  <c r="H132" i="1" s="1"/>
  <c r="K132" i="1" s="1"/>
  <c r="F132" i="1"/>
  <c r="L132" i="1" l="1"/>
  <c r="B133" i="1"/>
  <c r="C133" i="1"/>
  <c r="I133" i="1"/>
  <c r="D133" i="1"/>
  <c r="O132" i="1"/>
  <c r="P132" i="1" l="1"/>
  <c r="S133" i="1"/>
  <c r="W133" i="1"/>
  <c r="AA133" i="1"/>
  <c r="J133" i="1"/>
  <c r="T133" i="1"/>
  <c r="X133" i="1"/>
  <c r="U133" i="1"/>
  <c r="Y133" i="1"/>
  <c r="V133" i="1"/>
  <c r="Z133" i="1"/>
  <c r="CY133" i="1"/>
  <c r="CS133" i="1"/>
  <c r="DE133" i="1" s="1"/>
  <c r="CW133" i="1"/>
  <c r="DI133" i="1" s="1"/>
  <c r="CP133" i="1"/>
  <c r="CT133" i="1"/>
  <c r="DF133" i="1" s="1"/>
  <c r="CX133" i="1"/>
  <c r="DJ133" i="1" s="1"/>
  <c r="CQ133" i="1"/>
  <c r="DC133" i="1" s="1"/>
  <c r="CU133" i="1"/>
  <c r="DG133" i="1" s="1"/>
  <c r="CR133" i="1"/>
  <c r="DD133" i="1" s="1"/>
  <c r="CV133" i="1"/>
  <c r="DH133" i="1" s="1"/>
  <c r="DK133" i="1" l="1"/>
  <c r="EJ133" i="1"/>
  <c r="CO133" i="1"/>
  <c r="DB133" i="1"/>
  <c r="EK133" i="1"/>
  <c r="EF133" i="1"/>
  <c r="EL133" i="1"/>
  <c r="EG133" i="1"/>
  <c r="EI133" i="1"/>
  <c r="EH133" i="1"/>
  <c r="EE133" i="1"/>
  <c r="AB133" i="1"/>
  <c r="AC133" i="1" s="1"/>
  <c r="AU133" i="1" s="1"/>
  <c r="DP133" i="1" s="1"/>
  <c r="ED133" i="1"/>
  <c r="R133" i="1"/>
  <c r="AY133" i="1" l="1"/>
  <c r="DT133" i="1" s="1"/>
  <c r="AV133" i="1"/>
  <c r="DQ133" i="1" s="1"/>
  <c r="AT133" i="1"/>
  <c r="DO133" i="1" s="1"/>
  <c r="AX133" i="1"/>
  <c r="DS133" i="1" s="1"/>
  <c r="AZ133" i="1"/>
  <c r="DU133" i="1" s="1"/>
  <c r="BA133" i="1"/>
  <c r="DV133" i="1" s="1"/>
  <c r="AS133" i="1"/>
  <c r="EN133" i="1"/>
  <c r="ER133" i="1"/>
  <c r="EP133" i="1"/>
  <c r="EO133" i="1"/>
  <c r="EQ133" i="1"/>
  <c r="AW133" i="1"/>
  <c r="DR133" i="1" s="1"/>
  <c r="EV133" i="1" l="1"/>
  <c r="ET133" i="1"/>
  <c r="EU133" i="1"/>
  <c r="EW133" i="1"/>
  <c r="EX133" i="1"/>
  <c r="DN133" i="1"/>
  <c r="BB133" i="1"/>
  <c r="FA133" i="1" l="1"/>
  <c r="FE133" i="1"/>
  <c r="FI133" i="1"/>
  <c r="FB133" i="1"/>
  <c r="FF133" i="1"/>
  <c r="FC133" i="1"/>
  <c r="FG133" i="1"/>
  <c r="FJ133" i="1"/>
  <c r="FW133" i="1" s="1"/>
  <c r="BO133" i="1" s="1"/>
  <c r="N133" i="1" s="1"/>
  <c r="EZ133" i="1"/>
  <c r="FD133" i="1"/>
  <c r="FH133" i="1"/>
  <c r="FL133" i="1" l="1"/>
  <c r="FP133" i="1" s="1"/>
  <c r="BH133" i="1" s="1"/>
  <c r="BU133" i="1" s="1"/>
  <c r="FN133" i="1" l="1"/>
  <c r="BF133" i="1" s="1"/>
  <c r="BS133" i="1" s="1"/>
  <c r="FU133" i="1"/>
  <c r="BM133" i="1" s="1"/>
  <c r="BZ133" i="1" s="1"/>
  <c r="FS133" i="1"/>
  <c r="BK133" i="1" s="1"/>
  <c r="BX133" i="1" s="1"/>
  <c r="FQ133" i="1"/>
  <c r="BI133" i="1" s="1"/>
  <c r="BV133" i="1" s="1"/>
  <c r="FV133" i="1"/>
  <c r="BN133" i="1" s="1"/>
  <c r="CA133" i="1" s="1"/>
  <c r="FO133" i="1"/>
  <c r="BG133" i="1" s="1"/>
  <c r="BT133" i="1" s="1"/>
  <c r="FT133" i="1"/>
  <c r="BL133" i="1" s="1"/>
  <c r="BY133" i="1" s="1"/>
  <c r="FM133" i="1"/>
  <c r="BE133" i="1" s="1"/>
  <c r="BR133" i="1" s="1"/>
  <c r="FR133" i="1"/>
  <c r="BJ133" i="1" s="1"/>
  <c r="BW133" i="1" s="1"/>
  <c r="BQ133" i="1" l="1"/>
  <c r="CG133" i="1" s="1"/>
  <c r="CF133" i="1" l="1"/>
  <c r="CL133" i="1"/>
  <c r="CE133" i="1"/>
  <c r="CJ133" i="1"/>
  <c r="CI133" i="1"/>
  <c r="CH133" i="1"/>
  <c r="CD133" i="1"/>
  <c r="CM133" i="1"/>
  <c r="DW133" i="1" s="1"/>
  <c r="DY133" i="1" s="1"/>
  <c r="E133" i="1" s="1"/>
  <c r="CK133" i="1"/>
  <c r="AI133" i="1" l="1"/>
  <c r="AM133" i="1"/>
  <c r="AF133" i="1"/>
  <c r="AJ133" i="1"/>
  <c r="AN133" i="1"/>
  <c r="AG133" i="1"/>
  <c r="AK133" i="1"/>
  <c r="AH133" i="1"/>
  <c r="AL133" i="1"/>
  <c r="M133" i="1"/>
  <c r="AE133" i="1" l="1"/>
  <c r="G133" i="1" s="1"/>
  <c r="AO133" i="1"/>
  <c r="F133" i="1" l="1"/>
  <c r="AP133" i="1"/>
  <c r="H133" i="1" s="1"/>
  <c r="K133" i="1" s="1"/>
  <c r="L133" i="1" l="1"/>
  <c r="B134" i="1"/>
  <c r="C134" i="1"/>
  <c r="I134" i="1"/>
  <c r="D134" i="1"/>
  <c r="O133" i="1"/>
  <c r="P133" i="1" l="1"/>
  <c r="T134" i="1"/>
  <c r="X134" i="1"/>
  <c r="U134" i="1"/>
  <c r="Y134" i="1"/>
  <c r="V134" i="1"/>
  <c r="Z134" i="1"/>
  <c r="S134" i="1"/>
  <c r="W134" i="1"/>
  <c r="AA134" i="1"/>
  <c r="J134" i="1"/>
  <c r="CP134" i="1"/>
  <c r="CS134" i="1"/>
  <c r="DE134" i="1" s="1"/>
  <c r="CW134" i="1"/>
  <c r="DI134" i="1" s="1"/>
  <c r="CT134" i="1"/>
  <c r="DF134" i="1" s="1"/>
  <c r="CX134" i="1"/>
  <c r="DJ134" i="1" s="1"/>
  <c r="CQ134" i="1"/>
  <c r="DC134" i="1" s="1"/>
  <c r="CU134" i="1"/>
  <c r="DG134" i="1" s="1"/>
  <c r="CY134" i="1"/>
  <c r="DK134" i="1" s="1"/>
  <c r="CR134" i="1"/>
  <c r="DD134" i="1" s="1"/>
  <c r="CV134" i="1"/>
  <c r="DH134" i="1" s="1"/>
  <c r="DB134" i="1" l="1"/>
  <c r="CO134" i="1"/>
  <c r="AB134" i="1"/>
  <c r="AC134" i="1" s="1"/>
  <c r="AS134" i="1" s="1"/>
  <c r="R134" i="1"/>
  <c r="ED134" i="1"/>
  <c r="EJ134" i="1"/>
  <c r="EK134" i="1"/>
  <c r="EF134" i="1"/>
  <c r="EL134" i="1"/>
  <c r="EG134" i="1"/>
  <c r="EI134" i="1"/>
  <c r="EH134" i="1"/>
  <c r="EE134" i="1"/>
  <c r="DN134" i="1" l="1"/>
  <c r="AW134" i="1"/>
  <c r="DR134" i="1" s="1"/>
  <c r="AV134" i="1"/>
  <c r="DQ134" i="1" s="1"/>
  <c r="BA134" i="1"/>
  <c r="DV134" i="1" s="1"/>
  <c r="AU134" i="1"/>
  <c r="DP134" i="1" s="1"/>
  <c r="AY134" i="1"/>
  <c r="DT134" i="1" s="1"/>
  <c r="EQ134" i="1"/>
  <c r="EO134" i="1"/>
  <c r="EP134" i="1"/>
  <c r="EN134" i="1"/>
  <c r="ER134" i="1"/>
  <c r="AT134" i="1"/>
  <c r="DO134" i="1" s="1"/>
  <c r="AX134" i="1"/>
  <c r="DS134" i="1" s="1"/>
  <c r="AZ134" i="1"/>
  <c r="DU134" i="1" s="1"/>
  <c r="ET134" i="1" l="1"/>
  <c r="EV134" i="1"/>
  <c r="EW134" i="1"/>
  <c r="EX134" i="1"/>
  <c r="EU134" i="1"/>
  <c r="BB134" i="1"/>
  <c r="FB134" i="1" l="1"/>
  <c r="FF134" i="1"/>
  <c r="FC134" i="1"/>
  <c r="FG134" i="1"/>
  <c r="FJ134" i="1"/>
  <c r="FW134" i="1" s="1"/>
  <c r="BO134" i="1" s="1"/>
  <c r="N134" i="1" s="1"/>
  <c r="EZ134" i="1"/>
  <c r="FD134" i="1"/>
  <c r="FH134" i="1"/>
  <c r="FA134" i="1"/>
  <c r="FE134" i="1"/>
  <c r="FI134" i="1"/>
  <c r="FL134" i="1" l="1"/>
  <c r="FV134" i="1" s="1"/>
  <c r="BN134" i="1" s="1"/>
  <c r="CA134" i="1" s="1"/>
  <c r="FO134" i="1" l="1"/>
  <c r="BG134" i="1" s="1"/>
  <c r="BT134" i="1" s="1"/>
  <c r="FS134" i="1"/>
  <c r="BK134" i="1" s="1"/>
  <c r="BX134" i="1" s="1"/>
  <c r="FT134" i="1"/>
  <c r="BL134" i="1" s="1"/>
  <c r="BY134" i="1" s="1"/>
  <c r="FN134" i="1"/>
  <c r="BF134" i="1" s="1"/>
  <c r="BS134" i="1" s="1"/>
  <c r="FR134" i="1"/>
  <c r="BJ134" i="1" s="1"/>
  <c r="BW134" i="1" s="1"/>
  <c r="FP134" i="1"/>
  <c r="BH134" i="1" s="1"/>
  <c r="BU134" i="1" s="1"/>
  <c r="FU134" i="1"/>
  <c r="BM134" i="1" s="1"/>
  <c r="BZ134" i="1" s="1"/>
  <c r="FM134" i="1"/>
  <c r="BE134" i="1" s="1"/>
  <c r="BR134" i="1" s="1"/>
  <c r="FQ134" i="1"/>
  <c r="BI134" i="1" s="1"/>
  <c r="BV134" i="1" s="1"/>
  <c r="BQ134" i="1" l="1"/>
  <c r="CD134" i="1" s="1"/>
  <c r="CL134" i="1" l="1"/>
  <c r="CM134" i="1"/>
  <c r="DW134" i="1" s="1"/>
  <c r="DY134" i="1" s="1"/>
  <c r="E134" i="1" s="1"/>
  <c r="CF134" i="1"/>
  <c r="CI134" i="1"/>
  <c r="CE134" i="1"/>
  <c r="CJ134" i="1"/>
  <c r="CK134" i="1"/>
  <c r="CG134" i="1"/>
  <c r="CH134" i="1"/>
  <c r="AF134" i="1" l="1"/>
  <c r="AJ134" i="1"/>
  <c r="AN134" i="1"/>
  <c r="AG134" i="1"/>
  <c r="AK134" i="1"/>
  <c r="AH134" i="1"/>
  <c r="AL134" i="1"/>
  <c r="AI134" i="1"/>
  <c r="AM134" i="1"/>
  <c r="M134" i="1"/>
  <c r="AE134" i="1" l="1"/>
  <c r="G134" i="1" s="1"/>
  <c r="AO134" i="1"/>
  <c r="F134" i="1" l="1"/>
  <c r="AP134" i="1"/>
  <c r="H134" i="1" s="1"/>
  <c r="K134" i="1" s="1"/>
  <c r="C135" i="1" l="1"/>
  <c r="I135" i="1"/>
  <c r="D135" i="1"/>
  <c r="O134" i="1"/>
  <c r="L134" i="1"/>
  <c r="B135" i="1"/>
  <c r="P134" i="1" l="1"/>
  <c r="U135" i="1"/>
  <c r="Y135" i="1"/>
  <c r="V135" i="1"/>
  <c r="Z135" i="1"/>
  <c r="S135" i="1"/>
  <c r="W135" i="1"/>
  <c r="AA135" i="1"/>
  <c r="J135" i="1"/>
  <c r="T135" i="1"/>
  <c r="X135" i="1"/>
  <c r="CP135" i="1"/>
  <c r="CS135" i="1"/>
  <c r="DE135" i="1" s="1"/>
  <c r="CW135" i="1"/>
  <c r="DI135" i="1" s="1"/>
  <c r="CT135" i="1"/>
  <c r="DF135" i="1" s="1"/>
  <c r="CX135" i="1"/>
  <c r="DJ135" i="1" s="1"/>
  <c r="CY135" i="1"/>
  <c r="DK135" i="1" s="1"/>
  <c r="CQ135" i="1"/>
  <c r="DC135" i="1" s="1"/>
  <c r="CU135" i="1"/>
  <c r="DG135" i="1" s="1"/>
  <c r="CR135" i="1"/>
  <c r="DD135" i="1" s="1"/>
  <c r="CV135" i="1"/>
  <c r="DH135" i="1" s="1"/>
  <c r="DB135" i="1" l="1"/>
  <c r="CO135" i="1"/>
  <c r="EL135" i="1"/>
  <c r="EG135" i="1"/>
  <c r="EI135" i="1"/>
  <c r="EH135" i="1"/>
  <c r="EE135" i="1"/>
  <c r="ED135" i="1"/>
  <c r="R135" i="1"/>
  <c r="AB135" i="1"/>
  <c r="AC135" i="1" s="1"/>
  <c r="BA135" i="1" s="1"/>
  <c r="DV135" i="1" s="1"/>
  <c r="EJ135" i="1"/>
  <c r="EK135" i="1"/>
  <c r="EF135" i="1"/>
  <c r="AT135" i="1" l="1"/>
  <c r="DO135" i="1" s="1"/>
  <c r="AX135" i="1"/>
  <c r="DS135" i="1" s="1"/>
  <c r="AZ135" i="1"/>
  <c r="DU135" i="1" s="1"/>
  <c r="EP135" i="1"/>
  <c r="EQ135" i="1"/>
  <c r="ER135" i="1"/>
  <c r="EO135" i="1"/>
  <c r="EN135" i="1"/>
  <c r="AV135" i="1"/>
  <c r="DQ135" i="1" s="1"/>
  <c r="AU135" i="1"/>
  <c r="DP135" i="1" s="1"/>
  <c r="AY135" i="1"/>
  <c r="DT135" i="1" s="1"/>
  <c r="AS135" i="1"/>
  <c r="AW135" i="1"/>
  <c r="DR135" i="1" s="1"/>
  <c r="EX135" i="1" l="1"/>
  <c r="EU135" i="1"/>
  <c r="EV135" i="1"/>
  <c r="EW135" i="1"/>
  <c r="ET135" i="1"/>
  <c r="DN135" i="1"/>
  <c r="BB135" i="1"/>
  <c r="FC135" i="1" l="1"/>
  <c r="FG135" i="1"/>
  <c r="FJ135" i="1"/>
  <c r="FW135" i="1" s="1"/>
  <c r="BO135" i="1" s="1"/>
  <c r="N135" i="1" s="1"/>
  <c r="EZ135" i="1"/>
  <c r="FD135" i="1"/>
  <c r="FH135" i="1"/>
  <c r="FA135" i="1"/>
  <c r="FE135" i="1"/>
  <c r="FI135" i="1"/>
  <c r="FB135" i="1"/>
  <c r="FF135" i="1"/>
  <c r="FL135" i="1" l="1"/>
  <c r="FO135" i="1" s="1"/>
  <c r="BG135" i="1" s="1"/>
  <c r="BT135" i="1" s="1"/>
  <c r="FN135" i="1" l="1"/>
  <c r="BF135" i="1" s="1"/>
  <c r="BS135" i="1" s="1"/>
  <c r="FU135" i="1"/>
  <c r="BM135" i="1" s="1"/>
  <c r="BZ135" i="1" s="1"/>
  <c r="FV135" i="1"/>
  <c r="BN135" i="1" s="1"/>
  <c r="CA135" i="1" s="1"/>
  <c r="FR135" i="1"/>
  <c r="BJ135" i="1" s="1"/>
  <c r="BW135" i="1" s="1"/>
  <c r="FT135" i="1"/>
  <c r="BL135" i="1" s="1"/>
  <c r="BY135" i="1" s="1"/>
  <c r="FS135" i="1"/>
  <c r="BK135" i="1" s="1"/>
  <c r="BX135" i="1" s="1"/>
  <c r="FP135" i="1"/>
  <c r="BH135" i="1" s="1"/>
  <c r="BU135" i="1" s="1"/>
  <c r="FM135" i="1"/>
  <c r="BE135" i="1" s="1"/>
  <c r="BR135" i="1" s="1"/>
  <c r="FQ135" i="1"/>
  <c r="BI135" i="1" s="1"/>
  <c r="BV135" i="1" s="1"/>
  <c r="BQ135" i="1" l="1"/>
  <c r="CF135" i="1" s="1"/>
  <c r="CH135" i="1" l="1"/>
  <c r="CL135" i="1"/>
  <c r="CJ135" i="1"/>
  <c r="CI135" i="1"/>
  <c r="CE135" i="1"/>
  <c r="CM135" i="1"/>
  <c r="DW135" i="1" s="1"/>
  <c r="DY135" i="1" s="1"/>
  <c r="E135" i="1" s="1"/>
  <c r="CD135" i="1"/>
  <c r="CK135" i="1"/>
  <c r="CG135" i="1"/>
  <c r="AG135" i="1" l="1"/>
  <c r="AK135" i="1"/>
  <c r="AH135" i="1"/>
  <c r="AL135" i="1"/>
  <c r="AI135" i="1"/>
  <c r="AM135" i="1"/>
  <c r="AF135" i="1"/>
  <c r="AJ135" i="1"/>
  <c r="AN135" i="1"/>
  <c r="M135" i="1"/>
  <c r="AO135" i="1" l="1"/>
  <c r="AE135" i="1"/>
  <c r="G135" i="1" s="1"/>
  <c r="AP135" i="1" l="1"/>
  <c r="H135" i="1" s="1"/>
  <c r="K135" i="1" s="1"/>
  <c r="F135" i="1"/>
  <c r="D136" i="1" l="1"/>
  <c r="O135" i="1"/>
  <c r="L135" i="1"/>
  <c r="P135" i="1" s="1"/>
  <c r="B136" i="1"/>
  <c r="C136" i="1"/>
  <c r="I136" i="1"/>
  <c r="CY136" i="1" l="1"/>
  <c r="DK136" i="1" s="1"/>
  <c r="CP136" i="1"/>
  <c r="CS136" i="1"/>
  <c r="DE136" i="1" s="1"/>
  <c r="CW136" i="1"/>
  <c r="DI136" i="1" s="1"/>
  <c r="CT136" i="1"/>
  <c r="DF136" i="1" s="1"/>
  <c r="CX136" i="1"/>
  <c r="DJ136" i="1" s="1"/>
  <c r="CQ136" i="1"/>
  <c r="DC136" i="1" s="1"/>
  <c r="CU136" i="1"/>
  <c r="DG136" i="1" s="1"/>
  <c r="CR136" i="1"/>
  <c r="DD136" i="1" s="1"/>
  <c r="CV136" i="1"/>
  <c r="DH136" i="1" s="1"/>
  <c r="V136" i="1"/>
  <c r="Z136" i="1"/>
  <c r="S136" i="1"/>
  <c r="W136" i="1"/>
  <c r="AA136" i="1"/>
  <c r="T136" i="1"/>
  <c r="X136" i="1"/>
  <c r="U136" i="1"/>
  <c r="Y136" i="1"/>
  <c r="J136" i="1"/>
  <c r="EF136" i="1" l="1"/>
  <c r="EH136" i="1"/>
  <c r="EI136" i="1"/>
  <c r="AB136" i="1"/>
  <c r="AC136" i="1" s="1"/>
  <c r="AU136" i="1" s="1"/>
  <c r="DP136" i="1" s="1"/>
  <c r="R136" i="1"/>
  <c r="ED136" i="1"/>
  <c r="EK136" i="1"/>
  <c r="EE136" i="1"/>
  <c r="EJ136" i="1"/>
  <c r="EL136" i="1"/>
  <c r="EG136" i="1"/>
  <c r="DB136" i="1"/>
  <c r="CO136" i="1"/>
  <c r="BA136" i="1" l="1"/>
  <c r="DV136" i="1" s="1"/>
  <c r="AZ136" i="1"/>
  <c r="DU136" i="1" s="1"/>
  <c r="AV136" i="1"/>
  <c r="DQ136" i="1" s="1"/>
  <c r="AY136" i="1"/>
  <c r="DT136" i="1" s="1"/>
  <c r="AS136" i="1"/>
  <c r="AW136" i="1"/>
  <c r="DR136" i="1" s="1"/>
  <c r="AT136" i="1"/>
  <c r="DO136" i="1" s="1"/>
  <c r="EN136" i="1"/>
  <c r="EQ136" i="1"/>
  <c r="EP136" i="1"/>
  <c r="ER136" i="1"/>
  <c r="EO136" i="1"/>
  <c r="AX136" i="1"/>
  <c r="DS136" i="1" s="1"/>
  <c r="EX136" i="1" l="1"/>
  <c r="EU136" i="1"/>
  <c r="EV136" i="1"/>
  <c r="EW136" i="1"/>
  <c r="ET136" i="1"/>
  <c r="DN136" i="1"/>
  <c r="BB136" i="1"/>
  <c r="FB136" i="1" l="1"/>
  <c r="FF136" i="1"/>
  <c r="FC136" i="1"/>
  <c r="FG136" i="1"/>
  <c r="FJ136" i="1"/>
  <c r="FW136" i="1" s="1"/>
  <c r="BO136" i="1" s="1"/>
  <c r="N136" i="1" s="1"/>
  <c r="EZ136" i="1"/>
  <c r="FD136" i="1"/>
  <c r="FH136" i="1"/>
  <c r="FA136" i="1"/>
  <c r="FE136" i="1"/>
  <c r="FI136" i="1"/>
  <c r="FL136" i="1" l="1"/>
  <c r="FR136" i="1" s="1"/>
  <c r="BJ136" i="1" s="1"/>
  <c r="BW136" i="1" s="1"/>
  <c r="FT136" i="1" l="1"/>
  <c r="BL136" i="1" s="1"/>
  <c r="BY136" i="1" s="1"/>
  <c r="FS136" i="1"/>
  <c r="BK136" i="1" s="1"/>
  <c r="BX136" i="1" s="1"/>
  <c r="FP136" i="1"/>
  <c r="BH136" i="1" s="1"/>
  <c r="BU136" i="1" s="1"/>
  <c r="FU136" i="1"/>
  <c r="BM136" i="1" s="1"/>
  <c r="BZ136" i="1" s="1"/>
  <c r="FM136" i="1"/>
  <c r="BE136" i="1" s="1"/>
  <c r="BR136" i="1" s="1"/>
  <c r="FQ136" i="1"/>
  <c r="BI136" i="1" s="1"/>
  <c r="BV136" i="1" s="1"/>
  <c r="FN136" i="1"/>
  <c r="BF136" i="1" s="1"/>
  <c r="BS136" i="1" s="1"/>
  <c r="FV136" i="1"/>
  <c r="BN136" i="1" s="1"/>
  <c r="CA136" i="1" s="1"/>
  <c r="FO136" i="1"/>
  <c r="BG136" i="1" s="1"/>
  <c r="BT136" i="1" s="1"/>
  <c r="BQ136" i="1" l="1"/>
  <c r="CI136" i="1" s="1"/>
  <c r="CK136" i="1" l="1"/>
  <c r="CJ136" i="1"/>
  <c r="CG136" i="1"/>
  <c r="CH136" i="1"/>
  <c r="CL136" i="1"/>
  <c r="CD136" i="1"/>
  <c r="CM136" i="1"/>
  <c r="DW136" i="1" s="1"/>
  <c r="DY136" i="1" s="1"/>
  <c r="E136" i="1" s="1"/>
  <c r="CF136" i="1"/>
  <c r="CE136" i="1"/>
  <c r="AF136" i="1" l="1"/>
  <c r="AJ136" i="1"/>
  <c r="AN136" i="1"/>
  <c r="AG136" i="1"/>
  <c r="AK136" i="1"/>
  <c r="AH136" i="1"/>
  <c r="AL136" i="1"/>
  <c r="AI136" i="1"/>
  <c r="AM136" i="1"/>
  <c r="M136" i="1"/>
  <c r="AE136" i="1" l="1"/>
  <c r="G136" i="1" s="1"/>
  <c r="AO136" i="1"/>
  <c r="F136" i="1" l="1"/>
  <c r="AP136" i="1"/>
  <c r="H136" i="1" s="1"/>
  <c r="K136" i="1" s="1"/>
  <c r="C137" i="1" l="1"/>
  <c r="I137" i="1"/>
  <c r="D137" i="1"/>
  <c r="O136" i="1"/>
  <c r="L136" i="1"/>
  <c r="B137" i="1"/>
  <c r="P136" i="1" l="1"/>
  <c r="U137" i="1"/>
  <c r="Y137" i="1"/>
  <c r="V137" i="1"/>
  <c r="Z137" i="1"/>
  <c r="S137" i="1"/>
  <c r="W137" i="1"/>
  <c r="AA137" i="1"/>
  <c r="J137" i="1"/>
  <c r="T137" i="1"/>
  <c r="X137" i="1"/>
  <c r="CR137" i="1"/>
  <c r="DD137" i="1" s="1"/>
  <c r="CV137" i="1"/>
  <c r="DH137" i="1" s="1"/>
  <c r="CP137" i="1"/>
  <c r="CS137" i="1"/>
  <c r="DE137" i="1" s="1"/>
  <c r="CW137" i="1"/>
  <c r="DI137" i="1" s="1"/>
  <c r="CY137" i="1"/>
  <c r="DK137" i="1" s="1"/>
  <c r="CT137" i="1"/>
  <c r="DF137" i="1" s="1"/>
  <c r="CX137" i="1"/>
  <c r="DJ137" i="1" s="1"/>
  <c r="CQ137" i="1"/>
  <c r="DC137" i="1" s="1"/>
  <c r="CU137" i="1"/>
  <c r="DG137" i="1" s="1"/>
  <c r="EL137" i="1" l="1"/>
  <c r="EG137" i="1"/>
  <c r="EI137" i="1"/>
  <c r="EH137" i="1"/>
  <c r="DB137" i="1"/>
  <c r="CO137" i="1"/>
  <c r="EE137" i="1"/>
  <c r="ED137" i="1"/>
  <c r="AB137" i="1"/>
  <c r="AC137" i="1" s="1"/>
  <c r="AV137" i="1" s="1"/>
  <c r="DQ137" i="1" s="1"/>
  <c r="R137" i="1"/>
  <c r="EJ137" i="1"/>
  <c r="EK137" i="1"/>
  <c r="EF137" i="1"/>
  <c r="AZ137" i="1" l="1"/>
  <c r="DU137" i="1" s="1"/>
  <c r="BA137" i="1"/>
  <c r="DV137" i="1" s="1"/>
  <c r="EQ137" i="1"/>
  <c r="EN137" i="1"/>
  <c r="ER137" i="1"/>
  <c r="EP137" i="1"/>
  <c r="EO137" i="1"/>
  <c r="AX137" i="1"/>
  <c r="DS137" i="1" s="1"/>
  <c r="AU137" i="1"/>
  <c r="DP137" i="1" s="1"/>
  <c r="AY137" i="1"/>
  <c r="DT137" i="1" s="1"/>
  <c r="AS137" i="1"/>
  <c r="AT137" i="1"/>
  <c r="DO137" i="1" s="1"/>
  <c r="AW137" i="1"/>
  <c r="DR137" i="1" s="1"/>
  <c r="EW137" i="1" l="1"/>
  <c r="EV137" i="1"/>
  <c r="ET137" i="1"/>
  <c r="EX137" i="1"/>
  <c r="EU137" i="1"/>
  <c r="DN137" i="1"/>
  <c r="BB137" i="1"/>
  <c r="FC137" i="1" l="1"/>
  <c r="FG137" i="1"/>
  <c r="FJ137" i="1"/>
  <c r="FW137" i="1" s="1"/>
  <c r="BO137" i="1" s="1"/>
  <c r="N137" i="1" s="1"/>
  <c r="EZ137" i="1"/>
  <c r="FD137" i="1"/>
  <c r="FH137" i="1"/>
  <c r="FA137" i="1"/>
  <c r="FE137" i="1"/>
  <c r="FI137" i="1"/>
  <c r="FB137" i="1"/>
  <c r="FF137" i="1"/>
  <c r="FL137" i="1" l="1"/>
  <c r="FR137" i="1" s="1"/>
  <c r="BJ137" i="1" s="1"/>
  <c r="BW137" i="1" s="1"/>
  <c r="FT137" i="1" l="1"/>
  <c r="BL137" i="1" s="1"/>
  <c r="BY137" i="1" s="1"/>
  <c r="FN137" i="1"/>
  <c r="BF137" i="1" s="1"/>
  <c r="BS137" i="1" s="1"/>
  <c r="FM137" i="1"/>
  <c r="BE137" i="1" s="1"/>
  <c r="BR137" i="1" s="1"/>
  <c r="FP137" i="1"/>
  <c r="BH137" i="1" s="1"/>
  <c r="BU137" i="1" s="1"/>
  <c r="FU137" i="1"/>
  <c r="BM137" i="1" s="1"/>
  <c r="BZ137" i="1" s="1"/>
  <c r="FQ137" i="1"/>
  <c r="BI137" i="1" s="1"/>
  <c r="BV137" i="1" s="1"/>
  <c r="FO137" i="1"/>
  <c r="BG137" i="1" s="1"/>
  <c r="BT137" i="1" s="1"/>
  <c r="FV137" i="1"/>
  <c r="BN137" i="1" s="1"/>
  <c r="CA137" i="1" s="1"/>
  <c r="FS137" i="1"/>
  <c r="BK137" i="1" s="1"/>
  <c r="BX137" i="1" s="1"/>
  <c r="BQ137" i="1" l="1"/>
  <c r="CH137" i="1" s="1"/>
  <c r="CG137" i="1" l="1"/>
  <c r="CI137" i="1"/>
  <c r="CK137" i="1"/>
  <c r="CE137" i="1"/>
  <c r="CM137" i="1"/>
  <c r="DW137" i="1" s="1"/>
  <c r="DY137" i="1" s="1"/>
  <c r="E137" i="1" s="1"/>
  <c r="CD137" i="1"/>
  <c r="CL137" i="1"/>
  <c r="CJ137" i="1"/>
  <c r="CF137" i="1"/>
  <c r="AG137" i="1" l="1"/>
  <c r="AK137" i="1"/>
  <c r="AH137" i="1"/>
  <c r="AL137" i="1"/>
  <c r="AI137" i="1"/>
  <c r="AM137" i="1"/>
  <c r="AF137" i="1"/>
  <c r="AJ137" i="1"/>
  <c r="AN137" i="1"/>
  <c r="M137" i="1"/>
  <c r="AO137" i="1" l="1"/>
  <c r="AE137" i="1"/>
  <c r="G137" i="1" s="1"/>
  <c r="AP137" i="1" l="1"/>
  <c r="H137" i="1" s="1"/>
  <c r="K137" i="1" s="1"/>
  <c r="F137" i="1"/>
  <c r="D138" i="1" l="1"/>
  <c r="O137" i="1"/>
  <c r="L137" i="1"/>
  <c r="P137" i="1" s="1"/>
  <c r="I138" i="1"/>
  <c r="B138" i="1"/>
  <c r="C138" i="1"/>
  <c r="CQ138" i="1" l="1"/>
  <c r="DC138" i="1" s="1"/>
  <c r="CU138" i="1"/>
  <c r="DG138" i="1" s="1"/>
  <c r="CY138" i="1"/>
  <c r="DK138" i="1" s="1"/>
  <c r="CR138" i="1"/>
  <c r="DD138" i="1" s="1"/>
  <c r="CV138" i="1"/>
  <c r="DH138" i="1" s="1"/>
  <c r="CS138" i="1"/>
  <c r="DE138" i="1" s="1"/>
  <c r="CW138" i="1"/>
  <c r="DI138" i="1" s="1"/>
  <c r="CP138" i="1"/>
  <c r="CT138" i="1"/>
  <c r="DF138" i="1" s="1"/>
  <c r="CX138" i="1"/>
  <c r="DJ138" i="1" s="1"/>
  <c r="V138" i="1"/>
  <c r="Z138" i="1"/>
  <c r="S138" i="1"/>
  <c r="W138" i="1"/>
  <c r="AA138" i="1"/>
  <c r="J138" i="1"/>
  <c r="T138" i="1"/>
  <c r="X138" i="1"/>
  <c r="U138" i="1"/>
  <c r="Y138" i="1"/>
  <c r="EF138" i="1" l="1"/>
  <c r="EL138" i="1"/>
  <c r="EI138" i="1"/>
  <c r="EH138" i="1"/>
  <c r="EE138" i="1"/>
  <c r="ED138" i="1"/>
  <c r="R138" i="1"/>
  <c r="AB138" i="1"/>
  <c r="AC138" i="1" s="1"/>
  <c r="AU138" i="1" s="1"/>
  <c r="DP138" i="1" s="1"/>
  <c r="EJ138" i="1"/>
  <c r="EK138" i="1"/>
  <c r="CO138" i="1"/>
  <c r="DB138" i="1"/>
  <c r="EG138" i="1"/>
  <c r="AZ138" i="1" l="1"/>
  <c r="DU138" i="1" s="1"/>
  <c r="EO138" i="1"/>
  <c r="EN138" i="1"/>
  <c r="EQ138" i="1"/>
  <c r="EP138" i="1"/>
  <c r="ER138" i="1"/>
  <c r="AV138" i="1"/>
  <c r="DQ138" i="1" s="1"/>
  <c r="AY138" i="1"/>
  <c r="DT138" i="1" s="1"/>
  <c r="AS138" i="1"/>
  <c r="AW138" i="1"/>
  <c r="DR138" i="1" s="1"/>
  <c r="BA138" i="1"/>
  <c r="DV138" i="1" s="1"/>
  <c r="AT138" i="1"/>
  <c r="DO138" i="1" s="1"/>
  <c r="AX138" i="1"/>
  <c r="DS138" i="1" s="1"/>
  <c r="EV138" i="1" l="1"/>
  <c r="EU138" i="1"/>
  <c r="EW138" i="1"/>
  <c r="ET138" i="1"/>
  <c r="EX138" i="1"/>
  <c r="DN138" i="1"/>
  <c r="BB138" i="1"/>
  <c r="FJ138" i="1" l="1"/>
  <c r="FW138" i="1" s="1"/>
  <c r="BO138" i="1" s="1"/>
  <c r="N138" i="1" s="1"/>
  <c r="EZ138" i="1"/>
  <c r="FD138" i="1"/>
  <c r="FH138" i="1"/>
  <c r="FA138" i="1"/>
  <c r="FE138" i="1"/>
  <c r="FI138" i="1"/>
  <c r="FB138" i="1"/>
  <c r="FF138" i="1"/>
  <c r="FC138" i="1"/>
  <c r="FG138" i="1"/>
  <c r="FL138" i="1" l="1"/>
  <c r="FO138" i="1" s="1"/>
  <c r="BG138" i="1" s="1"/>
  <c r="BT138" i="1" s="1"/>
  <c r="FV138" i="1" l="1"/>
  <c r="BN138" i="1" s="1"/>
  <c r="CA138" i="1" s="1"/>
  <c r="FR138" i="1"/>
  <c r="BJ138" i="1" s="1"/>
  <c r="BW138" i="1" s="1"/>
  <c r="FS138" i="1"/>
  <c r="BK138" i="1" s="1"/>
  <c r="BX138" i="1" s="1"/>
  <c r="FU138" i="1"/>
  <c r="BM138" i="1" s="1"/>
  <c r="BZ138" i="1" s="1"/>
  <c r="FN138" i="1"/>
  <c r="BF138" i="1" s="1"/>
  <c r="BS138" i="1" s="1"/>
  <c r="FT138" i="1"/>
  <c r="BL138" i="1" s="1"/>
  <c r="BY138" i="1" s="1"/>
  <c r="FP138" i="1"/>
  <c r="BH138" i="1" s="1"/>
  <c r="BU138" i="1" s="1"/>
  <c r="FM138" i="1"/>
  <c r="BE138" i="1" s="1"/>
  <c r="BR138" i="1" s="1"/>
  <c r="FQ138" i="1"/>
  <c r="BI138" i="1" s="1"/>
  <c r="BV138" i="1" s="1"/>
  <c r="BQ138" i="1" l="1"/>
  <c r="CF138" i="1" s="1"/>
  <c r="CK138" i="1" l="1"/>
  <c r="CI138" i="1"/>
  <c r="CL138" i="1"/>
  <c r="CM138" i="1"/>
  <c r="DW138" i="1" s="1"/>
  <c r="DY138" i="1" s="1"/>
  <c r="E138" i="1" s="1"/>
  <c r="CJ138" i="1"/>
  <c r="CH138" i="1"/>
  <c r="CD138" i="1"/>
  <c r="CE138" i="1"/>
  <c r="CG138" i="1"/>
  <c r="AH138" i="1" l="1"/>
  <c r="AL138" i="1"/>
  <c r="AI138" i="1"/>
  <c r="AM138" i="1"/>
  <c r="AF138" i="1"/>
  <c r="AJ138" i="1"/>
  <c r="AN138" i="1"/>
  <c r="AG138" i="1"/>
  <c r="AK138" i="1"/>
  <c r="M138" i="1"/>
  <c r="AE138" i="1" l="1"/>
  <c r="G138" i="1" s="1"/>
  <c r="AO138" i="1"/>
  <c r="AP138" i="1" l="1"/>
  <c r="H138" i="1" s="1"/>
  <c r="K138" i="1" s="1"/>
  <c r="F138" i="1"/>
  <c r="L138" i="1" l="1"/>
  <c r="B139" i="1"/>
  <c r="C139" i="1"/>
  <c r="I139" i="1"/>
  <c r="D139" i="1"/>
  <c r="O138" i="1"/>
  <c r="P138" i="1" l="1"/>
  <c r="S139" i="1"/>
  <c r="W139" i="1"/>
  <c r="AA139" i="1"/>
  <c r="J139" i="1"/>
  <c r="T139" i="1"/>
  <c r="X139" i="1"/>
  <c r="U139" i="1"/>
  <c r="Y139" i="1"/>
  <c r="V139" i="1"/>
  <c r="Z139" i="1"/>
  <c r="CY139" i="1"/>
  <c r="CP139" i="1"/>
  <c r="CT139" i="1"/>
  <c r="DF139" i="1" s="1"/>
  <c r="CX139" i="1"/>
  <c r="DJ139" i="1" s="1"/>
  <c r="CQ139" i="1"/>
  <c r="DC139" i="1" s="1"/>
  <c r="CU139" i="1"/>
  <c r="DG139" i="1" s="1"/>
  <c r="CR139" i="1"/>
  <c r="DD139" i="1" s="1"/>
  <c r="CV139" i="1"/>
  <c r="DH139" i="1" s="1"/>
  <c r="CS139" i="1"/>
  <c r="DE139" i="1" s="1"/>
  <c r="CW139" i="1"/>
  <c r="DI139" i="1" s="1"/>
  <c r="DK139" i="1" l="1"/>
  <c r="EJ139" i="1"/>
  <c r="EK139" i="1"/>
  <c r="EF139" i="1"/>
  <c r="EL139" i="1"/>
  <c r="EG139" i="1"/>
  <c r="EI139" i="1"/>
  <c r="EH139" i="1"/>
  <c r="CO139" i="1"/>
  <c r="DB139" i="1"/>
  <c r="EE139" i="1"/>
  <c r="AB139" i="1"/>
  <c r="AC139" i="1" s="1"/>
  <c r="AZ139" i="1" s="1"/>
  <c r="DU139" i="1" s="1"/>
  <c r="R139" i="1"/>
  <c r="ED139" i="1"/>
  <c r="AX139" i="1" l="1"/>
  <c r="DS139" i="1" s="1"/>
  <c r="AY139" i="1"/>
  <c r="DT139" i="1" s="1"/>
  <c r="AS139" i="1"/>
  <c r="EP139" i="1"/>
  <c r="ER139" i="1"/>
  <c r="EN139" i="1"/>
  <c r="EQ139" i="1"/>
  <c r="EO139" i="1"/>
  <c r="AT139" i="1"/>
  <c r="DO139" i="1" s="1"/>
  <c r="AW139" i="1"/>
  <c r="DR139" i="1" s="1"/>
  <c r="AV139" i="1"/>
  <c r="DQ139" i="1" s="1"/>
  <c r="AU139" i="1"/>
  <c r="DP139" i="1" s="1"/>
  <c r="BA139" i="1"/>
  <c r="DV139" i="1" s="1"/>
  <c r="DN139" i="1" l="1"/>
  <c r="BB139" i="1"/>
  <c r="EV139" i="1"/>
  <c r="EU139" i="1"/>
  <c r="ET139" i="1"/>
  <c r="EX139" i="1"/>
  <c r="EW139" i="1"/>
  <c r="FA139" i="1" l="1"/>
  <c r="FE139" i="1"/>
  <c r="FI139" i="1"/>
  <c r="FB139" i="1"/>
  <c r="FF139" i="1"/>
  <c r="FC139" i="1"/>
  <c r="FG139" i="1"/>
  <c r="FJ139" i="1"/>
  <c r="FW139" i="1" s="1"/>
  <c r="BO139" i="1" s="1"/>
  <c r="N139" i="1" s="1"/>
  <c r="EZ139" i="1"/>
  <c r="FD139" i="1"/>
  <c r="FH139" i="1"/>
  <c r="FL139" i="1" l="1"/>
  <c r="FU139" i="1" s="1"/>
  <c r="BM139" i="1" s="1"/>
  <c r="BZ139" i="1" s="1"/>
  <c r="FM139" i="1" l="1"/>
  <c r="BE139" i="1" s="1"/>
  <c r="BR139" i="1" s="1"/>
  <c r="FQ139" i="1"/>
  <c r="BI139" i="1" s="1"/>
  <c r="BV139" i="1" s="1"/>
  <c r="FO139" i="1"/>
  <c r="BG139" i="1" s="1"/>
  <c r="BT139" i="1" s="1"/>
  <c r="FR139" i="1"/>
  <c r="BJ139" i="1" s="1"/>
  <c r="BW139" i="1" s="1"/>
  <c r="FV139" i="1"/>
  <c r="BN139" i="1" s="1"/>
  <c r="CA139" i="1" s="1"/>
  <c r="FN139" i="1"/>
  <c r="BF139" i="1" s="1"/>
  <c r="BS139" i="1" s="1"/>
  <c r="FT139" i="1"/>
  <c r="BL139" i="1" s="1"/>
  <c r="BY139" i="1" s="1"/>
  <c r="FS139" i="1"/>
  <c r="BK139" i="1" s="1"/>
  <c r="BX139" i="1" s="1"/>
  <c r="FP139" i="1"/>
  <c r="BH139" i="1" s="1"/>
  <c r="BU139" i="1" s="1"/>
  <c r="BQ139" i="1" l="1"/>
  <c r="CL139" i="1" s="1"/>
  <c r="CH139" i="1" l="1"/>
  <c r="CD139" i="1"/>
  <c r="CG139" i="1"/>
  <c r="CE139" i="1"/>
  <c r="CI139" i="1"/>
  <c r="CF139" i="1"/>
  <c r="CJ139" i="1"/>
  <c r="CM139" i="1"/>
  <c r="DW139" i="1" s="1"/>
  <c r="DY139" i="1" s="1"/>
  <c r="E139" i="1" s="1"/>
  <c r="CK139" i="1"/>
  <c r="AI139" i="1" l="1"/>
  <c r="AM139" i="1"/>
  <c r="AF139" i="1"/>
  <c r="AJ139" i="1"/>
  <c r="AN139" i="1"/>
  <c r="AG139" i="1"/>
  <c r="AK139" i="1"/>
  <c r="AH139" i="1"/>
  <c r="AL139" i="1"/>
  <c r="M139" i="1"/>
  <c r="AE139" i="1" l="1"/>
  <c r="G139" i="1" s="1"/>
  <c r="AO139" i="1"/>
  <c r="F139" i="1" l="1"/>
  <c r="AP139" i="1"/>
  <c r="H139" i="1" s="1"/>
  <c r="K139" i="1" s="1"/>
  <c r="L139" i="1" l="1"/>
  <c r="B140" i="1"/>
  <c r="C140" i="1"/>
  <c r="I140" i="1"/>
  <c r="D140" i="1"/>
  <c r="O139" i="1"/>
  <c r="P139" i="1" l="1"/>
  <c r="T140" i="1"/>
  <c r="X140" i="1"/>
  <c r="U140" i="1"/>
  <c r="Y140" i="1"/>
  <c r="V140" i="1"/>
  <c r="Z140" i="1"/>
  <c r="S140" i="1"/>
  <c r="W140" i="1"/>
  <c r="AA140" i="1"/>
  <c r="J140" i="1"/>
  <c r="CP140" i="1"/>
  <c r="CT140" i="1"/>
  <c r="DF140" i="1" s="1"/>
  <c r="CX140" i="1"/>
  <c r="DJ140" i="1" s="1"/>
  <c r="CQ140" i="1"/>
  <c r="DC140" i="1" s="1"/>
  <c r="CU140" i="1"/>
  <c r="DG140" i="1" s="1"/>
  <c r="CR140" i="1"/>
  <c r="DD140" i="1" s="1"/>
  <c r="CV140" i="1"/>
  <c r="DH140" i="1" s="1"/>
  <c r="CY140" i="1"/>
  <c r="DK140" i="1" s="1"/>
  <c r="CS140" i="1"/>
  <c r="DE140" i="1" s="1"/>
  <c r="CW140" i="1"/>
  <c r="DI140" i="1" s="1"/>
  <c r="CO140" i="1" l="1"/>
  <c r="DB140" i="1"/>
  <c r="AB140" i="1"/>
  <c r="AC140" i="1" s="1"/>
  <c r="AS140" i="1" s="1"/>
  <c r="ED140" i="1"/>
  <c r="R140" i="1"/>
  <c r="EJ140" i="1"/>
  <c r="EK140" i="1"/>
  <c r="EF140" i="1"/>
  <c r="EL140" i="1"/>
  <c r="EG140" i="1"/>
  <c r="EI140" i="1"/>
  <c r="EH140" i="1"/>
  <c r="EE140" i="1"/>
  <c r="DN140" i="1" l="1"/>
  <c r="AW140" i="1"/>
  <c r="DR140" i="1" s="1"/>
  <c r="BA140" i="1"/>
  <c r="DV140" i="1" s="1"/>
  <c r="AT140" i="1"/>
  <c r="DO140" i="1" s="1"/>
  <c r="AX140" i="1"/>
  <c r="DS140" i="1" s="1"/>
  <c r="AZ140" i="1"/>
  <c r="DU140" i="1" s="1"/>
  <c r="EQ140" i="1"/>
  <c r="EN140" i="1"/>
  <c r="EP140" i="1"/>
  <c r="ER140" i="1"/>
  <c r="EO140" i="1"/>
  <c r="AV140" i="1"/>
  <c r="DQ140" i="1" s="1"/>
  <c r="AY140" i="1"/>
  <c r="DT140" i="1" s="1"/>
  <c r="AU140" i="1"/>
  <c r="DP140" i="1" s="1"/>
  <c r="EX140" i="1" l="1"/>
  <c r="EU140" i="1"/>
  <c r="ET140" i="1"/>
  <c r="EW140" i="1"/>
  <c r="EV140" i="1"/>
  <c r="BB140" i="1"/>
  <c r="FB140" i="1" l="1"/>
  <c r="FF140" i="1"/>
  <c r="FC140" i="1"/>
  <c r="FG140" i="1"/>
  <c r="FJ140" i="1"/>
  <c r="FW140" i="1" s="1"/>
  <c r="BO140" i="1" s="1"/>
  <c r="N140" i="1" s="1"/>
  <c r="EZ140" i="1"/>
  <c r="FD140" i="1"/>
  <c r="FH140" i="1"/>
  <c r="FA140" i="1"/>
  <c r="FE140" i="1"/>
  <c r="FI140" i="1"/>
  <c r="FL140" i="1" l="1"/>
  <c r="FU140" i="1" s="1"/>
  <c r="BM140" i="1" s="1"/>
  <c r="BZ140" i="1" s="1"/>
  <c r="FT140" i="1" l="1"/>
  <c r="BL140" i="1" s="1"/>
  <c r="BY140" i="1" s="1"/>
  <c r="FM140" i="1"/>
  <c r="BE140" i="1" s="1"/>
  <c r="BR140" i="1" s="1"/>
  <c r="FP140" i="1"/>
  <c r="BH140" i="1" s="1"/>
  <c r="BU140" i="1" s="1"/>
  <c r="FO140" i="1"/>
  <c r="BG140" i="1" s="1"/>
  <c r="BT140" i="1" s="1"/>
  <c r="FQ140" i="1"/>
  <c r="BI140" i="1" s="1"/>
  <c r="BV140" i="1" s="1"/>
  <c r="FN140" i="1"/>
  <c r="BF140" i="1" s="1"/>
  <c r="BS140" i="1" s="1"/>
  <c r="FR140" i="1"/>
  <c r="BJ140" i="1" s="1"/>
  <c r="BW140" i="1" s="1"/>
  <c r="FS140" i="1"/>
  <c r="BK140" i="1" s="1"/>
  <c r="BX140" i="1" s="1"/>
  <c r="FV140" i="1"/>
  <c r="BN140" i="1" s="1"/>
  <c r="CA140" i="1" s="1"/>
  <c r="BQ140" i="1" l="1"/>
  <c r="CL140" i="1" s="1"/>
  <c r="CM140" i="1" l="1"/>
  <c r="DW140" i="1" s="1"/>
  <c r="DY140" i="1" s="1"/>
  <c r="E140" i="1" s="1"/>
  <c r="CK140" i="1"/>
  <c r="CI140" i="1"/>
  <c r="CD140" i="1"/>
  <c r="CF140" i="1"/>
  <c r="CH140" i="1"/>
  <c r="CJ140" i="1"/>
  <c r="CE140" i="1"/>
  <c r="CG140" i="1"/>
  <c r="AF140" i="1" l="1"/>
  <c r="AJ140" i="1"/>
  <c r="AN140" i="1"/>
  <c r="AG140" i="1"/>
  <c r="AK140" i="1"/>
  <c r="AH140" i="1"/>
  <c r="AL140" i="1"/>
  <c r="AI140" i="1"/>
  <c r="AM140" i="1"/>
  <c r="M140" i="1"/>
  <c r="AE140" i="1" l="1"/>
  <c r="G140" i="1" s="1"/>
  <c r="AO140" i="1"/>
  <c r="F140" i="1" l="1"/>
  <c r="AP140" i="1"/>
  <c r="H140" i="1" s="1"/>
  <c r="K140" i="1" s="1"/>
  <c r="C141" i="1" l="1"/>
  <c r="I141" i="1"/>
  <c r="D141" i="1"/>
  <c r="O140" i="1"/>
  <c r="L140" i="1"/>
  <c r="B141" i="1"/>
  <c r="P140" i="1" l="1"/>
  <c r="U141" i="1"/>
  <c r="Y141" i="1"/>
  <c r="V141" i="1"/>
  <c r="Z141" i="1"/>
  <c r="S141" i="1"/>
  <c r="W141" i="1"/>
  <c r="AA141" i="1"/>
  <c r="J141" i="1"/>
  <c r="T141" i="1"/>
  <c r="X141" i="1"/>
  <c r="CS141" i="1"/>
  <c r="DE141" i="1" s="1"/>
  <c r="CW141" i="1"/>
  <c r="DI141" i="1" s="1"/>
  <c r="CP141" i="1"/>
  <c r="CT141" i="1"/>
  <c r="DF141" i="1" s="1"/>
  <c r="CX141" i="1"/>
  <c r="DJ141" i="1" s="1"/>
  <c r="CY141" i="1"/>
  <c r="DK141" i="1" s="1"/>
  <c r="CQ141" i="1"/>
  <c r="DC141" i="1" s="1"/>
  <c r="CU141" i="1"/>
  <c r="DG141" i="1" s="1"/>
  <c r="CR141" i="1"/>
  <c r="DD141" i="1" s="1"/>
  <c r="CV141" i="1"/>
  <c r="DH141" i="1" s="1"/>
  <c r="EL141" i="1" l="1"/>
  <c r="EG141" i="1"/>
  <c r="EI141" i="1"/>
  <c r="EH141" i="1"/>
  <c r="CO141" i="1"/>
  <c r="DB141" i="1"/>
  <c r="EE141" i="1"/>
  <c r="ED141" i="1"/>
  <c r="R141" i="1"/>
  <c r="AB141" i="1"/>
  <c r="AC141" i="1" s="1"/>
  <c r="AV141" i="1" s="1"/>
  <c r="DQ141" i="1" s="1"/>
  <c r="EJ141" i="1"/>
  <c r="EK141" i="1"/>
  <c r="EF141" i="1"/>
  <c r="AW141" i="1" l="1"/>
  <c r="DR141" i="1" s="1"/>
  <c r="AY141" i="1"/>
  <c r="DT141" i="1" s="1"/>
  <c r="AS141" i="1"/>
  <c r="AZ141" i="1"/>
  <c r="DU141" i="1" s="1"/>
  <c r="AU141" i="1"/>
  <c r="DP141" i="1" s="1"/>
  <c r="EP141" i="1"/>
  <c r="ER141" i="1"/>
  <c r="EN141" i="1"/>
  <c r="EQ141" i="1"/>
  <c r="EO141" i="1"/>
  <c r="AX141" i="1"/>
  <c r="DS141" i="1" s="1"/>
  <c r="BA141" i="1"/>
  <c r="DV141" i="1" s="1"/>
  <c r="AT141" i="1"/>
  <c r="DO141" i="1" s="1"/>
  <c r="EV141" i="1" l="1"/>
  <c r="ET141" i="1"/>
  <c r="EU141" i="1"/>
  <c r="EW141" i="1"/>
  <c r="EX141" i="1"/>
  <c r="DN141" i="1"/>
  <c r="BB141" i="1"/>
  <c r="FC141" i="1" l="1"/>
  <c r="FG141" i="1"/>
  <c r="FJ141" i="1"/>
  <c r="FW141" i="1" s="1"/>
  <c r="BO141" i="1" s="1"/>
  <c r="N141" i="1" s="1"/>
  <c r="EZ141" i="1"/>
  <c r="FD141" i="1"/>
  <c r="FH141" i="1"/>
  <c r="FA141" i="1"/>
  <c r="FE141" i="1"/>
  <c r="FI141" i="1"/>
  <c r="FB141" i="1"/>
  <c r="FF141" i="1"/>
  <c r="FL141" i="1" l="1"/>
  <c r="FU141" i="1" s="1"/>
  <c r="BM141" i="1" s="1"/>
  <c r="BZ141" i="1" s="1"/>
  <c r="FQ141" i="1" l="1"/>
  <c r="BI141" i="1" s="1"/>
  <c r="BV141" i="1" s="1"/>
  <c r="FT141" i="1"/>
  <c r="BL141" i="1" s="1"/>
  <c r="BY141" i="1" s="1"/>
  <c r="FP141" i="1"/>
  <c r="BH141" i="1" s="1"/>
  <c r="BU141" i="1" s="1"/>
  <c r="FN141" i="1"/>
  <c r="BF141" i="1" s="1"/>
  <c r="BS141" i="1" s="1"/>
  <c r="FR141" i="1"/>
  <c r="BJ141" i="1" s="1"/>
  <c r="BW141" i="1" s="1"/>
  <c r="FS141" i="1"/>
  <c r="BK141" i="1" s="1"/>
  <c r="BX141" i="1" s="1"/>
  <c r="FV141" i="1"/>
  <c r="BN141" i="1" s="1"/>
  <c r="CA141" i="1" s="1"/>
  <c r="FM141" i="1"/>
  <c r="BE141" i="1" s="1"/>
  <c r="BR141" i="1" s="1"/>
  <c r="FO141" i="1"/>
  <c r="BG141" i="1" s="1"/>
  <c r="BT141" i="1" s="1"/>
  <c r="BQ141" i="1" l="1"/>
  <c r="CL141" i="1" s="1"/>
  <c r="CF141" i="1" l="1"/>
  <c r="CD141" i="1"/>
  <c r="CJ141" i="1"/>
  <c r="CK141" i="1"/>
  <c r="CE141" i="1"/>
  <c r="CH141" i="1"/>
  <c r="CG141" i="1"/>
  <c r="CI141" i="1"/>
  <c r="CM141" i="1"/>
  <c r="DW141" i="1" s="1"/>
  <c r="DY141" i="1" s="1"/>
  <c r="E141" i="1" s="1"/>
  <c r="AG141" i="1" l="1"/>
  <c r="AK141" i="1"/>
  <c r="AH141" i="1"/>
  <c r="AL141" i="1"/>
  <c r="AI141" i="1"/>
  <c r="AM141" i="1"/>
  <c r="AF141" i="1"/>
  <c r="AJ141" i="1"/>
  <c r="AN141" i="1"/>
  <c r="M141" i="1"/>
  <c r="AO141" i="1" l="1"/>
  <c r="AE141" i="1"/>
  <c r="G141" i="1" s="1"/>
  <c r="AP141" i="1" l="1"/>
  <c r="H141" i="1" s="1"/>
  <c r="K141" i="1" s="1"/>
  <c r="F141" i="1"/>
  <c r="D142" i="1" l="1"/>
  <c r="O141" i="1"/>
  <c r="L141" i="1"/>
  <c r="P141" i="1" s="1"/>
  <c r="B142" i="1"/>
  <c r="C142" i="1"/>
  <c r="I142" i="1"/>
  <c r="CT142" i="1" l="1"/>
  <c r="DF142" i="1" s="1"/>
  <c r="CX142" i="1"/>
  <c r="DJ142" i="1" s="1"/>
  <c r="CY142" i="1"/>
  <c r="DK142" i="1" s="1"/>
  <c r="CQ142" i="1"/>
  <c r="DC142" i="1" s="1"/>
  <c r="CU142" i="1"/>
  <c r="DG142" i="1" s="1"/>
  <c r="CR142" i="1"/>
  <c r="DD142" i="1" s="1"/>
  <c r="CV142" i="1"/>
  <c r="DH142" i="1" s="1"/>
  <c r="CP142" i="1"/>
  <c r="CS142" i="1"/>
  <c r="DE142" i="1" s="1"/>
  <c r="CW142" i="1"/>
  <c r="DI142" i="1" s="1"/>
  <c r="V142" i="1"/>
  <c r="Z142" i="1"/>
  <c r="S142" i="1"/>
  <c r="W142" i="1"/>
  <c r="AA142" i="1"/>
  <c r="J142" i="1"/>
  <c r="T142" i="1"/>
  <c r="X142" i="1"/>
  <c r="U142" i="1"/>
  <c r="Y142" i="1"/>
  <c r="EL142" i="1" l="1"/>
  <c r="EG142" i="1"/>
  <c r="EI142" i="1"/>
  <c r="EH142" i="1"/>
  <c r="EE142" i="1"/>
  <c r="AB142" i="1"/>
  <c r="AC142" i="1" s="1"/>
  <c r="BA142" i="1" s="1"/>
  <c r="DV142" i="1" s="1"/>
  <c r="R142" i="1"/>
  <c r="ED142" i="1"/>
  <c r="EJ142" i="1"/>
  <c r="EK142" i="1"/>
  <c r="DB142" i="1"/>
  <c r="CO142" i="1"/>
  <c r="EF142" i="1"/>
  <c r="AU142" i="1" l="1"/>
  <c r="DP142" i="1" s="1"/>
  <c r="AZ142" i="1"/>
  <c r="DU142" i="1" s="1"/>
  <c r="AY142" i="1"/>
  <c r="DT142" i="1" s="1"/>
  <c r="AW142" i="1"/>
  <c r="DR142" i="1" s="1"/>
  <c r="AV142" i="1"/>
  <c r="DQ142" i="1" s="1"/>
  <c r="AS142" i="1"/>
  <c r="EO142" i="1"/>
  <c r="EQ142" i="1"/>
  <c r="ER142" i="1"/>
  <c r="EN142" i="1"/>
  <c r="EP142" i="1"/>
  <c r="AT142" i="1"/>
  <c r="DO142" i="1" s="1"/>
  <c r="AX142" i="1"/>
  <c r="DS142" i="1" s="1"/>
  <c r="EU142" i="1" l="1"/>
  <c r="EX142" i="1"/>
  <c r="EW142" i="1"/>
  <c r="EV142" i="1"/>
  <c r="ET142" i="1"/>
  <c r="DN142" i="1"/>
  <c r="BB142" i="1"/>
  <c r="FJ142" i="1" l="1"/>
  <c r="FW142" i="1" s="1"/>
  <c r="BO142" i="1" s="1"/>
  <c r="N142" i="1" s="1"/>
  <c r="EZ142" i="1"/>
  <c r="FD142" i="1"/>
  <c r="FH142" i="1"/>
  <c r="FA142" i="1"/>
  <c r="FE142" i="1"/>
  <c r="FI142" i="1"/>
  <c r="FB142" i="1"/>
  <c r="FF142" i="1"/>
  <c r="FC142" i="1"/>
  <c r="FG142" i="1"/>
  <c r="FL142" i="1" l="1"/>
  <c r="FP142" i="1" s="1"/>
  <c r="BH142" i="1" s="1"/>
  <c r="BU142" i="1" s="1"/>
  <c r="FU142" i="1" l="1"/>
  <c r="BM142" i="1" s="1"/>
  <c r="BZ142" i="1" s="1"/>
  <c r="FM142" i="1"/>
  <c r="BE142" i="1" s="1"/>
  <c r="BR142" i="1" s="1"/>
  <c r="FQ142" i="1"/>
  <c r="BI142" i="1" s="1"/>
  <c r="BV142" i="1" s="1"/>
  <c r="FO142" i="1"/>
  <c r="BG142" i="1" s="1"/>
  <c r="BT142" i="1" s="1"/>
  <c r="FV142" i="1"/>
  <c r="BN142" i="1" s="1"/>
  <c r="CA142" i="1" s="1"/>
  <c r="FN142" i="1"/>
  <c r="BF142" i="1" s="1"/>
  <c r="BS142" i="1" s="1"/>
  <c r="FR142" i="1"/>
  <c r="BJ142" i="1" s="1"/>
  <c r="BW142" i="1" s="1"/>
  <c r="FT142" i="1"/>
  <c r="BL142" i="1" s="1"/>
  <c r="BY142" i="1" s="1"/>
  <c r="FS142" i="1"/>
  <c r="BK142" i="1" s="1"/>
  <c r="BX142" i="1" s="1"/>
  <c r="BQ142" i="1" l="1"/>
  <c r="CG142" i="1" s="1"/>
  <c r="CJ142" i="1" l="1"/>
  <c r="CD142" i="1"/>
  <c r="CL142" i="1"/>
  <c r="CM142" i="1"/>
  <c r="DW142" i="1" s="1"/>
  <c r="DY142" i="1" s="1"/>
  <c r="E142" i="1" s="1"/>
  <c r="CI142" i="1"/>
  <c r="CF142" i="1"/>
  <c r="CK142" i="1"/>
  <c r="CE142" i="1"/>
  <c r="CH142" i="1"/>
  <c r="AH142" i="1" l="1"/>
  <c r="AL142" i="1"/>
  <c r="AI142" i="1"/>
  <c r="AM142" i="1"/>
  <c r="AF142" i="1"/>
  <c r="AJ142" i="1"/>
  <c r="AN142" i="1"/>
  <c r="AG142" i="1"/>
  <c r="AK142" i="1"/>
  <c r="M142" i="1"/>
  <c r="AE142" i="1" l="1"/>
  <c r="G142" i="1" s="1"/>
  <c r="AO142" i="1"/>
  <c r="AP142" i="1" l="1"/>
  <c r="H142" i="1" s="1"/>
  <c r="K142" i="1" s="1"/>
  <c r="F142" i="1"/>
  <c r="L142" i="1" l="1"/>
  <c r="B143" i="1"/>
  <c r="C143" i="1"/>
  <c r="I143" i="1"/>
  <c r="D143" i="1"/>
  <c r="O142" i="1"/>
  <c r="P142" i="1" l="1"/>
  <c r="S143" i="1"/>
  <c r="W143" i="1"/>
  <c r="AA143" i="1"/>
  <c r="J143" i="1"/>
  <c r="T143" i="1"/>
  <c r="X143" i="1"/>
  <c r="U143" i="1"/>
  <c r="Y143" i="1"/>
  <c r="V143" i="1"/>
  <c r="Z143" i="1"/>
  <c r="CY143" i="1"/>
  <c r="DK143" i="1" s="1"/>
  <c r="CP143" i="1"/>
  <c r="CS143" i="1"/>
  <c r="DE143" i="1" s="1"/>
  <c r="CW143" i="1"/>
  <c r="DI143" i="1" s="1"/>
  <c r="CT143" i="1"/>
  <c r="DF143" i="1" s="1"/>
  <c r="CX143" i="1"/>
  <c r="DJ143" i="1" s="1"/>
  <c r="CQ143" i="1"/>
  <c r="DC143" i="1" s="1"/>
  <c r="CU143" i="1"/>
  <c r="DG143" i="1" s="1"/>
  <c r="CR143" i="1"/>
  <c r="DD143" i="1" s="1"/>
  <c r="CV143" i="1"/>
  <c r="DH143" i="1" s="1"/>
  <c r="EJ143" i="1" l="1"/>
  <c r="EK143" i="1"/>
  <c r="EF143" i="1"/>
  <c r="EL143" i="1"/>
  <c r="EG143" i="1"/>
  <c r="EI143" i="1"/>
  <c r="EH143" i="1"/>
  <c r="DB143" i="1"/>
  <c r="CO143" i="1"/>
  <c r="EE143" i="1"/>
  <c r="AB143" i="1"/>
  <c r="AC143" i="1" s="1"/>
  <c r="AZ143" i="1" s="1"/>
  <c r="DU143" i="1" s="1"/>
  <c r="R143" i="1"/>
  <c r="ED143" i="1"/>
  <c r="AX143" i="1" l="1"/>
  <c r="DS143" i="1" s="1"/>
  <c r="BA143" i="1"/>
  <c r="DV143" i="1" s="1"/>
  <c r="AT143" i="1"/>
  <c r="DO143" i="1" s="1"/>
  <c r="AS143" i="1"/>
  <c r="EQ143" i="1"/>
  <c r="EN143" i="1"/>
  <c r="ER143" i="1"/>
  <c r="EO143" i="1"/>
  <c r="EP143" i="1"/>
  <c r="AW143" i="1"/>
  <c r="DR143" i="1" s="1"/>
  <c r="AV143" i="1"/>
  <c r="DQ143" i="1" s="1"/>
  <c r="AU143" i="1"/>
  <c r="DP143" i="1" s="1"/>
  <c r="AY143" i="1"/>
  <c r="DT143" i="1" s="1"/>
  <c r="DN143" i="1" l="1"/>
  <c r="BB143" i="1"/>
  <c r="EU143" i="1"/>
  <c r="EX143" i="1"/>
  <c r="EW143" i="1"/>
  <c r="ET143" i="1"/>
  <c r="EV143" i="1"/>
  <c r="FA143" i="1" l="1"/>
  <c r="FE143" i="1"/>
  <c r="FI143" i="1"/>
  <c r="FB143" i="1"/>
  <c r="FF143" i="1"/>
  <c r="FC143" i="1"/>
  <c r="FG143" i="1"/>
  <c r="FJ143" i="1"/>
  <c r="FW143" i="1" s="1"/>
  <c r="BO143" i="1" s="1"/>
  <c r="N143" i="1" s="1"/>
  <c r="EZ143" i="1"/>
  <c r="FD143" i="1"/>
  <c r="FH143" i="1"/>
  <c r="FL143" i="1" l="1"/>
  <c r="FO143" i="1" s="1"/>
  <c r="BG143" i="1" s="1"/>
  <c r="BT143" i="1" s="1"/>
  <c r="FV143" i="1" l="1"/>
  <c r="BN143" i="1" s="1"/>
  <c r="CA143" i="1" s="1"/>
  <c r="FR143" i="1"/>
  <c r="BJ143" i="1" s="1"/>
  <c r="BW143" i="1" s="1"/>
  <c r="FU143" i="1"/>
  <c r="BM143" i="1" s="1"/>
  <c r="BZ143" i="1" s="1"/>
  <c r="FN143" i="1"/>
  <c r="BF143" i="1" s="1"/>
  <c r="BS143" i="1" s="1"/>
  <c r="FT143" i="1"/>
  <c r="BL143" i="1" s="1"/>
  <c r="BY143" i="1" s="1"/>
  <c r="FS143" i="1"/>
  <c r="BK143" i="1" s="1"/>
  <c r="BX143" i="1" s="1"/>
  <c r="FP143" i="1"/>
  <c r="BH143" i="1" s="1"/>
  <c r="BU143" i="1" s="1"/>
  <c r="FM143" i="1"/>
  <c r="BE143" i="1" s="1"/>
  <c r="BR143" i="1" s="1"/>
  <c r="FQ143" i="1"/>
  <c r="BI143" i="1" s="1"/>
  <c r="BV143" i="1" s="1"/>
  <c r="BQ143" i="1" l="1"/>
  <c r="CF143" i="1" s="1"/>
  <c r="CH143" i="1" l="1"/>
  <c r="CE143" i="1"/>
  <c r="CM143" i="1"/>
  <c r="DW143" i="1" s="1"/>
  <c r="DY143" i="1" s="1"/>
  <c r="E143" i="1" s="1"/>
  <c r="CL143" i="1"/>
  <c r="CJ143" i="1"/>
  <c r="CI143" i="1"/>
  <c r="CD143" i="1"/>
  <c r="CK143" i="1"/>
  <c r="CG143" i="1"/>
  <c r="AI143" i="1" l="1"/>
  <c r="AM143" i="1"/>
  <c r="AF143" i="1"/>
  <c r="AJ143" i="1"/>
  <c r="AN143" i="1"/>
  <c r="AG143" i="1"/>
  <c r="AK143" i="1"/>
  <c r="AH143" i="1"/>
  <c r="AL143" i="1"/>
  <c r="M143" i="1"/>
  <c r="AE143" i="1" l="1"/>
  <c r="G143" i="1" s="1"/>
  <c r="AO143" i="1"/>
  <c r="F143" i="1" l="1"/>
  <c r="AP143" i="1"/>
  <c r="H143" i="1" s="1"/>
  <c r="K143" i="1" s="1"/>
  <c r="L143" i="1" l="1"/>
  <c r="B144" i="1"/>
  <c r="C144" i="1"/>
  <c r="I144" i="1"/>
  <c r="D144" i="1"/>
  <c r="O143" i="1"/>
  <c r="P143" i="1" l="1"/>
  <c r="T144" i="1"/>
  <c r="X144" i="1"/>
  <c r="U144" i="1"/>
  <c r="Y144" i="1"/>
  <c r="V144" i="1"/>
  <c r="Z144" i="1"/>
  <c r="S144" i="1"/>
  <c r="W144" i="1"/>
  <c r="AA144" i="1"/>
  <c r="J144" i="1"/>
  <c r="CP144" i="1"/>
  <c r="CT144" i="1"/>
  <c r="DF144" i="1" s="1"/>
  <c r="CX144" i="1"/>
  <c r="DJ144" i="1" s="1"/>
  <c r="CQ144" i="1"/>
  <c r="DC144" i="1" s="1"/>
  <c r="CU144" i="1"/>
  <c r="DG144" i="1" s="1"/>
  <c r="CR144" i="1"/>
  <c r="DD144" i="1" s="1"/>
  <c r="CV144" i="1"/>
  <c r="DH144" i="1" s="1"/>
  <c r="CY144" i="1"/>
  <c r="DK144" i="1" s="1"/>
  <c r="CS144" i="1"/>
  <c r="DE144" i="1" s="1"/>
  <c r="CW144" i="1"/>
  <c r="DI144" i="1" s="1"/>
  <c r="CO144" i="1" l="1"/>
  <c r="DB144" i="1"/>
  <c r="AB144" i="1"/>
  <c r="AC144" i="1" s="1"/>
  <c r="AS144" i="1" s="1"/>
  <c r="R144" i="1"/>
  <c r="ED144" i="1"/>
  <c r="EJ144" i="1"/>
  <c r="EK144" i="1"/>
  <c r="EF144" i="1"/>
  <c r="EL144" i="1"/>
  <c r="EG144" i="1"/>
  <c r="EI144" i="1"/>
  <c r="EH144" i="1"/>
  <c r="EE144" i="1"/>
  <c r="DN144" i="1" l="1"/>
  <c r="AV144" i="1"/>
  <c r="DQ144" i="1" s="1"/>
  <c r="AY144" i="1"/>
  <c r="DT144" i="1" s="1"/>
  <c r="BA144" i="1"/>
  <c r="DV144" i="1" s="1"/>
  <c r="EQ144" i="1"/>
  <c r="ER144" i="1"/>
  <c r="EP144" i="1"/>
  <c r="EO144" i="1"/>
  <c r="EN144" i="1"/>
  <c r="AW144" i="1"/>
  <c r="DR144" i="1" s="1"/>
  <c r="AT144" i="1"/>
  <c r="DO144" i="1" s="1"/>
  <c r="AX144" i="1"/>
  <c r="DS144" i="1" s="1"/>
  <c r="AZ144" i="1"/>
  <c r="DU144" i="1" s="1"/>
  <c r="AU144" i="1"/>
  <c r="DP144" i="1" s="1"/>
  <c r="EV144" i="1" l="1"/>
  <c r="EX144" i="1"/>
  <c r="EW144" i="1"/>
  <c r="EU144" i="1"/>
  <c r="ET144" i="1"/>
  <c r="BB144" i="1"/>
  <c r="FB144" i="1" l="1"/>
  <c r="FF144" i="1"/>
  <c r="FC144" i="1"/>
  <c r="FG144" i="1"/>
  <c r="FJ144" i="1"/>
  <c r="FW144" i="1" s="1"/>
  <c r="BO144" i="1" s="1"/>
  <c r="N144" i="1" s="1"/>
  <c r="EZ144" i="1"/>
  <c r="FD144" i="1"/>
  <c r="FH144" i="1"/>
  <c r="FA144" i="1"/>
  <c r="FE144" i="1"/>
  <c r="FI144" i="1"/>
  <c r="FL144" i="1" l="1"/>
  <c r="FV144" i="1" s="1"/>
  <c r="BN144" i="1" s="1"/>
  <c r="CA144" i="1" s="1"/>
  <c r="FS144" i="1" l="1"/>
  <c r="BK144" i="1" s="1"/>
  <c r="BX144" i="1" s="1"/>
  <c r="FR144" i="1"/>
  <c r="BJ144" i="1" s="1"/>
  <c r="BW144" i="1" s="1"/>
  <c r="FT144" i="1"/>
  <c r="BL144" i="1" s="1"/>
  <c r="BY144" i="1" s="1"/>
  <c r="FN144" i="1"/>
  <c r="BF144" i="1" s="1"/>
  <c r="BS144" i="1" s="1"/>
  <c r="FO144" i="1"/>
  <c r="BG144" i="1" s="1"/>
  <c r="BT144" i="1" s="1"/>
  <c r="FP144" i="1"/>
  <c r="BH144" i="1" s="1"/>
  <c r="BU144" i="1" s="1"/>
  <c r="FU144" i="1"/>
  <c r="BM144" i="1" s="1"/>
  <c r="BZ144" i="1" s="1"/>
  <c r="FM144" i="1"/>
  <c r="BE144" i="1" s="1"/>
  <c r="BR144" i="1" s="1"/>
  <c r="FQ144" i="1"/>
  <c r="BI144" i="1" s="1"/>
  <c r="BV144" i="1" s="1"/>
  <c r="BQ144" i="1" l="1"/>
  <c r="CL144" i="1" s="1"/>
  <c r="CM144" i="1" l="1"/>
  <c r="DW144" i="1" s="1"/>
  <c r="DY144" i="1" s="1"/>
  <c r="E144" i="1" s="1"/>
  <c r="CG144" i="1"/>
  <c r="CK144" i="1"/>
  <c r="CI144" i="1"/>
  <c r="CF144" i="1"/>
  <c r="CE144" i="1"/>
  <c r="CJ144" i="1"/>
  <c r="CD144" i="1"/>
  <c r="CH144" i="1"/>
  <c r="AF144" i="1" l="1"/>
  <c r="AJ144" i="1"/>
  <c r="AN144" i="1"/>
  <c r="AG144" i="1"/>
  <c r="AK144" i="1"/>
  <c r="AH144" i="1"/>
  <c r="AL144" i="1"/>
  <c r="AI144" i="1"/>
  <c r="AM144" i="1"/>
  <c r="M144" i="1"/>
  <c r="AO144" i="1" l="1"/>
  <c r="AE144" i="1"/>
  <c r="G144" i="1" s="1"/>
  <c r="F144" i="1" l="1"/>
  <c r="AP144" i="1"/>
  <c r="H144" i="1" s="1"/>
  <c r="K144" i="1" s="1"/>
  <c r="C145" i="1" l="1"/>
  <c r="D145" i="1"/>
  <c r="O144" i="1"/>
  <c r="B145" i="1"/>
  <c r="L144" i="1"/>
  <c r="I145" i="1"/>
  <c r="P144" i="1" l="1"/>
  <c r="U145" i="1"/>
  <c r="Y145" i="1"/>
  <c r="J145" i="1"/>
  <c r="V145" i="1"/>
  <c r="Z145" i="1"/>
  <c r="S145" i="1"/>
  <c r="W145" i="1"/>
  <c r="AA145" i="1"/>
  <c r="T145" i="1"/>
  <c r="X145" i="1"/>
  <c r="CY145" i="1"/>
  <c r="DK145" i="1" s="1"/>
  <c r="CP145" i="1"/>
  <c r="CQ145" i="1"/>
  <c r="DC145" i="1" s="1"/>
  <c r="CR145" i="1"/>
  <c r="DD145" i="1" s="1"/>
  <c r="CS145" i="1"/>
  <c r="DE145" i="1" s="1"/>
  <c r="CT145" i="1"/>
  <c r="DF145" i="1" s="1"/>
  <c r="CU145" i="1"/>
  <c r="DG145" i="1" s="1"/>
  <c r="CV145" i="1"/>
  <c r="DH145" i="1" s="1"/>
  <c r="CW145" i="1"/>
  <c r="DI145" i="1" s="1"/>
  <c r="CX145" i="1"/>
  <c r="DJ145" i="1" s="1"/>
  <c r="C3" i="1"/>
  <c r="D3" i="1" s="1"/>
  <c r="CO3" i="1" s="1"/>
  <c r="EH145" i="1" l="1"/>
  <c r="EG145" i="1"/>
  <c r="EI145" i="1"/>
  <c r="ED145" i="1"/>
  <c r="R145" i="1"/>
  <c r="AB145" i="1"/>
  <c r="AC145" i="1" s="1"/>
  <c r="AV145" i="1" s="1"/>
  <c r="DQ145" i="1" s="1"/>
  <c r="CP3" i="1"/>
  <c r="D10" i="7" s="1"/>
  <c r="CQ3" i="1"/>
  <c r="E10" i="7" s="1"/>
  <c r="E11" i="7" s="1"/>
  <c r="CR3" i="1"/>
  <c r="F10" i="7" s="1"/>
  <c r="F11" i="7" s="1"/>
  <c r="CS3" i="1"/>
  <c r="G10" i="7" s="1"/>
  <c r="G11" i="7" s="1"/>
  <c r="CT3" i="1"/>
  <c r="H10" i="7" s="1"/>
  <c r="H11" i="7" s="1"/>
  <c r="CU3" i="1"/>
  <c r="I10" i="7" s="1"/>
  <c r="I11" i="7" s="1"/>
  <c r="CV3" i="1"/>
  <c r="J10" i="7" s="1"/>
  <c r="J11" i="7" s="1"/>
  <c r="CW3" i="1"/>
  <c r="K10" i="7" s="1"/>
  <c r="K11" i="7" s="1"/>
  <c r="CX3" i="1"/>
  <c r="L10" i="7" s="1"/>
  <c r="L11" i="7" s="1"/>
  <c r="CY3" i="1"/>
  <c r="M10" i="7" s="1"/>
  <c r="M11" i="7" s="1"/>
  <c r="EE145" i="1"/>
  <c r="EJ145" i="1"/>
  <c r="DB145" i="1"/>
  <c r="CO145" i="1"/>
  <c r="EL145" i="1"/>
  <c r="EK145" i="1"/>
  <c r="EF145" i="1"/>
  <c r="AZ145" i="1" l="1"/>
  <c r="DU145" i="1" s="1"/>
  <c r="AT145" i="1"/>
  <c r="DO145" i="1" s="1"/>
  <c r="AU145" i="1"/>
  <c r="DP145" i="1" s="1"/>
  <c r="BA145" i="1"/>
  <c r="DV145" i="1" s="1"/>
  <c r="AY145" i="1"/>
  <c r="DT145" i="1" s="1"/>
  <c r="D11" i="7"/>
  <c r="N10" i="7"/>
  <c r="EQ145" i="1"/>
  <c r="EO145" i="1"/>
  <c r="EP145" i="1"/>
  <c r="ER145" i="1"/>
  <c r="EN145" i="1"/>
  <c r="AX145" i="1"/>
  <c r="DS145" i="1" s="1"/>
  <c r="AW145" i="1"/>
  <c r="DR145" i="1" s="1"/>
  <c r="AS145" i="1"/>
  <c r="N11" i="7" l="1"/>
  <c r="D12" i="7" s="1"/>
  <c r="DN145" i="1"/>
  <c r="BB145" i="1"/>
  <c r="EU145" i="1"/>
  <c r="EW145" i="1"/>
  <c r="EX145" i="1"/>
  <c r="ET145" i="1"/>
  <c r="EV145" i="1"/>
  <c r="D13" i="7" l="1"/>
  <c r="O20" i="7"/>
  <c r="FA145" i="1"/>
  <c r="FE145" i="1"/>
  <c r="FI145" i="1"/>
  <c r="FB145" i="1"/>
  <c r="FF145" i="1"/>
  <c r="FC145" i="1"/>
  <c r="FG145" i="1"/>
  <c r="FJ145" i="1"/>
  <c r="FW145" i="1" s="1"/>
  <c r="BO145" i="1" s="1"/>
  <c r="N145" i="1" s="1"/>
  <c r="EZ145" i="1"/>
  <c r="FD145" i="1"/>
  <c r="FH145" i="1"/>
  <c r="L12" i="7"/>
  <c r="W20" i="7" s="1"/>
  <c r="H12" i="7"/>
  <c r="S20" i="7" s="1"/>
  <c r="K12" i="7"/>
  <c r="V20" i="7" s="1"/>
  <c r="E12" i="7"/>
  <c r="P20" i="7" s="1"/>
  <c r="J12" i="7"/>
  <c r="U20" i="7" s="1"/>
  <c r="M12" i="7"/>
  <c r="X20" i="7" s="1"/>
  <c r="I12" i="7"/>
  <c r="T20" i="7" s="1"/>
  <c r="G12" i="7"/>
  <c r="R20" i="7" s="1"/>
  <c r="F12" i="7"/>
  <c r="Q20" i="7" s="1"/>
  <c r="FL145" i="1" l="1"/>
  <c r="FQ145" i="1" s="1"/>
  <c r="BI145" i="1" s="1"/>
  <c r="BV145" i="1" s="1"/>
  <c r="E13" i="7"/>
  <c r="F13" i="7" s="1"/>
  <c r="G13" i="7" s="1"/>
  <c r="H13" i="7" s="1"/>
  <c r="I13" i="7" l="1"/>
  <c r="J13" i="7" s="1"/>
  <c r="K13" i="7" s="1"/>
  <c r="L13" i="7" s="1"/>
  <c r="M13" i="7" s="1"/>
  <c r="FO145" i="1"/>
  <c r="BG145" i="1" s="1"/>
  <c r="BT145" i="1" s="1"/>
  <c r="FV145" i="1"/>
  <c r="BN145" i="1" s="1"/>
  <c r="CA145" i="1" s="1"/>
  <c r="FR145" i="1"/>
  <c r="BJ145" i="1" s="1"/>
  <c r="BW145" i="1" s="1"/>
  <c r="FS145" i="1"/>
  <c r="BK145" i="1" s="1"/>
  <c r="BX145" i="1" s="1"/>
  <c r="FP145" i="1"/>
  <c r="BH145" i="1" s="1"/>
  <c r="BU145" i="1" s="1"/>
  <c r="FN145" i="1"/>
  <c r="BF145" i="1" s="1"/>
  <c r="BS145" i="1" s="1"/>
  <c r="FT145" i="1"/>
  <c r="BL145" i="1" s="1"/>
  <c r="BY145" i="1" s="1"/>
  <c r="FU145" i="1"/>
  <c r="BM145" i="1" s="1"/>
  <c r="BZ145" i="1" s="1"/>
  <c r="FM145" i="1"/>
  <c r="BE145" i="1" s="1"/>
  <c r="BR145" i="1" s="1"/>
  <c r="D14" i="7" l="1"/>
  <c r="BQ145" i="1"/>
  <c r="CH145" i="1" s="1"/>
  <c r="CD145" i="1" l="1"/>
  <c r="CK145" i="1"/>
  <c r="CM145" i="1"/>
  <c r="DW145" i="1" s="1"/>
  <c r="DY145" i="1" s="1"/>
  <c r="E145" i="1" s="1"/>
  <c r="AN145" i="1" s="1"/>
  <c r="CJ145" i="1"/>
  <c r="CG145" i="1"/>
  <c r="CL145" i="1"/>
  <c r="CE145" i="1"/>
  <c r="CI145" i="1"/>
  <c r="CF145" i="1"/>
  <c r="AK145" i="1" l="1"/>
  <c r="AF145" i="1"/>
  <c r="M145" i="1"/>
  <c r="AG145" i="1"/>
  <c r="AM145" i="1"/>
  <c r="AL145" i="1"/>
  <c r="AJ145" i="1"/>
  <c r="AI145" i="1"/>
  <c r="AH145" i="1"/>
  <c r="AE145" i="1" l="1"/>
  <c r="G145" i="1" s="1"/>
  <c r="AO145" i="1"/>
  <c r="AP145" i="1" s="1"/>
  <c r="H145" i="1" s="1"/>
  <c r="K145" i="1" s="1"/>
  <c r="F145" i="1" l="1"/>
  <c r="O145" i="1" s="1"/>
  <c r="L145" i="1"/>
  <c r="P145" i="1" l="1"/>
</calcChain>
</file>

<file path=xl/sharedStrings.xml><?xml version="1.0" encoding="utf-8"?>
<sst xmlns="http://schemas.openxmlformats.org/spreadsheetml/2006/main" count="211" uniqueCount="123">
  <si>
    <t>done</t>
    <phoneticPr fontId="2"/>
  </si>
  <si>
    <r>
      <t>S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phoneticPr fontId="2"/>
  </si>
  <si>
    <r>
      <t>A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phoneticPr fontId="2"/>
  </si>
  <si>
    <r>
      <t>R</t>
    </r>
    <r>
      <rPr>
        <vertAlign val="subscript"/>
        <sz val="11"/>
        <color theme="1"/>
        <rFont val="Yu Gothic"/>
        <family val="3"/>
        <charset val="128"/>
        <scheme val="minor"/>
      </rPr>
      <t>t+1</t>
    </r>
    <phoneticPr fontId="2"/>
  </si>
  <si>
    <r>
      <t>S</t>
    </r>
    <r>
      <rPr>
        <vertAlign val="subscript"/>
        <sz val="11"/>
        <color theme="1"/>
        <rFont val="Yu Gothic"/>
        <family val="3"/>
        <charset val="128"/>
        <scheme val="minor"/>
      </rPr>
      <t>t+1</t>
    </r>
    <phoneticPr fontId="2"/>
  </si>
  <si>
    <t>r</t>
    <phoneticPr fontId="2"/>
  </si>
  <si>
    <t>c</t>
    <phoneticPr fontId="2"/>
  </si>
  <si>
    <r>
      <t>S</t>
    </r>
    <r>
      <rPr>
        <b/>
        <vertAlign val="subscript"/>
        <sz val="11"/>
        <color theme="1"/>
        <rFont val="Yu Gothic"/>
        <family val="3"/>
        <charset val="128"/>
        <scheme val="minor"/>
      </rPr>
      <t>t</t>
    </r>
    <r>
      <rPr>
        <b/>
        <sz val="11"/>
        <color theme="1"/>
        <rFont val="Yu Gothic"/>
        <family val="3"/>
        <charset val="128"/>
        <scheme val="minor"/>
      </rPr>
      <t>分解</t>
    </r>
    <rPh sb="2" eb="4">
      <t>ブンカイ</t>
    </rPh>
    <phoneticPr fontId="2"/>
  </si>
  <si>
    <t>Adjusted Policy</t>
    <phoneticPr fontId="2"/>
  </si>
  <si>
    <t>N</t>
    <phoneticPr fontId="2"/>
  </si>
  <si>
    <t>Q</t>
    <phoneticPr fontId="2"/>
  </si>
  <si>
    <t>PolicyNetwork</t>
    <phoneticPr fontId="2"/>
  </si>
  <si>
    <t>ValueNetwork</t>
    <phoneticPr fontId="2"/>
  </si>
  <si>
    <t>i</t>
    <phoneticPr fontId="2"/>
  </si>
  <si>
    <t>t</t>
    <phoneticPr fontId="2"/>
  </si>
  <si>
    <t>e</t>
    <phoneticPr fontId="2"/>
  </si>
  <si>
    <t>opened</t>
    <phoneticPr fontId="2"/>
  </si>
  <si>
    <t>〇</t>
    <phoneticPr fontId="2"/>
  </si>
  <si>
    <t>×</t>
    <phoneticPr fontId="2"/>
  </si>
  <si>
    <t>-</t>
    <phoneticPr fontId="2"/>
  </si>
  <si>
    <t>合法手</t>
    <rPh sb="0" eb="2">
      <t>ゴウホウ</t>
    </rPh>
    <rPh sb="2" eb="3">
      <t>テ</t>
    </rPh>
    <phoneticPr fontId="2"/>
  </si>
  <si>
    <r>
      <t>turn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phoneticPr fontId="2"/>
  </si>
  <si>
    <t>ExperienceID</t>
    <phoneticPr fontId="2"/>
  </si>
  <si>
    <r>
      <t>R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phoneticPr fontId="2"/>
  </si>
  <si>
    <t>reset</t>
    <phoneticPr fontId="2"/>
  </si>
  <si>
    <t>G</t>
    <phoneticPr fontId="2"/>
  </si>
  <si>
    <t>DNNV</t>
    <phoneticPr fontId="2"/>
  </si>
  <si>
    <r>
      <t>S</t>
    </r>
    <r>
      <rPr>
        <b/>
        <vertAlign val="subscript"/>
        <sz val="11"/>
        <color theme="1"/>
        <rFont val="Yu Gothic"/>
        <family val="3"/>
        <charset val="128"/>
        <scheme val="minor"/>
      </rPr>
      <t>t+1</t>
    </r>
    <phoneticPr fontId="2"/>
  </si>
  <si>
    <t>code</t>
    <phoneticPr fontId="2"/>
  </si>
  <si>
    <t>MCTS</t>
    <phoneticPr fontId="2"/>
  </si>
  <si>
    <t>基本部分</t>
    <rPh sb="0" eb="2">
      <t>キホン</t>
    </rPh>
    <rPh sb="2" eb="4">
      <t>ブブン</t>
    </rPh>
    <phoneticPr fontId="2"/>
  </si>
  <si>
    <t>環境</t>
    <rPh sb="0" eb="2">
      <t>カンキョウ</t>
    </rPh>
    <phoneticPr fontId="2"/>
  </si>
  <si>
    <t>DNN</t>
    <phoneticPr fontId="2"/>
  </si>
  <si>
    <t>Layer 1 Output</t>
    <phoneticPr fontId="2"/>
  </si>
  <si>
    <t>Prob Cancel</t>
    <phoneticPr fontId="2"/>
  </si>
  <si>
    <t>Value</t>
    <phoneticPr fontId="2"/>
  </si>
  <si>
    <t>Layer 2 Output</t>
    <phoneticPr fontId="2"/>
  </si>
  <si>
    <t>Layer 3 Output</t>
    <phoneticPr fontId="2"/>
  </si>
  <si>
    <t>Policy</t>
    <phoneticPr fontId="2"/>
  </si>
  <si>
    <t>Value</t>
    <phoneticPr fontId="2"/>
  </si>
  <si>
    <t>max</t>
    <phoneticPr fontId="2"/>
  </si>
  <si>
    <t>Activation</t>
  </si>
  <si>
    <t>Input (canonical St)</t>
    <phoneticPr fontId="2"/>
  </si>
  <si>
    <t>rank</t>
    <phoneticPr fontId="2"/>
  </si>
  <si>
    <t>random</t>
    <phoneticPr fontId="2"/>
  </si>
  <si>
    <t>rank</t>
    <phoneticPr fontId="2"/>
  </si>
  <si>
    <t>r</t>
    <phoneticPr fontId="2"/>
  </si>
  <si>
    <t>row</t>
    <phoneticPr fontId="2"/>
  </si>
  <si>
    <t>Layer 1 Output</t>
    <phoneticPr fontId="2"/>
  </si>
  <si>
    <t>Layer 2 Output</t>
    <phoneticPr fontId="2"/>
  </si>
  <si>
    <t>Layer 3 Output</t>
    <phoneticPr fontId="2"/>
  </si>
  <si>
    <t>Activation</t>
    <phoneticPr fontId="2"/>
  </si>
  <si>
    <t>Softmax as y</t>
    <phoneticPr fontId="2"/>
  </si>
  <si>
    <t>CrossEntropy</t>
    <phoneticPr fontId="2"/>
  </si>
  <si>
    <t>L2</t>
    <phoneticPr fontId="2"/>
  </si>
  <si>
    <t>Objective</t>
    <phoneticPr fontId="2"/>
  </si>
  <si>
    <t>Total</t>
    <phoneticPr fontId="2"/>
  </si>
  <si>
    <t>Current</t>
    <phoneticPr fontId="2"/>
  </si>
  <si>
    <t>turn</t>
    <phoneticPr fontId="2"/>
  </si>
  <si>
    <t>action</t>
    <phoneticPr fontId="2"/>
  </si>
  <si>
    <t>Next</t>
    <phoneticPr fontId="2"/>
  </si>
  <si>
    <t>Active</t>
    <phoneticPr fontId="2"/>
  </si>
  <si>
    <t>DNN</t>
    <phoneticPr fontId="2"/>
  </si>
  <si>
    <t>miniBatch</t>
    <phoneticPr fontId="2"/>
  </si>
  <si>
    <t>number</t>
    <phoneticPr fontId="2"/>
  </si>
  <si>
    <r>
      <t>π(a|S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r>
      <rPr>
        <sz val="11"/>
        <color theme="1"/>
        <rFont val="Yu Gothic"/>
        <family val="3"/>
        <charset val="128"/>
        <scheme val="minor"/>
      </rPr>
      <t>)</t>
    </r>
    <phoneticPr fontId="2"/>
  </si>
  <si>
    <t>Input</t>
    <phoneticPr fontId="2"/>
  </si>
  <si>
    <t>Target</t>
    <phoneticPr fontId="2"/>
  </si>
  <si>
    <t>turn</t>
    <phoneticPr fontId="2"/>
  </si>
  <si>
    <t>ExperienceReplayBuffer</t>
    <phoneticPr fontId="2"/>
  </si>
  <si>
    <t>-1win</t>
    <phoneticPr fontId="2"/>
  </si>
  <si>
    <t xml:space="preserve"> 1win</t>
    <phoneticPr fontId="2"/>
  </si>
  <si>
    <t>状態を1/0/-1で表現</t>
    <rPh sb="0" eb="2">
      <t>ジョウタイ</t>
    </rPh>
    <rPh sb="10" eb="12">
      <t>ヒョウゲン</t>
    </rPh>
    <phoneticPr fontId="2"/>
  </si>
  <si>
    <t>MCTS</t>
    <phoneticPr fontId="2"/>
  </si>
  <si>
    <t>探索度合．0なら無探索・大きければソフト寄りになる．</t>
    <rPh sb="0" eb="2">
      <t>タンサク</t>
    </rPh>
    <rPh sb="2" eb="4">
      <t>ドア</t>
    </rPh>
    <rPh sb="8" eb="9">
      <t>ム</t>
    </rPh>
    <rPh sb="9" eb="11">
      <t>タンサク</t>
    </rPh>
    <rPh sb="12" eb="13">
      <t>オオ</t>
    </rPh>
    <rPh sb="20" eb="21">
      <t>ヨ</t>
    </rPh>
    <phoneticPr fontId="2"/>
  </si>
  <si>
    <t>Random Policy</t>
    <phoneticPr fontId="2"/>
  </si>
  <si>
    <t>AlphaZero</t>
    <phoneticPr fontId="2"/>
  </si>
  <si>
    <t>I/O</t>
    <phoneticPr fontId="2"/>
  </si>
  <si>
    <t>合法手</t>
    <rPh sb="0" eb="2">
      <t>ゴウホウ</t>
    </rPh>
    <rPh sb="2" eb="3">
      <t>シュ</t>
    </rPh>
    <phoneticPr fontId="2"/>
  </si>
  <si>
    <t>選択肢</t>
    <rPh sb="0" eb="3">
      <t>センタクシ</t>
    </rPh>
    <phoneticPr fontId="2"/>
  </si>
  <si>
    <t>確率</t>
    <rPh sb="0" eb="2">
      <t>カクリツ</t>
    </rPh>
    <phoneticPr fontId="2"/>
  </si>
  <si>
    <t>拡張部分</t>
    <rPh sb="0" eb="2">
      <t>カクチョウ</t>
    </rPh>
    <rPh sb="2" eb="4">
      <t>ブブン</t>
    </rPh>
    <phoneticPr fontId="2"/>
  </si>
  <si>
    <t>Setting</t>
    <phoneticPr fontId="2"/>
  </si>
  <si>
    <t>a</t>
    <phoneticPr fontId="2"/>
  </si>
  <si>
    <t>Action</t>
    <phoneticPr fontId="2"/>
  </si>
  <si>
    <t>ToExperienceReplayBuffer</t>
    <phoneticPr fontId="2"/>
  </si>
  <si>
    <t>random</t>
    <phoneticPr fontId="2"/>
  </si>
  <si>
    <t>V</t>
    <phoneticPr fontId="2"/>
  </si>
  <si>
    <t>MCTS Policy</t>
    <phoneticPr fontId="2"/>
  </si>
  <si>
    <t>result</t>
    <phoneticPr fontId="2"/>
  </si>
  <si>
    <t>合法手生成</t>
    <rPh sb="0" eb="2">
      <t>ゴウホウ</t>
    </rPh>
    <rPh sb="2" eb="3">
      <t>シュ</t>
    </rPh>
    <rPh sb="3" eb="5">
      <t>セイセイ</t>
    </rPh>
    <phoneticPr fontId="2"/>
  </si>
  <si>
    <t>勝敗判定</t>
    <rPh sb="0" eb="2">
      <t>ショウハイ</t>
    </rPh>
    <rPh sb="2" eb="4">
      <t>ハンテイ</t>
    </rPh>
    <phoneticPr fontId="2"/>
  </si>
  <si>
    <t>※合法手に制限する際に正規化が行われるので，ここでは正規化しない．</t>
    <phoneticPr fontId="2"/>
  </si>
  <si>
    <t>X as input</t>
    <phoneticPr fontId="2"/>
  </si>
  <si>
    <t>C</t>
    <phoneticPr fontId="2"/>
  </si>
  <si>
    <r>
      <t>V(S</t>
    </r>
    <r>
      <rPr>
        <vertAlign val="subscript"/>
        <sz val="11"/>
        <color rgb="FFFF0000"/>
        <rFont val="Yu Gothic"/>
        <family val="3"/>
        <charset val="128"/>
        <scheme val="minor"/>
      </rPr>
      <t>t</t>
    </r>
    <r>
      <rPr>
        <sz val="11"/>
        <color rgb="FFFF0000"/>
        <rFont val="Yu Gothic"/>
        <family val="3"/>
        <charset val="128"/>
        <scheme val="minor"/>
      </rPr>
      <t>)</t>
    </r>
    <phoneticPr fontId="2"/>
  </si>
  <si>
    <t>sum</t>
    <phoneticPr fontId="2"/>
  </si>
  <si>
    <r>
      <t>N</t>
    </r>
    <r>
      <rPr>
        <vertAlign val="superscript"/>
        <sz val="11"/>
        <color theme="1"/>
        <rFont val="Yu Gothic"/>
        <family val="3"/>
        <charset val="128"/>
        <scheme val="minor"/>
      </rPr>
      <t>1/τ</t>
    </r>
    <phoneticPr fontId="2"/>
  </si>
  <si>
    <t>合法手</t>
    <rPh sb="0" eb="2">
      <t>ゴウホウ</t>
    </rPh>
    <rPh sb="2" eb="3">
      <t>シュ</t>
    </rPh>
    <phoneticPr fontId="2"/>
  </si>
  <si>
    <t>π</t>
    <phoneticPr fontId="2"/>
  </si>
  <si>
    <t>argmax</t>
    <phoneticPr fontId="2"/>
  </si>
  <si>
    <t>τ</t>
    <phoneticPr fontId="2"/>
  </si>
  <si>
    <r>
      <t>A</t>
    </r>
    <r>
      <rPr>
        <b/>
        <vertAlign val="subscript"/>
        <sz val="11"/>
        <color theme="1"/>
        <rFont val="Yu Gothic"/>
        <family val="3"/>
        <charset val="128"/>
        <scheme val="minor"/>
      </rPr>
      <t>t</t>
    </r>
    <phoneticPr fontId="2"/>
  </si>
  <si>
    <t>Add Noise + Floor</t>
    <phoneticPr fontId="2"/>
  </si>
  <si>
    <t>V</t>
    <phoneticPr fontId="2"/>
  </si>
  <si>
    <t>abs</t>
    <phoneticPr fontId="2"/>
  </si>
  <si>
    <t>can</t>
    <phoneticPr fontId="2"/>
  </si>
  <si>
    <r>
      <t>S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r>
      <rPr>
        <sz val="11"/>
        <color theme="1"/>
        <rFont val="Yu Gothic"/>
        <family val="3"/>
        <charset val="128"/>
        <scheme val="minor"/>
      </rPr>
      <t xml:space="preserve"> (canonical)</t>
    </r>
    <phoneticPr fontId="2"/>
  </si>
  <si>
    <r>
      <t>S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r>
      <rPr>
        <sz val="11"/>
        <color theme="1"/>
        <rFont val="Yu Gothic"/>
        <family val="2"/>
        <scheme val="minor"/>
      </rPr>
      <t xml:space="preserve"> (canonical)</t>
    </r>
    <phoneticPr fontId="2"/>
  </si>
  <si>
    <t>end V</t>
    <phoneticPr fontId="2"/>
  </si>
  <si>
    <t>価値管理部分</t>
    <rPh sb="0" eb="2">
      <t>カチ</t>
    </rPh>
    <rPh sb="2" eb="4">
      <t>カンリ</t>
    </rPh>
    <rPh sb="4" eb="6">
      <t>ブブン</t>
    </rPh>
    <phoneticPr fontId="2"/>
  </si>
  <si>
    <t>U</t>
    <phoneticPr fontId="2"/>
  </si>
  <si>
    <t>方策生成部（全て正準表示）</t>
    <rPh sb="0" eb="2">
      <t>ホウサク</t>
    </rPh>
    <rPh sb="2" eb="4">
      <t>セイセイ</t>
    </rPh>
    <rPh sb="4" eb="5">
      <t>ブ</t>
    </rPh>
    <rPh sb="6" eb="7">
      <t>スベ</t>
    </rPh>
    <rPh sb="8" eb="10">
      <t>セイジュン</t>
    </rPh>
    <rPh sb="10" eb="12">
      <t>ヒョウジ</t>
    </rPh>
    <phoneticPr fontId="2"/>
  </si>
  <si>
    <t>累積</t>
    <rPh sb="0" eb="2">
      <t>ルイセキ</t>
    </rPh>
    <phoneticPr fontId="2"/>
  </si>
  <si>
    <t>max e</t>
    <phoneticPr fontId="2"/>
  </si>
  <si>
    <t>max e start</t>
    <phoneticPr fontId="2"/>
  </si>
  <si>
    <t>T-t-1</t>
    <phoneticPr fontId="2"/>
  </si>
  <si>
    <t>rand_A</t>
    <phoneticPr fontId="2"/>
  </si>
  <si>
    <r>
      <t>canonical S</t>
    </r>
    <r>
      <rPr>
        <vertAlign val="subscript"/>
        <sz val="11"/>
        <color theme="1"/>
        <rFont val="Yu Gothic"/>
        <family val="3"/>
        <charset val="128"/>
        <scheme val="minor"/>
      </rPr>
      <t>t</t>
    </r>
    <phoneticPr fontId="2"/>
  </si>
  <si>
    <t>V</t>
    <phoneticPr fontId="2"/>
  </si>
  <si>
    <t>文字列</t>
    <rPh sb="0" eb="3">
      <t>モジレツ</t>
    </rPh>
    <phoneticPr fontId="2"/>
  </si>
  <si>
    <t>abs V</t>
    <phoneticPr fontId="2"/>
  </si>
  <si>
    <t>can V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</si>
</sst>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,##0.000;[Red]\-#,##0.000"/>
    <numFmt numFmtId="177" formatCode="#,##0.0;[Red]\-#,##0.0"/>
    <numFmt numFmtId="178" formatCode="#,##0.0000;[Red]\-#,##0.0000"/>
  </numFmts>
  <fonts count="23">
    <font>
      <sz val="11"/>
      <color theme="1"/>
      <name val="Yu Gothic"/>
      <family val="2"/>
      <scheme val="minor"/>
    </font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vertAlign val="subscript"/>
      <sz val="11"/>
      <color theme="1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vertAlign val="subscript"/>
      <sz val="11"/>
      <color theme="1"/>
      <name val="Yu Gothic"/>
      <family val="3"/>
      <charset val="128"/>
      <scheme val="minor"/>
    </font>
    <font>
      <sz val="11"/>
      <color rgb="FFFF0000"/>
      <name val="Yu Gothic"/>
      <family val="2"/>
      <scheme val="minor"/>
    </font>
    <font>
      <sz val="11"/>
      <color rgb="FFFF0000"/>
      <name val="Yu Gothic"/>
      <family val="3"/>
      <charset val="128"/>
      <scheme val="minor"/>
    </font>
    <font>
      <sz val="11"/>
      <name val="Yu Gothic"/>
      <family val="2"/>
      <scheme val="minor"/>
    </font>
    <font>
      <sz val="11"/>
      <name val="Yu Gothic"/>
      <family val="3"/>
      <charset val="128"/>
      <scheme val="minor"/>
    </font>
    <font>
      <b/>
      <sz val="18"/>
      <color theme="5" tint="0.79998168889431442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b/>
      <sz val="18"/>
      <color theme="8" tint="0.79998168889431442"/>
      <name val="Yu Gothic"/>
      <family val="3"/>
      <charset val="128"/>
      <scheme val="minor"/>
    </font>
    <font>
      <b/>
      <sz val="16"/>
      <color rgb="FFFFC000"/>
      <name val="Yu Gothic"/>
      <family val="3"/>
      <charset val="128"/>
      <scheme val="minor"/>
    </font>
    <font>
      <sz val="11"/>
      <color rgb="FFFFC000"/>
      <name val="Yu Gothic"/>
      <family val="3"/>
      <charset val="128"/>
      <scheme val="minor"/>
    </font>
    <font>
      <b/>
      <sz val="16"/>
      <color theme="0"/>
      <name val="Yu Gothic"/>
      <family val="3"/>
      <charset val="128"/>
      <scheme val="minor"/>
    </font>
    <font>
      <b/>
      <sz val="16"/>
      <color theme="4" tint="0.79998168889431442"/>
      <name val="Yu Gothic"/>
      <family val="3"/>
      <charset val="128"/>
      <scheme val="minor"/>
    </font>
    <font>
      <vertAlign val="subscript"/>
      <sz val="11"/>
      <color rgb="FFFF0000"/>
      <name val="Yu Gothic"/>
      <family val="3"/>
      <charset val="128"/>
      <scheme val="minor"/>
    </font>
    <font>
      <vertAlign val="superscript"/>
      <sz val="11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b/>
      <sz val="11"/>
      <color rgb="FFFF0000"/>
      <name val="Yu Gothic"/>
      <family val="3"/>
      <charset val="128"/>
      <scheme val="minor"/>
    </font>
    <font>
      <b/>
      <sz val="11"/>
      <name val="Yu Gothic"/>
      <family val="3"/>
      <charset val="128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rgb="FF00B050"/>
      </left>
      <right style="medium">
        <color indexed="64"/>
      </right>
      <top style="thick">
        <color rgb="FF00B050"/>
      </top>
      <bottom/>
      <diagonal/>
    </border>
    <border>
      <left/>
      <right/>
      <top style="thick">
        <color rgb="FF00B050"/>
      </top>
      <bottom/>
      <diagonal/>
    </border>
    <border>
      <left/>
      <right style="thick">
        <color rgb="FF00B050"/>
      </right>
      <top style="thick">
        <color rgb="FF00B050"/>
      </top>
      <bottom/>
      <diagonal/>
    </border>
    <border>
      <left style="thick">
        <color rgb="FF00B050"/>
      </left>
      <right style="medium">
        <color indexed="64"/>
      </right>
      <top/>
      <bottom/>
      <diagonal/>
    </border>
    <border>
      <left/>
      <right style="thick">
        <color rgb="FF00B050"/>
      </right>
      <top/>
      <bottom/>
      <diagonal/>
    </border>
    <border>
      <left style="thick">
        <color rgb="FF00B050"/>
      </left>
      <right style="medium">
        <color indexed="64"/>
      </right>
      <top/>
      <bottom style="thick">
        <color rgb="FF00B050"/>
      </bottom>
      <diagonal/>
    </border>
    <border>
      <left/>
      <right/>
      <top/>
      <bottom style="thick">
        <color rgb="FF00B050"/>
      </bottom>
      <diagonal/>
    </border>
    <border>
      <left/>
      <right style="thick">
        <color rgb="FF00B050"/>
      </right>
      <top/>
      <bottom style="thick">
        <color rgb="FF00B050"/>
      </bottom>
      <diagonal/>
    </border>
    <border>
      <left style="medium">
        <color rgb="FF00B050"/>
      </left>
      <right/>
      <top style="medium">
        <color rgb="FF00B050"/>
      </top>
      <bottom/>
      <diagonal/>
    </border>
    <border>
      <left style="medium">
        <color indexed="64"/>
      </left>
      <right/>
      <top style="medium">
        <color rgb="FF00B050"/>
      </top>
      <bottom/>
      <diagonal/>
    </border>
    <border>
      <left/>
      <right/>
      <top style="medium">
        <color rgb="FF00B050"/>
      </top>
      <bottom/>
      <diagonal/>
    </border>
    <border>
      <left/>
      <right style="medium">
        <color rgb="FF00B050"/>
      </right>
      <top style="medium">
        <color rgb="FF00B050"/>
      </top>
      <bottom/>
      <diagonal/>
    </border>
    <border>
      <left style="medium">
        <color rgb="FF00B050"/>
      </left>
      <right/>
      <top/>
      <bottom/>
      <diagonal/>
    </border>
    <border>
      <left/>
      <right style="medium">
        <color rgb="FF00B050"/>
      </right>
      <top/>
      <bottom/>
      <diagonal/>
    </border>
    <border>
      <left style="medium">
        <color rgb="FF00B050"/>
      </left>
      <right/>
      <top/>
      <bottom style="medium">
        <color rgb="FF00B050"/>
      </bottom>
      <diagonal/>
    </border>
    <border>
      <left style="medium">
        <color indexed="64"/>
      </left>
      <right/>
      <top/>
      <bottom style="medium">
        <color rgb="FF00B050"/>
      </bottom>
      <diagonal/>
    </border>
    <border>
      <left/>
      <right/>
      <top/>
      <bottom style="medium">
        <color rgb="FF00B050"/>
      </bottom>
      <diagonal/>
    </border>
    <border>
      <left/>
      <right style="medium">
        <color rgb="FF00B050"/>
      </right>
      <top/>
      <bottom style="medium">
        <color rgb="FF00B050"/>
      </bottom>
      <diagonal/>
    </border>
    <border>
      <left style="thick">
        <color rgb="FF00B050"/>
      </left>
      <right style="medium">
        <color indexed="64"/>
      </right>
      <top/>
      <bottom style="medium">
        <color indexed="64"/>
      </bottom>
      <diagonal/>
    </border>
    <border>
      <left/>
      <right style="thick">
        <color rgb="FF00B050"/>
      </right>
      <top/>
      <bottom style="medium">
        <color indexed="64"/>
      </bottom>
      <diagonal/>
    </border>
    <border>
      <left style="thick">
        <color rgb="FF00B05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rgb="FF00B050"/>
      </right>
      <top style="medium">
        <color indexed="64"/>
      </top>
      <bottom style="medium">
        <color indexed="64"/>
      </bottom>
      <diagonal/>
    </border>
    <border>
      <left style="thick">
        <color rgb="FF00B050"/>
      </left>
      <right style="medium">
        <color indexed="64"/>
      </right>
      <top style="medium">
        <color indexed="64"/>
      </top>
      <bottom style="thick">
        <color rgb="FF00B050"/>
      </bottom>
      <diagonal/>
    </border>
    <border>
      <left/>
      <right/>
      <top style="medium">
        <color indexed="64"/>
      </top>
      <bottom style="thick">
        <color rgb="FF00B050"/>
      </bottom>
      <diagonal/>
    </border>
    <border>
      <left/>
      <right style="thick">
        <color rgb="FF00B050"/>
      </right>
      <top style="medium">
        <color indexed="64"/>
      </top>
      <bottom style="thick">
        <color rgb="FF00B050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rgb="FF00B050"/>
      </left>
      <right style="medium">
        <color indexed="64"/>
      </right>
      <top style="thick">
        <color rgb="FF00B050"/>
      </top>
      <bottom style="thick">
        <color rgb="FF00B050"/>
      </bottom>
      <diagonal/>
    </border>
    <border>
      <left style="medium">
        <color indexed="64"/>
      </left>
      <right/>
      <top style="thick">
        <color rgb="FF00B050"/>
      </top>
      <bottom style="thick">
        <color rgb="FF00B050"/>
      </bottom>
      <diagonal/>
    </border>
    <border>
      <left style="medium">
        <color indexed="64"/>
      </left>
      <right style="medium">
        <color indexed="64"/>
      </right>
      <top style="thick">
        <color rgb="FF00B050"/>
      </top>
      <bottom style="thick">
        <color rgb="FF00B050"/>
      </bottom>
      <diagonal/>
    </border>
    <border>
      <left/>
      <right/>
      <top style="thick">
        <color rgb="FF00B050"/>
      </top>
      <bottom style="thick">
        <color rgb="FF00B050"/>
      </bottom>
      <diagonal/>
    </border>
    <border>
      <left/>
      <right style="medium">
        <color indexed="64"/>
      </right>
      <top style="thick">
        <color rgb="FF00B050"/>
      </top>
      <bottom style="thick">
        <color rgb="FF00B050"/>
      </bottom>
      <diagonal/>
    </border>
    <border>
      <left style="medium">
        <color indexed="64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427">
    <xf numFmtId="0" fontId="0" fillId="0" borderId="0" xfId="0"/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40" fontId="0" fillId="0" borderId="0" xfId="1" applyNumberFormat="1" applyFont="1" applyAlignment="1">
      <alignment horizontal="center" vertical="center"/>
    </xf>
    <xf numFmtId="0" fontId="0" fillId="0" borderId="9" xfId="0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5" xfId="0" applyBorder="1" applyAlignment="1">
      <alignment vertical="center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5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" fillId="0" borderId="0" xfId="0" applyFont="1" applyAlignment="1">
      <alignment vertical="center"/>
    </xf>
    <xf numFmtId="176" fontId="9" fillId="0" borderId="15" xfId="0" applyNumberFormat="1" applyFont="1" applyBorder="1" applyAlignment="1">
      <alignment vertical="center"/>
    </xf>
    <xf numFmtId="176" fontId="9" fillId="0" borderId="5" xfId="1" applyNumberFormat="1" applyFont="1" applyBorder="1">
      <alignment vertical="center"/>
    </xf>
    <xf numFmtId="176" fontId="9" fillId="0" borderId="20" xfId="1" applyNumberFormat="1" applyFont="1" applyBorder="1">
      <alignment vertical="center"/>
    </xf>
    <xf numFmtId="176" fontId="9" fillId="0" borderId="17" xfId="0" applyNumberFormat="1" applyFont="1" applyBorder="1" applyAlignment="1">
      <alignment vertical="center"/>
    </xf>
    <xf numFmtId="176" fontId="9" fillId="0" borderId="21" xfId="1" applyNumberFormat="1" applyFont="1" applyBorder="1">
      <alignment vertical="center"/>
    </xf>
    <xf numFmtId="176" fontId="9" fillId="0" borderId="22" xfId="1" applyNumberFormat="1" applyFont="1" applyBorder="1">
      <alignment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2" xfId="0" applyBorder="1" applyAlignment="1">
      <alignment vertical="center"/>
    </xf>
    <xf numFmtId="0" fontId="0" fillId="0" borderId="16" xfId="0" applyBorder="1" applyAlignment="1">
      <alignment horizontal="center" vertical="center"/>
    </xf>
    <xf numFmtId="0" fontId="0" fillId="0" borderId="33" xfId="0" applyBorder="1" applyAlignment="1">
      <alignment vertical="center"/>
    </xf>
    <xf numFmtId="0" fontId="0" fillId="0" borderId="34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40" fontId="0" fillId="0" borderId="16" xfId="1" applyNumberFormat="1" applyFont="1" applyBorder="1" applyAlignment="1">
      <alignment horizontal="center" vertical="center"/>
    </xf>
    <xf numFmtId="40" fontId="0" fillId="0" borderId="18" xfId="1" applyNumberFormat="1" applyFont="1" applyBorder="1" applyAlignment="1">
      <alignment horizontal="center" vertical="center"/>
    </xf>
    <xf numFmtId="0" fontId="10" fillId="4" borderId="0" xfId="0" applyFont="1" applyFill="1" applyAlignment="1">
      <alignment vertical="center"/>
    </xf>
    <xf numFmtId="0" fontId="10" fillId="4" borderId="4" xfId="0" applyFont="1" applyFill="1" applyBorder="1" applyAlignment="1">
      <alignment vertical="center"/>
    </xf>
    <xf numFmtId="0" fontId="10" fillId="4" borderId="5" xfId="0" applyFont="1" applyFill="1" applyBorder="1" applyAlignment="1">
      <alignment vertical="center"/>
    </xf>
    <xf numFmtId="0" fontId="11" fillId="0" borderId="0" xfId="0" applyFont="1" applyAlignment="1">
      <alignment vertical="center"/>
    </xf>
    <xf numFmtId="0" fontId="0" fillId="0" borderId="38" xfId="0" applyBorder="1" applyAlignment="1">
      <alignment vertical="center"/>
    </xf>
    <xf numFmtId="0" fontId="10" fillId="5" borderId="38" xfId="0" applyFont="1" applyFill="1" applyBorder="1" applyAlignment="1">
      <alignment vertical="center"/>
    </xf>
    <xf numFmtId="0" fontId="10" fillId="5" borderId="0" xfId="0" applyFont="1" applyFill="1" applyAlignment="1">
      <alignment vertical="center"/>
    </xf>
    <xf numFmtId="0" fontId="0" fillId="0" borderId="41" xfId="0" applyBorder="1"/>
    <xf numFmtId="0" fontId="0" fillId="0" borderId="35" xfId="0" applyBorder="1"/>
    <xf numFmtId="176" fontId="0" fillId="0" borderId="15" xfId="1" applyNumberFormat="1" applyFont="1" applyBorder="1" applyAlignment="1"/>
    <xf numFmtId="176" fontId="0" fillId="0" borderId="0" xfId="1" applyNumberFormat="1" applyFont="1" applyAlignment="1"/>
    <xf numFmtId="176" fontId="0" fillId="0" borderId="16" xfId="1" applyNumberFormat="1" applyFont="1" applyBorder="1" applyAlignment="1"/>
    <xf numFmtId="176" fontId="0" fillId="0" borderId="17" xfId="1" applyNumberFormat="1" applyFont="1" applyBorder="1" applyAlignment="1"/>
    <xf numFmtId="176" fontId="0" fillId="0" borderId="18" xfId="1" applyNumberFormat="1" applyFont="1" applyBorder="1" applyAlignment="1"/>
    <xf numFmtId="176" fontId="0" fillId="0" borderId="19" xfId="1" applyNumberFormat="1" applyFont="1" applyBorder="1" applyAlignment="1"/>
    <xf numFmtId="0" fontId="0" fillId="0" borderId="41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/>
    <xf numFmtId="0" fontId="0" fillId="0" borderId="48" xfId="0" applyBorder="1"/>
    <xf numFmtId="0" fontId="0" fillId="0" borderId="46" xfId="0" applyBorder="1" applyAlignment="1">
      <alignment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1" xfId="0" applyBorder="1" applyAlignment="1">
      <alignment vertical="center"/>
    </xf>
    <xf numFmtId="176" fontId="0" fillId="0" borderId="41" xfId="1" applyNumberFormat="1" applyFont="1" applyBorder="1">
      <alignment vertical="center"/>
    </xf>
    <xf numFmtId="176" fontId="0" fillId="0" borderId="24" xfId="1" applyNumberFormat="1" applyFont="1" applyBorder="1">
      <alignment vertical="center"/>
    </xf>
    <xf numFmtId="176" fontId="0" fillId="0" borderId="27" xfId="1" applyNumberFormat="1" applyFont="1" applyBorder="1">
      <alignment vertical="center"/>
    </xf>
    <xf numFmtId="176" fontId="0" fillId="0" borderId="35" xfId="1" applyNumberFormat="1" applyFont="1" applyBorder="1">
      <alignment vertical="center"/>
    </xf>
    <xf numFmtId="176" fontId="0" fillId="0" borderId="42" xfId="1" applyNumberFormat="1" applyFont="1" applyBorder="1">
      <alignment vertical="center"/>
    </xf>
    <xf numFmtId="176" fontId="0" fillId="0" borderId="0" xfId="1" applyNumberFormat="1" applyFont="1">
      <alignment vertical="center"/>
    </xf>
    <xf numFmtId="176" fontId="0" fillId="0" borderId="16" xfId="1" applyNumberFormat="1" applyFont="1" applyBorder="1">
      <alignment vertical="center"/>
    </xf>
    <xf numFmtId="176" fontId="0" fillId="0" borderId="15" xfId="1" applyNumberFormat="1" applyFont="1" applyBorder="1">
      <alignment vertical="center"/>
    </xf>
    <xf numFmtId="0" fontId="0" fillId="0" borderId="43" xfId="0" applyBorder="1" applyAlignment="1">
      <alignment vertical="center"/>
    </xf>
    <xf numFmtId="176" fontId="0" fillId="0" borderId="43" xfId="1" applyNumberFormat="1" applyFont="1" applyBorder="1">
      <alignment vertical="center"/>
    </xf>
    <xf numFmtId="176" fontId="0" fillId="0" borderId="18" xfId="1" applyNumberFormat="1" applyFont="1" applyBorder="1">
      <alignment vertical="center"/>
    </xf>
    <xf numFmtId="176" fontId="0" fillId="0" borderId="19" xfId="1" applyNumberFormat="1" applyFont="1" applyBorder="1">
      <alignment vertical="center"/>
    </xf>
    <xf numFmtId="176" fontId="0" fillId="0" borderId="17" xfId="1" applyNumberFormat="1" applyFont="1" applyBorder="1">
      <alignment vertical="center"/>
    </xf>
    <xf numFmtId="0" fontId="0" fillId="0" borderId="35" xfId="0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40" xfId="0" applyBorder="1" applyAlignment="1">
      <alignment vertical="center"/>
    </xf>
    <xf numFmtId="177" fontId="0" fillId="0" borderId="0" xfId="1" applyNumberFormat="1" applyFont="1">
      <alignment vertical="center"/>
    </xf>
    <xf numFmtId="177" fontId="0" fillId="0" borderId="16" xfId="1" applyNumberFormat="1" applyFont="1" applyBorder="1">
      <alignment vertical="center"/>
    </xf>
    <xf numFmtId="177" fontId="0" fillId="0" borderId="18" xfId="1" applyNumberFormat="1" applyFont="1" applyBorder="1">
      <alignment vertical="center"/>
    </xf>
    <xf numFmtId="177" fontId="0" fillId="0" borderId="19" xfId="1" applyNumberFormat="1" applyFont="1" applyBorder="1">
      <alignment vertical="center"/>
    </xf>
    <xf numFmtId="40" fontId="0" fillId="0" borderId="24" xfId="1" applyNumberFormat="1" applyFont="1" applyBorder="1">
      <alignment vertical="center"/>
    </xf>
    <xf numFmtId="40" fontId="0" fillId="0" borderId="27" xfId="1" applyNumberFormat="1" applyFont="1" applyBorder="1">
      <alignment vertical="center"/>
    </xf>
    <xf numFmtId="40" fontId="0" fillId="0" borderId="0" xfId="1" applyNumberFormat="1" applyFont="1">
      <alignment vertical="center"/>
    </xf>
    <xf numFmtId="40" fontId="0" fillId="0" borderId="16" xfId="1" applyNumberFormat="1" applyFont="1" applyBorder="1">
      <alignment vertical="center"/>
    </xf>
    <xf numFmtId="40" fontId="0" fillId="0" borderId="18" xfId="1" applyNumberFormat="1" applyFont="1" applyBorder="1">
      <alignment vertical="center"/>
    </xf>
    <xf numFmtId="40" fontId="0" fillId="0" borderId="19" xfId="1" applyNumberFormat="1" applyFont="1" applyBorder="1">
      <alignment vertical="center"/>
    </xf>
    <xf numFmtId="176" fontId="0" fillId="0" borderId="47" xfId="1" applyNumberFormat="1" applyFont="1" applyBorder="1">
      <alignment vertical="center"/>
    </xf>
    <xf numFmtId="177" fontId="0" fillId="0" borderId="42" xfId="1" applyNumberFormat="1" applyFont="1" applyBorder="1">
      <alignment vertical="center"/>
    </xf>
    <xf numFmtId="177" fontId="0" fillId="0" borderId="43" xfId="1" applyNumberFormat="1" applyFont="1" applyBorder="1">
      <alignment vertical="center"/>
    </xf>
    <xf numFmtId="0" fontId="0" fillId="0" borderId="40" xfId="0" applyBorder="1" applyAlignment="1">
      <alignment horizontal="center" vertical="center"/>
    </xf>
    <xf numFmtId="177" fontId="0" fillId="0" borderId="15" xfId="1" applyNumberFormat="1" applyFont="1" applyBorder="1">
      <alignment vertical="center"/>
    </xf>
    <xf numFmtId="177" fontId="0" fillId="0" borderId="17" xfId="1" applyNumberFormat="1" applyFont="1" applyBorder="1">
      <alignment vertical="center"/>
    </xf>
    <xf numFmtId="0" fontId="0" fillId="6" borderId="35" xfId="0" applyFill="1" applyBorder="1" applyAlignment="1">
      <alignment horizontal="center" vertical="center"/>
    </xf>
    <xf numFmtId="0" fontId="0" fillId="6" borderId="24" xfId="0" applyFill="1" applyBorder="1" applyAlignment="1">
      <alignment horizontal="center" vertical="center"/>
    </xf>
    <xf numFmtId="0" fontId="0" fillId="6" borderId="27" xfId="0" applyFill="1" applyBorder="1" applyAlignment="1">
      <alignment horizontal="center" vertical="center"/>
    </xf>
    <xf numFmtId="0" fontId="0" fillId="6" borderId="41" xfId="0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176" fontId="0" fillId="7" borderId="47" xfId="1" applyNumberFormat="1" applyFont="1" applyFill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38" fontId="7" fillId="0" borderId="42" xfId="1" applyFont="1" applyBorder="1">
      <alignment vertical="center"/>
    </xf>
    <xf numFmtId="0" fontId="7" fillId="0" borderId="42" xfId="0" applyFont="1" applyBorder="1" applyAlignment="1">
      <alignment vertical="center"/>
    </xf>
    <xf numFmtId="38" fontId="7" fillId="0" borderId="42" xfId="1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4" fillId="0" borderId="0" xfId="0" applyFont="1"/>
    <xf numFmtId="9" fontId="0" fillId="0" borderId="35" xfId="2" applyFont="1" applyBorder="1">
      <alignment vertical="center"/>
    </xf>
    <xf numFmtId="9" fontId="0" fillId="0" borderId="24" xfId="2" applyFont="1" applyBorder="1">
      <alignment vertical="center"/>
    </xf>
    <xf numFmtId="9" fontId="0" fillId="0" borderId="27" xfId="2" applyFont="1" applyBorder="1">
      <alignment vertical="center"/>
    </xf>
    <xf numFmtId="9" fontId="0" fillId="0" borderId="15" xfId="2" applyFont="1" applyBorder="1">
      <alignment vertical="center"/>
    </xf>
    <xf numFmtId="9" fontId="0" fillId="0" borderId="0" xfId="2" applyFont="1">
      <alignment vertical="center"/>
    </xf>
    <xf numFmtId="9" fontId="0" fillId="0" borderId="16" xfId="2" applyFont="1" applyBorder="1">
      <alignment vertical="center"/>
    </xf>
    <xf numFmtId="9" fontId="0" fillId="0" borderId="17" xfId="2" applyFont="1" applyBorder="1">
      <alignment vertical="center"/>
    </xf>
    <xf numFmtId="9" fontId="0" fillId="0" borderId="18" xfId="2" applyFont="1" applyBorder="1">
      <alignment vertical="center"/>
    </xf>
    <xf numFmtId="9" fontId="0" fillId="0" borderId="19" xfId="2" applyFont="1" applyBorder="1">
      <alignment vertical="center"/>
    </xf>
    <xf numFmtId="0" fontId="0" fillId="3" borderId="35" xfId="0" applyFill="1" applyBorder="1"/>
    <xf numFmtId="0" fontId="0" fillId="3" borderId="24" xfId="0" applyFill="1" applyBorder="1"/>
    <xf numFmtId="0" fontId="0" fillId="3" borderId="27" xfId="0" applyFill="1" applyBorder="1"/>
    <xf numFmtId="0" fontId="0" fillId="3" borderId="15" xfId="0" applyFill="1" applyBorder="1"/>
    <xf numFmtId="0" fontId="0" fillId="3" borderId="0" xfId="0" applyFill="1"/>
    <xf numFmtId="0" fontId="0" fillId="3" borderId="16" xfId="0" applyFill="1" applyBorder="1"/>
    <xf numFmtId="0" fontId="0" fillId="3" borderId="17" xfId="0" applyFill="1" applyBorder="1"/>
    <xf numFmtId="0" fontId="0" fillId="3" borderId="18" xfId="0" applyFill="1" applyBorder="1"/>
    <xf numFmtId="0" fontId="0" fillId="3" borderId="19" xfId="0" applyFill="1" applyBorder="1"/>
    <xf numFmtId="40" fontId="0" fillId="0" borderId="35" xfId="1" applyNumberFormat="1" applyFont="1" applyBorder="1">
      <alignment vertical="center"/>
    </xf>
    <xf numFmtId="40" fontId="0" fillId="0" borderId="15" xfId="1" applyNumberFormat="1" applyFont="1" applyBorder="1">
      <alignment vertical="center"/>
    </xf>
    <xf numFmtId="40" fontId="0" fillId="0" borderId="17" xfId="1" applyNumberFormat="1" applyFont="1" applyBorder="1">
      <alignment vertical="center"/>
    </xf>
    <xf numFmtId="0" fontId="4" fillId="6" borderId="40" xfId="0" applyFont="1" applyFill="1" applyBorder="1" applyAlignment="1">
      <alignment horizontal="center" vertical="center"/>
    </xf>
    <xf numFmtId="176" fontId="4" fillId="6" borderId="43" xfId="0" applyNumberFormat="1" applyFont="1" applyFill="1" applyBorder="1"/>
    <xf numFmtId="0" fontId="4" fillId="0" borderId="24" xfId="0" applyFont="1" applyBorder="1" applyAlignment="1">
      <alignment vertical="center"/>
    </xf>
    <xf numFmtId="0" fontId="0" fillId="8" borderId="35" xfId="0" applyFill="1" applyBorder="1" applyAlignment="1">
      <alignment vertical="center"/>
    </xf>
    <xf numFmtId="0" fontId="0" fillId="8" borderId="15" xfId="0" applyFill="1" applyBorder="1" applyAlignment="1">
      <alignment vertical="center"/>
    </xf>
    <xf numFmtId="0" fontId="0" fillId="8" borderId="17" xfId="0" applyFill="1" applyBorder="1" applyAlignment="1">
      <alignment vertical="center"/>
    </xf>
    <xf numFmtId="0" fontId="4" fillId="0" borderId="46" xfId="0" applyFont="1" applyBorder="1" applyAlignment="1">
      <alignment vertical="center"/>
    </xf>
    <xf numFmtId="0" fontId="4" fillId="0" borderId="40" xfId="0" applyFont="1" applyBorder="1" applyAlignment="1">
      <alignment vertical="center"/>
    </xf>
    <xf numFmtId="0" fontId="0" fillId="0" borderId="51" xfId="0" applyBorder="1" applyAlignment="1">
      <alignment vertical="center"/>
    </xf>
    <xf numFmtId="0" fontId="0" fillId="0" borderId="35" xfId="0" quotePrefix="1" applyBorder="1" applyAlignment="1">
      <alignment horizontal="center" vertical="center"/>
    </xf>
    <xf numFmtId="0" fontId="0" fillId="0" borderId="24" xfId="0" quotePrefix="1" applyBorder="1" applyAlignment="1">
      <alignment horizontal="center" vertical="center"/>
    </xf>
    <xf numFmtId="0" fontId="0" fillId="0" borderId="27" xfId="0" quotePrefix="1" applyBorder="1" applyAlignment="1">
      <alignment horizontal="center" vertical="center"/>
    </xf>
    <xf numFmtId="0" fontId="0" fillId="0" borderId="15" xfId="0" quotePrefix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16" xfId="0" quotePrefix="1" applyBorder="1" applyAlignment="1">
      <alignment horizontal="center" vertical="center"/>
    </xf>
    <xf numFmtId="0" fontId="0" fillId="0" borderId="17" xfId="0" quotePrefix="1" applyBorder="1" applyAlignment="1">
      <alignment horizontal="center" vertical="center"/>
    </xf>
    <xf numFmtId="0" fontId="0" fillId="0" borderId="18" xfId="0" quotePrefix="1" applyBorder="1" applyAlignment="1">
      <alignment horizontal="center" vertical="center"/>
    </xf>
    <xf numFmtId="0" fontId="0" fillId="0" borderId="19" xfId="0" quotePrefix="1" applyBorder="1" applyAlignment="1">
      <alignment horizontal="center" vertical="center"/>
    </xf>
    <xf numFmtId="0" fontId="0" fillId="3" borderId="40" xfId="0" applyFill="1" applyBorder="1" applyAlignment="1">
      <alignment horizontal="center" vertical="center"/>
    </xf>
    <xf numFmtId="0" fontId="0" fillId="3" borderId="35" xfId="0" quotePrefix="1" applyFill="1" applyBorder="1" applyAlignment="1">
      <alignment horizontal="center" vertical="center"/>
    </xf>
    <xf numFmtId="0" fontId="0" fillId="3" borderId="24" xfId="0" quotePrefix="1" applyFill="1" applyBorder="1" applyAlignment="1">
      <alignment horizontal="center" vertical="center"/>
    </xf>
    <xf numFmtId="0" fontId="0" fillId="3" borderId="27" xfId="0" quotePrefix="1" applyFill="1" applyBorder="1" applyAlignment="1">
      <alignment horizontal="center" vertical="center"/>
    </xf>
    <xf numFmtId="0" fontId="0" fillId="3" borderId="15" xfId="0" quotePrefix="1" applyFill="1" applyBorder="1" applyAlignment="1">
      <alignment horizontal="center" vertical="center"/>
    </xf>
    <xf numFmtId="0" fontId="0" fillId="3" borderId="0" xfId="0" quotePrefix="1" applyFill="1" applyAlignment="1">
      <alignment horizontal="center" vertical="center"/>
    </xf>
    <xf numFmtId="0" fontId="0" fillId="3" borderId="16" xfId="0" quotePrefix="1" applyFill="1" applyBorder="1" applyAlignment="1">
      <alignment horizontal="center" vertical="center"/>
    </xf>
    <xf numFmtId="0" fontId="0" fillId="3" borderId="17" xfId="0" quotePrefix="1" applyFill="1" applyBorder="1" applyAlignment="1">
      <alignment horizontal="center" vertical="center"/>
    </xf>
    <xf numFmtId="0" fontId="0" fillId="3" borderId="18" xfId="0" quotePrefix="1" applyFill="1" applyBorder="1" applyAlignment="1">
      <alignment horizontal="center" vertical="center"/>
    </xf>
    <xf numFmtId="0" fontId="0" fillId="3" borderId="19" xfId="0" quotePrefix="1" applyFill="1" applyBorder="1" applyAlignment="1">
      <alignment horizontal="center" vertical="center"/>
    </xf>
    <xf numFmtId="0" fontId="6" fillId="0" borderId="35" xfId="0" quotePrefix="1" applyFont="1" applyBorder="1" applyAlignment="1">
      <alignment horizontal="center" vertical="center"/>
    </xf>
    <xf numFmtId="0" fontId="6" fillId="0" borderId="24" xfId="0" quotePrefix="1" applyFont="1" applyBorder="1" applyAlignment="1">
      <alignment horizontal="center" vertical="center"/>
    </xf>
    <xf numFmtId="0" fontId="6" fillId="0" borderId="27" xfId="0" quotePrefix="1" applyFont="1" applyBorder="1" applyAlignment="1">
      <alignment horizontal="center" vertical="center"/>
    </xf>
    <xf numFmtId="0" fontId="6" fillId="0" borderId="15" xfId="0" quotePrefix="1" applyFont="1" applyBorder="1" applyAlignment="1">
      <alignment horizontal="center" vertical="center"/>
    </xf>
    <xf numFmtId="0" fontId="6" fillId="0" borderId="0" xfId="0" quotePrefix="1" applyFont="1" applyAlignment="1">
      <alignment horizontal="center" vertical="center"/>
    </xf>
    <xf numFmtId="0" fontId="6" fillId="0" borderId="16" xfId="0" quotePrefix="1" applyFont="1" applyBorder="1" applyAlignment="1">
      <alignment horizontal="center" vertical="center"/>
    </xf>
    <xf numFmtId="0" fontId="6" fillId="0" borderId="17" xfId="0" quotePrefix="1" applyFont="1" applyBorder="1" applyAlignment="1">
      <alignment horizontal="center" vertical="center"/>
    </xf>
    <xf numFmtId="0" fontId="6" fillId="0" borderId="18" xfId="0" quotePrefix="1" applyFont="1" applyBorder="1" applyAlignment="1">
      <alignment horizontal="center" vertical="center"/>
    </xf>
    <xf numFmtId="0" fontId="6" fillId="0" borderId="19" xfId="0" quotePrefix="1" applyFont="1" applyBorder="1" applyAlignment="1">
      <alignment horizontal="center" vertical="center"/>
    </xf>
    <xf numFmtId="176" fontId="0" fillId="0" borderId="52" xfId="1" applyNumberFormat="1" applyFont="1" applyBorder="1">
      <alignment vertical="center"/>
    </xf>
    <xf numFmtId="176" fontId="0" fillId="0" borderId="53" xfId="1" applyNumberFormat="1" applyFont="1" applyBorder="1">
      <alignment vertical="center"/>
    </xf>
    <xf numFmtId="176" fontId="0" fillId="0" borderId="54" xfId="1" applyNumberFormat="1" applyFont="1" applyBorder="1">
      <alignment vertical="center"/>
    </xf>
    <xf numFmtId="176" fontId="0" fillId="0" borderId="55" xfId="1" applyNumberFormat="1" applyFont="1" applyBorder="1">
      <alignment vertical="center"/>
    </xf>
    <xf numFmtId="176" fontId="0" fillId="0" borderId="56" xfId="1" applyNumberFormat="1" applyFont="1" applyBorder="1">
      <alignment vertical="center"/>
    </xf>
    <xf numFmtId="176" fontId="0" fillId="0" borderId="57" xfId="1" applyNumberFormat="1" applyFont="1" applyBorder="1">
      <alignment vertical="center"/>
    </xf>
    <xf numFmtId="176" fontId="0" fillId="0" borderId="58" xfId="1" applyNumberFormat="1" applyFont="1" applyBorder="1">
      <alignment vertical="center"/>
    </xf>
    <xf numFmtId="176" fontId="0" fillId="0" borderId="59" xfId="1" applyNumberFormat="1" applyFont="1" applyBorder="1">
      <alignment vertical="center"/>
    </xf>
    <xf numFmtId="176" fontId="0" fillId="0" borderId="60" xfId="1" applyNumberFormat="1" applyFont="1" applyBorder="1">
      <alignment vertical="center"/>
    </xf>
    <xf numFmtId="176" fontId="0" fillId="0" borderId="61" xfId="1" applyNumberFormat="1" applyFont="1" applyBorder="1">
      <alignment vertical="center"/>
    </xf>
    <xf numFmtId="176" fontId="0" fillId="0" borderId="62" xfId="1" applyNumberFormat="1" applyFont="1" applyBorder="1">
      <alignment vertical="center"/>
    </xf>
    <xf numFmtId="176" fontId="0" fillId="0" borderId="63" xfId="1" applyNumberFormat="1" applyFont="1" applyBorder="1">
      <alignment vertical="center"/>
    </xf>
    <xf numFmtId="176" fontId="0" fillId="0" borderId="64" xfId="1" applyNumberFormat="1" applyFont="1" applyBorder="1">
      <alignment vertical="center"/>
    </xf>
    <xf numFmtId="176" fontId="0" fillId="0" borderId="65" xfId="1" applyNumberFormat="1" applyFont="1" applyBorder="1">
      <alignment vertical="center"/>
    </xf>
    <xf numFmtId="176" fontId="0" fillId="0" borderId="66" xfId="1" applyNumberFormat="1" applyFont="1" applyBorder="1">
      <alignment vertical="center"/>
    </xf>
    <xf numFmtId="176" fontId="0" fillId="0" borderId="67" xfId="1" applyNumberFormat="1" applyFont="1" applyBorder="1">
      <alignment vertical="center"/>
    </xf>
    <xf numFmtId="176" fontId="0" fillId="0" borderId="68" xfId="1" applyNumberFormat="1" applyFont="1" applyBorder="1">
      <alignment vertical="center"/>
    </xf>
    <xf numFmtId="176" fontId="0" fillId="0" borderId="69" xfId="1" applyNumberFormat="1" applyFont="1" applyBorder="1">
      <alignment vertical="center"/>
    </xf>
    <xf numFmtId="176" fontId="0" fillId="0" borderId="70" xfId="1" applyNumberFormat="1" applyFont="1" applyBorder="1">
      <alignment vertical="center"/>
    </xf>
    <xf numFmtId="176" fontId="0" fillId="0" borderId="71" xfId="1" applyNumberFormat="1" applyFont="1" applyBorder="1">
      <alignment vertical="center"/>
    </xf>
    <xf numFmtId="176" fontId="0" fillId="0" borderId="72" xfId="1" applyNumberFormat="1" applyFont="1" applyBorder="1">
      <alignment vertical="center"/>
    </xf>
    <xf numFmtId="176" fontId="0" fillId="0" borderId="73" xfId="1" applyNumberFormat="1" applyFont="1" applyBorder="1">
      <alignment vertical="center"/>
    </xf>
    <xf numFmtId="176" fontId="0" fillId="0" borderId="74" xfId="1" applyNumberFormat="1" applyFont="1" applyBorder="1">
      <alignment vertical="center"/>
    </xf>
    <xf numFmtId="176" fontId="0" fillId="0" borderId="75" xfId="1" applyNumberFormat="1" applyFont="1" applyBorder="1">
      <alignment vertical="center"/>
    </xf>
    <xf numFmtId="176" fontId="0" fillId="0" borderId="76" xfId="1" applyNumberFormat="1" applyFont="1" applyBorder="1">
      <alignment vertical="center"/>
    </xf>
    <xf numFmtId="0" fontId="10" fillId="10" borderId="46" xfId="0" applyFont="1" applyFill="1" applyBorder="1"/>
    <xf numFmtId="0" fontId="10" fillId="10" borderId="47" xfId="0" applyFont="1" applyFill="1" applyBorder="1"/>
    <xf numFmtId="0" fontId="0" fillId="7" borderId="46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0" fillId="7" borderId="40" xfId="0" applyFill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13" fillId="5" borderId="46" xfId="0" applyFont="1" applyFill="1" applyBorder="1" applyAlignment="1">
      <alignment vertical="center"/>
    </xf>
    <xf numFmtId="0" fontId="13" fillId="5" borderId="47" xfId="0" applyFont="1" applyFill="1" applyBorder="1" applyAlignment="1">
      <alignment vertical="center"/>
    </xf>
    <xf numFmtId="0" fontId="0" fillId="0" borderId="38" xfId="0" applyBorder="1"/>
    <xf numFmtId="0" fontId="10" fillId="5" borderId="78" xfId="0" applyFont="1" applyFill="1" applyBorder="1"/>
    <xf numFmtId="0" fontId="10" fillId="5" borderId="47" xfId="0" applyFont="1" applyFill="1" applyBorder="1"/>
    <xf numFmtId="0" fontId="0" fillId="0" borderId="42" xfId="0" applyBorder="1" applyAlignment="1">
      <alignment horizontal="center" vertical="center"/>
    </xf>
    <xf numFmtId="0" fontId="0" fillId="7" borderId="77" xfId="0" applyFill="1" applyBorder="1" applyAlignment="1">
      <alignment horizontal="center" vertical="center"/>
    </xf>
    <xf numFmtId="0" fontId="0" fillId="11" borderId="40" xfId="0" applyFill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7" fillId="0" borderId="18" xfId="0" applyFont="1" applyBorder="1" applyAlignment="1">
      <alignment vertical="center"/>
    </xf>
    <xf numFmtId="0" fontId="14" fillId="4" borderId="15" xfId="0" applyFont="1" applyFill="1" applyBorder="1" applyAlignment="1">
      <alignment horizontal="left" vertical="center"/>
    </xf>
    <xf numFmtId="0" fontId="15" fillId="4" borderId="0" xfId="0" applyFont="1" applyFill="1" applyAlignment="1">
      <alignment vertical="center"/>
    </xf>
    <xf numFmtId="0" fontId="15" fillId="4" borderId="0" xfId="0" applyFont="1" applyFill="1" applyAlignment="1">
      <alignment horizontal="center" vertical="center"/>
    </xf>
    <xf numFmtId="0" fontId="0" fillId="0" borderId="47" xfId="0" applyBorder="1"/>
    <xf numFmtId="0" fontId="0" fillId="0" borderId="35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0" fillId="0" borderId="35" xfId="0" quotePrefix="1" applyBorder="1" applyAlignment="1">
      <alignment vertical="center"/>
    </xf>
    <xf numFmtId="0" fontId="0" fillId="0" borderId="17" xfId="0" quotePrefix="1" applyBorder="1" applyAlignment="1">
      <alignment vertical="center"/>
    </xf>
    <xf numFmtId="0" fontId="0" fillId="0" borderId="43" xfId="0" applyBorder="1" applyAlignment="1">
      <alignment horizontal="center" vertical="center"/>
    </xf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49" xfId="0" applyBorder="1" applyAlignment="1">
      <alignment vertical="center"/>
    </xf>
    <xf numFmtId="0" fontId="0" fillId="0" borderId="50" xfId="0" applyBorder="1" applyAlignment="1">
      <alignment vertical="center"/>
    </xf>
    <xf numFmtId="0" fontId="16" fillId="12" borderId="46" xfId="0" applyFont="1" applyFill="1" applyBorder="1"/>
    <xf numFmtId="0" fontId="16" fillId="12" borderId="47" xfId="0" applyFont="1" applyFill="1" applyBorder="1"/>
    <xf numFmtId="0" fontId="17" fillId="4" borderId="46" xfId="0" applyFont="1" applyFill="1" applyBorder="1" applyAlignment="1">
      <alignment vertical="center"/>
    </xf>
    <xf numFmtId="0" fontId="17" fillId="4" borderId="47" xfId="0" applyFont="1" applyFill="1" applyBorder="1" applyAlignment="1">
      <alignment vertical="center"/>
    </xf>
    <xf numFmtId="0" fontId="17" fillId="4" borderId="78" xfId="0" applyFont="1" applyFill="1" applyBorder="1" applyAlignment="1">
      <alignment vertical="center"/>
    </xf>
    <xf numFmtId="0" fontId="0" fillId="0" borderId="79" xfId="0" applyBorder="1" applyAlignment="1">
      <alignment horizontal="center" vertical="center"/>
    </xf>
    <xf numFmtId="176" fontId="0" fillId="0" borderId="42" xfId="1" applyNumberFormat="1" applyFont="1" applyBorder="1" applyAlignment="1">
      <alignment horizontal="center" vertical="center"/>
    </xf>
    <xf numFmtId="176" fontId="0" fillId="0" borderId="43" xfId="1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40" fontId="0" fillId="0" borderId="19" xfId="1" applyNumberFormat="1" applyFont="1" applyBorder="1" applyAlignment="1">
      <alignment horizontal="center" vertical="center"/>
    </xf>
    <xf numFmtId="0" fontId="16" fillId="13" borderId="46" xfId="0" applyFont="1" applyFill="1" applyBorder="1" applyAlignment="1">
      <alignment vertical="center"/>
    </xf>
    <xf numFmtId="0" fontId="16" fillId="13" borderId="47" xfId="0" applyFont="1" applyFill="1" applyBorder="1" applyAlignment="1">
      <alignment vertical="center"/>
    </xf>
    <xf numFmtId="9" fontId="0" fillId="0" borderId="40" xfId="0" applyNumberFormat="1" applyBorder="1" applyAlignment="1">
      <alignment vertical="center"/>
    </xf>
    <xf numFmtId="9" fontId="0" fillId="0" borderId="42" xfId="0" applyNumberFormat="1" applyBorder="1" applyAlignment="1">
      <alignment vertical="center"/>
    </xf>
    <xf numFmtId="9" fontId="0" fillId="0" borderId="46" xfId="2" applyFont="1" applyBorder="1">
      <alignment vertical="center"/>
    </xf>
    <xf numFmtId="9" fontId="0" fillId="0" borderId="43" xfId="0" applyNumberFormat="1" applyBorder="1" applyAlignment="1">
      <alignment vertical="center"/>
    </xf>
    <xf numFmtId="0" fontId="0" fillId="7" borderId="41" xfId="0" applyFill="1" applyBorder="1" applyAlignment="1">
      <alignment vertical="center"/>
    </xf>
    <xf numFmtId="0" fontId="0" fillId="7" borderId="42" xfId="0" applyFill="1" applyBorder="1" applyAlignment="1">
      <alignment vertical="center"/>
    </xf>
    <xf numFmtId="0" fontId="0" fillId="7" borderId="43" xfId="0" applyFill="1" applyBorder="1" applyAlignment="1">
      <alignment vertical="center"/>
    </xf>
    <xf numFmtId="38" fontId="4" fillId="6" borderId="40" xfId="1" applyFont="1" applyFill="1" applyBorder="1" applyAlignment="1">
      <alignment horizontal="center" vertical="center"/>
    </xf>
    <xf numFmtId="176" fontId="0" fillId="0" borderId="4" xfId="1" applyNumberFormat="1" applyFont="1" applyBorder="1" applyAlignment="1">
      <alignment horizontal="center" vertical="center"/>
    </xf>
    <xf numFmtId="176" fontId="0" fillId="0" borderId="0" xfId="1" applyNumberFormat="1" applyFont="1" applyAlignment="1">
      <alignment horizontal="center" vertical="center"/>
    </xf>
    <xf numFmtId="176" fontId="0" fillId="0" borderId="16" xfId="1" applyNumberFormat="1" applyFont="1" applyBorder="1" applyAlignment="1">
      <alignment horizontal="center" vertical="center"/>
    </xf>
    <xf numFmtId="176" fontId="0" fillId="0" borderId="34" xfId="1" applyNumberFormat="1" applyFont="1" applyBorder="1" applyAlignment="1">
      <alignment horizontal="center" vertical="center"/>
    </xf>
    <xf numFmtId="176" fontId="0" fillId="0" borderId="18" xfId="1" applyNumberFormat="1" applyFont="1" applyBorder="1" applyAlignment="1">
      <alignment horizontal="center" vertical="center"/>
    </xf>
    <xf numFmtId="176" fontId="0" fillId="0" borderId="19" xfId="1" applyNumberFormat="1" applyFont="1" applyBorder="1" applyAlignment="1">
      <alignment horizontal="center" vertical="center"/>
    </xf>
    <xf numFmtId="0" fontId="0" fillId="0" borderId="24" xfId="0" applyBorder="1" applyAlignment="1">
      <alignment horizontal="center"/>
    </xf>
    <xf numFmtId="0" fontId="6" fillId="0" borderId="47" xfId="0" applyFont="1" applyBorder="1" applyAlignment="1">
      <alignment horizontal="center"/>
    </xf>
    <xf numFmtId="0" fontId="7" fillId="0" borderId="25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34" xfId="0" applyFont="1" applyBorder="1" applyAlignment="1">
      <alignment horizontal="center"/>
    </xf>
    <xf numFmtId="176" fontId="0" fillId="6" borderId="0" xfId="1" applyNumberFormat="1" applyFont="1" applyFill="1" applyAlignment="1"/>
    <xf numFmtId="0" fontId="0" fillId="0" borderId="41" xfId="0" quotePrefix="1" applyBorder="1" applyAlignment="1">
      <alignment horizontal="center" vertical="center"/>
    </xf>
    <xf numFmtId="176" fontId="0" fillId="2" borderId="0" xfId="1" applyNumberFormat="1" applyFont="1" applyFill="1" applyAlignment="1"/>
    <xf numFmtId="176" fontId="0" fillId="2" borderId="18" xfId="1" applyNumberFormat="1" applyFont="1" applyFill="1" applyBorder="1" applyAlignment="1"/>
    <xf numFmtId="0" fontId="0" fillId="14" borderId="35" xfId="0" applyFill="1" applyBorder="1" applyAlignment="1">
      <alignment horizontal="center" vertical="center"/>
    </xf>
    <xf numFmtId="0" fontId="0" fillId="14" borderId="24" xfId="0" applyFill="1" applyBorder="1" applyAlignment="1">
      <alignment horizontal="center" vertical="center"/>
    </xf>
    <xf numFmtId="0" fontId="0" fillId="14" borderId="27" xfId="0" applyFill="1" applyBorder="1" applyAlignment="1">
      <alignment horizontal="center" vertical="center"/>
    </xf>
    <xf numFmtId="0" fontId="0" fillId="14" borderId="15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16" xfId="0" applyFill="1" applyBorder="1" applyAlignment="1">
      <alignment horizontal="center" vertical="center"/>
    </xf>
    <xf numFmtId="0" fontId="0" fillId="14" borderId="17" xfId="0" applyFill="1" applyBorder="1" applyAlignment="1">
      <alignment horizontal="center" vertical="center"/>
    </xf>
    <xf numFmtId="0" fontId="0" fillId="14" borderId="18" xfId="0" applyFill="1" applyBorder="1" applyAlignment="1">
      <alignment horizontal="center" vertical="center"/>
    </xf>
    <xf numFmtId="0" fontId="0" fillId="14" borderId="19" xfId="0" applyFill="1" applyBorder="1" applyAlignment="1">
      <alignment horizontal="center" vertical="center"/>
    </xf>
    <xf numFmtId="40" fontId="0" fillId="0" borderId="4" xfId="1" applyNumberFormat="1" applyFont="1" applyBorder="1" applyAlignment="1">
      <alignment horizontal="center" vertical="center"/>
    </xf>
    <xf numFmtId="40" fontId="0" fillId="0" borderId="34" xfId="1" applyNumberFormat="1" applyFont="1" applyBorder="1" applyAlignment="1">
      <alignment horizontal="center" vertical="center"/>
    </xf>
    <xf numFmtId="40" fontId="0" fillId="0" borderId="5" xfId="1" applyNumberFormat="1" applyFont="1" applyBorder="1" applyAlignment="1">
      <alignment horizontal="center" vertical="center"/>
    </xf>
    <xf numFmtId="40" fontId="0" fillId="0" borderId="21" xfId="1" applyNumberFormat="1" applyFont="1" applyBorder="1" applyAlignment="1">
      <alignment horizontal="center" vertical="center"/>
    </xf>
    <xf numFmtId="0" fontId="7" fillId="0" borderId="36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31" xfId="0" applyFont="1" applyBorder="1" applyAlignment="1">
      <alignment horizontal="center" vertical="center"/>
    </xf>
    <xf numFmtId="0" fontId="7" fillId="0" borderId="79" xfId="0" applyFont="1" applyBorder="1" applyAlignment="1">
      <alignment horizontal="center" vertical="center"/>
    </xf>
    <xf numFmtId="38" fontId="0" fillId="0" borderId="16" xfId="1" applyFont="1" applyBorder="1" applyAlignment="1">
      <alignment horizontal="center" vertical="center"/>
    </xf>
    <xf numFmtId="38" fontId="0" fillId="0" borderId="19" xfId="1" applyFont="1" applyBorder="1" applyAlignment="1">
      <alignment horizontal="center" vertical="center"/>
    </xf>
    <xf numFmtId="38" fontId="0" fillId="0" borderId="15" xfId="1" applyFont="1" applyBorder="1" applyAlignment="1">
      <alignment horizontal="center" vertical="center"/>
    </xf>
    <xf numFmtId="38" fontId="0" fillId="0" borderId="0" xfId="1" applyFont="1" applyAlignment="1">
      <alignment horizontal="center" vertical="center"/>
    </xf>
    <xf numFmtId="38" fontId="0" fillId="0" borderId="5" xfId="1" applyFont="1" applyBorder="1" applyAlignment="1">
      <alignment horizontal="center" vertical="center"/>
    </xf>
    <xf numFmtId="38" fontId="0" fillId="0" borderId="17" xfId="1" applyFont="1" applyBorder="1" applyAlignment="1">
      <alignment horizontal="center" vertical="center"/>
    </xf>
    <xf numFmtId="38" fontId="0" fillId="0" borderId="18" xfId="1" applyFont="1" applyBorder="1" applyAlignment="1">
      <alignment horizontal="center" vertical="center"/>
    </xf>
    <xf numFmtId="38" fontId="0" fillId="0" borderId="21" xfId="1" applyFont="1" applyBorder="1" applyAlignment="1">
      <alignment horizontal="center" vertical="center"/>
    </xf>
    <xf numFmtId="38" fontId="0" fillId="0" borderId="16" xfId="1" applyFont="1" applyBorder="1">
      <alignment vertical="center"/>
    </xf>
    <xf numFmtId="38" fontId="0" fillId="0" borderId="42" xfId="1" applyFont="1" applyBorder="1">
      <alignment vertical="center"/>
    </xf>
    <xf numFmtId="38" fontId="0" fillId="0" borderId="43" xfId="1" applyFont="1" applyBorder="1">
      <alignment vertical="center"/>
    </xf>
    <xf numFmtId="40" fontId="0" fillId="0" borderId="15" xfId="1" applyNumberFormat="1" applyFont="1" applyBorder="1" applyAlignment="1">
      <alignment horizontal="center" vertical="center"/>
    </xf>
    <xf numFmtId="40" fontId="0" fillId="0" borderId="17" xfId="1" applyNumberFormat="1" applyFont="1" applyBorder="1" applyAlignment="1">
      <alignment horizontal="center" vertical="center"/>
    </xf>
    <xf numFmtId="176" fontId="0" fillId="0" borderId="15" xfId="1" applyNumberFormat="1" applyFont="1" applyBorder="1" applyAlignment="1">
      <alignment horizontal="center" vertical="center"/>
    </xf>
    <xf numFmtId="176" fontId="0" fillId="0" borderId="17" xfId="1" applyNumberFormat="1" applyFont="1" applyBorder="1" applyAlignment="1">
      <alignment horizontal="center" vertical="center"/>
    </xf>
    <xf numFmtId="176" fontId="0" fillId="0" borderId="5" xfId="1" applyNumberFormat="1" applyFont="1" applyBorder="1" applyAlignment="1">
      <alignment horizontal="center" vertical="center"/>
    </xf>
    <xf numFmtId="176" fontId="0" fillId="0" borderId="21" xfId="1" applyNumberFormat="1" applyFont="1" applyBorder="1" applyAlignment="1">
      <alignment horizontal="center" vertical="center"/>
    </xf>
    <xf numFmtId="0" fontId="0" fillId="2" borderId="16" xfId="0" applyFill="1" applyBorder="1" applyAlignment="1">
      <alignment vertical="center"/>
    </xf>
    <xf numFmtId="40" fontId="0" fillId="0" borderId="42" xfId="1" applyNumberFormat="1" applyFont="1" applyBorder="1" applyAlignment="1">
      <alignment horizontal="center" vertical="center"/>
    </xf>
    <xf numFmtId="40" fontId="0" fillId="0" borderId="43" xfId="1" applyNumberFormat="1" applyFont="1" applyBorder="1" applyAlignment="1">
      <alignment horizontal="center" vertical="center"/>
    </xf>
    <xf numFmtId="38" fontId="0" fillId="0" borderId="42" xfId="1" applyFont="1" applyBorder="1" applyAlignment="1">
      <alignment horizontal="center" vertical="center"/>
    </xf>
    <xf numFmtId="38" fontId="0" fillId="0" borderId="43" xfId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38" fontId="0" fillId="0" borderId="4" xfId="1" applyFont="1" applyBorder="1" applyAlignment="1">
      <alignment horizontal="center" vertical="center"/>
    </xf>
    <xf numFmtId="38" fontId="0" fillId="0" borderId="34" xfId="1" applyFont="1" applyBorder="1" applyAlignment="1">
      <alignment horizontal="center" vertical="center"/>
    </xf>
    <xf numFmtId="0" fontId="0" fillId="0" borderId="42" xfId="0" applyBorder="1" applyAlignment="1">
      <alignment vertical="center"/>
    </xf>
    <xf numFmtId="0" fontId="8" fillId="2" borderId="15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8" fillId="2" borderId="4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9" fillId="0" borderId="36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31" xfId="0" applyFont="1" applyBorder="1" applyAlignment="1">
      <alignment horizontal="center" vertical="center"/>
    </xf>
    <xf numFmtId="0" fontId="0" fillId="2" borderId="15" xfId="0" applyFill="1" applyBorder="1" applyAlignment="1">
      <alignment vertical="center"/>
    </xf>
    <xf numFmtId="0" fontId="0" fillId="2" borderId="0" xfId="0" applyFill="1" applyAlignment="1">
      <alignment vertical="center"/>
    </xf>
    <xf numFmtId="0" fontId="0" fillId="3" borderId="15" xfId="0" quotePrefix="1" applyFill="1" applyBorder="1" applyAlignment="1">
      <alignment vertical="center"/>
    </xf>
    <xf numFmtId="0" fontId="0" fillId="3" borderId="15" xfId="0" applyFill="1" applyBorder="1" applyAlignment="1">
      <alignment horizontal="center" vertical="center"/>
    </xf>
    <xf numFmtId="176" fontId="0" fillId="2" borderId="15" xfId="1" applyNumberFormat="1" applyFont="1" applyFill="1" applyBorder="1" applyAlignment="1">
      <alignment horizontal="center" vertical="center"/>
    </xf>
    <xf numFmtId="176" fontId="0" fillId="2" borderId="0" xfId="1" applyNumberFormat="1" applyFont="1" applyFill="1" applyAlignment="1">
      <alignment horizontal="center" vertical="center"/>
    </xf>
    <xf numFmtId="176" fontId="0" fillId="2" borderId="4" xfId="1" applyNumberFormat="1" applyFont="1" applyFill="1" applyBorder="1" applyAlignment="1">
      <alignment horizontal="center" vertical="center"/>
    </xf>
    <xf numFmtId="176" fontId="0" fillId="2" borderId="5" xfId="1" applyNumberFormat="1" applyFont="1" applyFill="1" applyBorder="1" applyAlignment="1">
      <alignment horizontal="center" vertical="center"/>
    </xf>
    <xf numFmtId="176" fontId="0" fillId="2" borderId="16" xfId="1" applyNumberFormat="1" applyFont="1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6" borderId="36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1" xfId="0" applyFill="1" applyBorder="1" applyAlignment="1">
      <alignment horizontal="center" vertical="center"/>
    </xf>
    <xf numFmtId="0" fontId="0" fillId="6" borderId="79" xfId="0" applyFill="1" applyBorder="1" applyAlignment="1">
      <alignment horizontal="center" vertical="center"/>
    </xf>
    <xf numFmtId="0" fontId="0" fillId="0" borderId="34" xfId="0" applyBorder="1" applyAlignment="1">
      <alignment vertical="center"/>
    </xf>
    <xf numFmtId="0" fontId="0" fillId="0" borderId="21" xfId="0" applyBorder="1" applyAlignment="1">
      <alignment vertical="center"/>
    </xf>
    <xf numFmtId="40" fontId="0" fillId="0" borderId="47" xfId="1" applyNumberFormat="1" applyFont="1" applyBorder="1" applyAlignment="1"/>
    <xf numFmtId="40" fontId="0" fillId="0" borderId="40" xfId="1" applyNumberFormat="1" applyFont="1" applyBorder="1" applyAlignment="1"/>
    <xf numFmtId="38" fontId="4" fillId="9" borderId="46" xfId="1" applyFont="1" applyFill="1" applyBorder="1">
      <alignment vertical="center"/>
    </xf>
    <xf numFmtId="38" fontId="4" fillId="9" borderId="47" xfId="1" applyFont="1" applyFill="1" applyBorder="1">
      <alignment vertical="center"/>
    </xf>
    <xf numFmtId="38" fontId="4" fillId="9" borderId="48" xfId="1" applyFont="1" applyFill="1" applyBorder="1">
      <alignment vertical="center"/>
    </xf>
    <xf numFmtId="40" fontId="0" fillId="0" borderId="0" xfId="1" applyNumberFormat="1" applyFont="1" applyAlignment="1"/>
    <xf numFmtId="38" fontId="0" fillId="0" borderId="40" xfId="1" applyFont="1" applyBorder="1" applyAlignment="1">
      <alignment horizontal="center" vertical="center"/>
    </xf>
    <xf numFmtId="40" fontId="0" fillId="0" borderId="48" xfId="1" applyNumberFormat="1" applyFont="1" applyBorder="1" applyAlignment="1"/>
    <xf numFmtId="40" fontId="0" fillId="0" borderId="46" xfId="1" applyNumberFormat="1" applyFont="1" applyBorder="1" applyAlignment="1"/>
    <xf numFmtId="40" fontId="0" fillId="0" borderId="40" xfId="0" applyNumberFormat="1" applyBorder="1"/>
    <xf numFmtId="0" fontId="0" fillId="0" borderId="27" xfId="0" applyBorder="1" applyAlignment="1">
      <alignment horizontal="center"/>
    </xf>
    <xf numFmtId="9" fontId="0" fillId="0" borderId="47" xfId="2" applyFont="1" applyBorder="1" applyAlignment="1"/>
    <xf numFmtId="0" fontId="0" fillId="15" borderId="27" xfId="0" applyFill="1" applyBorder="1" applyAlignment="1">
      <alignment horizontal="center" vertical="center"/>
    </xf>
    <xf numFmtId="0" fontId="0" fillId="15" borderId="35" xfId="0" applyFill="1" applyBorder="1" applyAlignment="1">
      <alignment horizontal="center" vertical="center"/>
    </xf>
    <xf numFmtId="0" fontId="0" fillId="15" borderId="24" xfId="0" applyFill="1" applyBorder="1" applyAlignment="1">
      <alignment horizontal="center" vertical="center"/>
    </xf>
    <xf numFmtId="38" fontId="0" fillId="15" borderId="46" xfId="1" applyFont="1" applyFill="1" applyBorder="1" applyAlignment="1">
      <alignment horizontal="center" vertical="center"/>
    </xf>
    <xf numFmtId="38" fontId="0" fillId="15" borderId="47" xfId="1" applyFont="1" applyFill="1" applyBorder="1" applyAlignment="1">
      <alignment horizontal="center" vertical="center"/>
    </xf>
    <xf numFmtId="38" fontId="0" fillId="15" borderId="48" xfId="1" applyFont="1" applyFill="1" applyBorder="1" applyAlignment="1">
      <alignment horizontal="center" vertical="center"/>
    </xf>
    <xf numFmtId="9" fontId="0" fillId="0" borderId="48" xfId="2" applyFont="1" applyBorder="1" applyAlignment="1"/>
    <xf numFmtId="0" fontId="4" fillId="11" borderId="46" xfId="0" applyFont="1" applyFill="1" applyBorder="1"/>
    <xf numFmtId="9" fontId="4" fillId="11" borderId="46" xfId="2" applyFont="1" applyFill="1" applyBorder="1" applyAlignment="1"/>
    <xf numFmtId="9" fontId="4" fillId="11" borderId="47" xfId="2" applyFont="1" applyFill="1" applyBorder="1" applyAlignment="1"/>
    <xf numFmtId="9" fontId="4" fillId="11" borderId="48" xfId="2" applyFont="1" applyFill="1" applyBorder="1" applyAlignment="1"/>
    <xf numFmtId="38" fontId="4" fillId="11" borderId="40" xfId="1" applyFont="1" applyFill="1" applyBorder="1" applyAlignment="1">
      <alignment horizontal="center" vertical="center"/>
    </xf>
    <xf numFmtId="176" fontId="8" fillId="0" borderId="81" xfId="1" applyNumberFormat="1" applyFont="1" applyBorder="1" applyAlignment="1"/>
    <xf numFmtId="0" fontId="8" fillId="0" borderId="82" xfId="0" applyFont="1" applyBorder="1" applyAlignment="1">
      <alignment horizontal="center" vertical="center"/>
    </xf>
    <xf numFmtId="0" fontId="8" fillId="2" borderId="83" xfId="0" applyFont="1" applyFill="1" applyBorder="1" applyAlignment="1">
      <alignment horizontal="center" vertical="center"/>
    </xf>
    <xf numFmtId="38" fontId="8" fillId="0" borderId="82" xfId="1" applyFont="1" applyBorder="1" applyAlignment="1">
      <alignment horizontal="center" vertical="center"/>
    </xf>
    <xf numFmtId="38" fontId="8" fillId="0" borderId="84" xfId="1" applyFont="1" applyBorder="1" applyAlignment="1">
      <alignment horizontal="center" vertical="center"/>
    </xf>
    <xf numFmtId="38" fontId="8" fillId="0" borderId="85" xfId="1" applyFont="1" applyBorder="1" applyAlignment="1">
      <alignment horizontal="center" vertical="center"/>
    </xf>
    <xf numFmtId="9" fontId="8" fillId="0" borderId="82" xfId="2" applyFont="1" applyBorder="1" applyAlignment="1"/>
    <xf numFmtId="9" fontId="8" fillId="0" borderId="84" xfId="2" applyFont="1" applyBorder="1" applyAlignment="1"/>
    <xf numFmtId="9" fontId="8" fillId="0" borderId="86" xfId="2" applyFont="1" applyBorder="1" applyAlignment="1"/>
    <xf numFmtId="38" fontId="0" fillId="0" borderId="15" xfId="1" applyFont="1" applyBorder="1">
      <alignment vertical="center"/>
    </xf>
    <xf numFmtId="38" fontId="0" fillId="0" borderId="0" xfId="1" applyFont="1">
      <alignment vertical="center"/>
    </xf>
    <xf numFmtId="0" fontId="6" fillId="0" borderId="0" xfId="0" applyFont="1" applyAlignment="1">
      <alignment horizontal="center" vertical="center"/>
    </xf>
    <xf numFmtId="0" fontId="0" fillId="7" borderId="80" xfId="0" applyFill="1" applyBorder="1" applyAlignment="1">
      <alignment horizontal="center" vertical="center"/>
    </xf>
    <xf numFmtId="9" fontId="0" fillId="14" borderId="35" xfId="2" applyFont="1" applyFill="1" applyBorder="1" applyAlignment="1">
      <alignment horizontal="center" vertical="center"/>
    </xf>
    <xf numFmtId="9" fontId="0" fillId="14" borderId="24" xfId="2" applyFont="1" applyFill="1" applyBorder="1" applyAlignment="1">
      <alignment horizontal="center" vertical="center"/>
    </xf>
    <xf numFmtId="9" fontId="0" fillId="14" borderId="27" xfId="2" applyFont="1" applyFill="1" applyBorder="1" applyAlignment="1">
      <alignment horizontal="center" vertical="center"/>
    </xf>
    <xf numFmtId="9" fontId="0" fillId="14" borderId="41" xfId="2" applyFont="1" applyFill="1" applyBorder="1" applyAlignment="1">
      <alignment horizontal="center" vertical="center"/>
    </xf>
    <xf numFmtId="9" fontId="0" fillId="14" borderId="15" xfId="2" applyFont="1" applyFill="1" applyBorder="1" applyAlignment="1">
      <alignment horizontal="center" vertical="center"/>
    </xf>
    <xf numFmtId="9" fontId="0" fillId="14" borderId="0" xfId="2" applyFont="1" applyFill="1" applyAlignment="1">
      <alignment horizontal="center" vertical="center"/>
    </xf>
    <xf numFmtId="9" fontId="0" fillId="14" borderId="16" xfId="2" applyFont="1" applyFill="1" applyBorder="1" applyAlignment="1">
      <alignment horizontal="center" vertical="center"/>
    </xf>
    <xf numFmtId="9" fontId="0" fillId="14" borderId="42" xfId="2" applyFont="1" applyFill="1" applyBorder="1" applyAlignment="1">
      <alignment horizontal="center" vertical="center"/>
    </xf>
    <xf numFmtId="9" fontId="0" fillId="14" borderId="17" xfId="2" applyFont="1" applyFill="1" applyBorder="1" applyAlignment="1">
      <alignment horizontal="center" vertical="center"/>
    </xf>
    <xf numFmtId="9" fontId="0" fillId="14" borderId="18" xfId="2" applyFont="1" applyFill="1" applyBorder="1" applyAlignment="1">
      <alignment horizontal="center" vertical="center"/>
    </xf>
    <xf numFmtId="9" fontId="0" fillId="14" borderId="19" xfId="2" applyFont="1" applyFill="1" applyBorder="1" applyAlignment="1">
      <alignment horizontal="center" vertical="center"/>
    </xf>
    <xf numFmtId="9" fontId="0" fillId="14" borderId="43" xfId="2" applyFont="1" applyFill="1" applyBorder="1" applyAlignment="1">
      <alignment horizontal="center" vertical="center"/>
    </xf>
    <xf numFmtId="38" fontId="0" fillId="14" borderId="27" xfId="1" applyFont="1" applyFill="1" applyBorder="1" applyAlignment="1">
      <alignment horizontal="center" vertical="center"/>
    </xf>
    <xf numFmtId="38" fontId="0" fillId="14" borderId="16" xfId="1" applyFont="1" applyFill="1" applyBorder="1" applyAlignment="1">
      <alignment horizontal="center" vertical="center"/>
    </xf>
    <xf numFmtId="38" fontId="0" fillId="14" borderId="19" xfId="1" applyFont="1" applyFill="1" applyBorder="1" applyAlignment="1">
      <alignment horizontal="center" vertical="center"/>
    </xf>
    <xf numFmtId="38" fontId="0" fillId="0" borderId="41" xfId="1" applyFont="1" applyBorder="1" applyAlignment="1">
      <alignment horizontal="center" vertical="center"/>
    </xf>
    <xf numFmtId="176" fontId="7" fillId="0" borderId="13" xfId="1" applyNumberFormat="1" applyFont="1" applyBorder="1">
      <alignment vertical="center"/>
    </xf>
    <xf numFmtId="0" fontId="22" fillId="0" borderId="0" xfId="0" applyFont="1" applyAlignment="1">
      <alignment vertical="center"/>
    </xf>
    <xf numFmtId="0" fontId="4" fillId="6" borderId="31" xfId="0" applyFont="1" applyFill="1" applyBorder="1" applyAlignment="1">
      <alignment horizontal="center" vertical="center"/>
    </xf>
    <xf numFmtId="38" fontId="4" fillId="6" borderId="16" xfId="1" applyFont="1" applyFill="1" applyBorder="1" applyAlignment="1">
      <alignment horizontal="center" vertical="center"/>
    </xf>
    <xf numFmtId="38" fontId="4" fillId="6" borderId="19" xfId="1" applyFont="1" applyFill="1" applyBorder="1" applyAlignment="1">
      <alignment horizontal="center" vertical="center"/>
    </xf>
    <xf numFmtId="0" fontId="16" fillId="13" borderId="24" xfId="0" applyFont="1" applyFill="1" applyBorder="1" applyAlignment="1">
      <alignment vertical="center"/>
    </xf>
    <xf numFmtId="9" fontId="0" fillId="0" borderId="43" xfId="2" applyFont="1" applyBorder="1" applyAlignment="1">
      <alignment horizontal="right" vertical="center"/>
    </xf>
    <xf numFmtId="9" fontId="0" fillId="0" borderId="46" xfId="2" applyFont="1" applyBorder="1" applyAlignment="1"/>
    <xf numFmtId="176" fontId="21" fillId="16" borderId="87" xfId="1" applyNumberFormat="1" applyFont="1" applyFill="1" applyBorder="1" applyAlignment="1">
      <alignment horizontal="center" vertical="center"/>
    </xf>
    <xf numFmtId="0" fontId="0" fillId="3" borderId="48" xfId="0" applyFill="1" applyBorder="1"/>
    <xf numFmtId="0" fontId="0" fillId="11" borderId="46" xfId="0" applyFill="1" applyBorder="1" applyAlignment="1">
      <alignment horizontal="center" vertical="center"/>
    </xf>
    <xf numFmtId="0" fontId="0" fillId="11" borderId="47" xfId="0" applyFill="1" applyBorder="1" applyAlignment="1">
      <alignment horizontal="center" vertical="center"/>
    </xf>
    <xf numFmtId="0" fontId="0" fillId="11" borderId="48" xfId="0" applyFill="1" applyBorder="1" applyAlignment="1">
      <alignment horizontal="center" vertical="center"/>
    </xf>
    <xf numFmtId="0" fontId="0" fillId="0" borderId="46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176" fontId="0" fillId="0" borderId="15" xfId="1" applyNumberFormat="1" applyFont="1" applyFill="1" applyBorder="1">
      <alignment vertical="center"/>
    </xf>
    <xf numFmtId="176" fontId="0" fillId="0" borderId="17" xfId="1" applyNumberFormat="1" applyFont="1" applyFill="1" applyBorder="1">
      <alignment vertical="center"/>
    </xf>
    <xf numFmtId="176" fontId="0" fillId="0" borderId="35" xfId="1" applyNumberFormat="1" applyFont="1" applyFill="1" applyBorder="1">
      <alignment vertical="center"/>
    </xf>
    <xf numFmtId="178" fontId="0" fillId="0" borderId="35" xfId="1" applyNumberFormat="1" applyFont="1" applyBorder="1">
      <alignment vertical="center"/>
    </xf>
    <xf numFmtId="178" fontId="0" fillId="0" borderId="24" xfId="1" applyNumberFormat="1" applyFont="1" applyBorder="1">
      <alignment vertical="center"/>
    </xf>
    <xf numFmtId="178" fontId="0" fillId="0" borderId="27" xfId="1" applyNumberFormat="1" applyFont="1" applyBorder="1">
      <alignment vertical="center"/>
    </xf>
    <xf numFmtId="178" fontId="0" fillId="0" borderId="15" xfId="1" applyNumberFormat="1" applyFont="1" applyBorder="1">
      <alignment vertical="center"/>
    </xf>
    <xf numFmtId="178" fontId="0" fillId="0" borderId="0" xfId="1" applyNumberFormat="1" applyFont="1">
      <alignment vertical="center"/>
    </xf>
    <xf numFmtId="178" fontId="0" fillId="0" borderId="16" xfId="1" applyNumberFormat="1" applyFont="1" applyBorder="1">
      <alignment vertical="center"/>
    </xf>
    <xf numFmtId="178" fontId="0" fillId="0" borderId="17" xfId="1" applyNumberFormat="1" applyFont="1" applyBorder="1">
      <alignment vertical="center"/>
    </xf>
    <xf numFmtId="178" fontId="0" fillId="0" borderId="18" xfId="1" applyNumberFormat="1" applyFont="1" applyBorder="1">
      <alignment vertical="center"/>
    </xf>
    <xf numFmtId="178" fontId="0" fillId="0" borderId="19" xfId="1" applyNumberFormat="1" applyFont="1" applyBorder="1">
      <alignment vertical="center"/>
    </xf>
  </cellXfs>
  <cellStyles count="3">
    <cellStyle name="パーセント" xfId="2" builtinId="5"/>
    <cellStyle name="桁区切り" xfId="1" builtinId="6"/>
    <cellStyle name="標準" xfId="0" builtinId="0"/>
  </cellStyles>
  <dxfs count="0"/>
  <tableStyles count="0" defaultTableStyle="TableStyleMedium2" defaultPivotStyle="PivotStyleLight16"/>
  <colors>
    <mruColors>
      <color rgb="FF66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8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9</xdr:row>
          <xdr:rowOff>0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ランダム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10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AlphaZero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4CF43-9C5B-4BCE-9E8E-B56B60F89DE2}">
  <sheetPr codeName="Sheet1">
    <tabColor rgb="FFFFC000"/>
  </sheetPr>
  <dimension ref="A1:V21"/>
  <sheetViews>
    <sheetView workbookViewId="0">
      <selection activeCell="B5" sqref="B5"/>
    </sheetView>
  </sheetViews>
  <sheetFormatPr defaultColWidth="9" defaultRowHeight="17.649999999999999"/>
  <cols>
    <col min="1" max="1" width="2.5" style="1" customWidth="1"/>
    <col min="2" max="2" width="4.5" style="1" customWidth="1"/>
    <col min="3" max="5" width="4.6875" style="1" customWidth="1"/>
    <col min="6" max="6" width="3.6875" style="1" customWidth="1"/>
    <col min="7" max="7" width="6.1875" style="1" bestFit="1" customWidth="1"/>
    <col min="8" max="8" width="17.6875" style="1" bestFit="1" customWidth="1"/>
    <col min="9" max="9" width="3.6875" style="1" customWidth="1"/>
    <col min="10" max="12" width="4" style="1" customWidth="1"/>
    <col min="13" max="14" width="3.6875" style="1" customWidth="1"/>
    <col min="15" max="15" width="2.5" style="58" customWidth="1"/>
    <col min="16" max="16" width="3.6875" style="1" customWidth="1"/>
    <col min="17" max="16384" width="9" style="1"/>
  </cols>
  <sheetData>
    <row r="1" spans="1:22" s="245" customFormat="1" ht="26.25" thickBot="1">
      <c r="A1" s="244" t="s">
        <v>77</v>
      </c>
      <c r="O1" s="246"/>
    </row>
    <row r="3" spans="1:22" ht="18" thickBot="1">
      <c r="B3" s="13" t="s">
        <v>57</v>
      </c>
      <c r="P3" s="13" t="s">
        <v>72</v>
      </c>
      <c r="U3" s="13" t="s">
        <v>91</v>
      </c>
    </row>
    <row r="4" spans="1:22" ht="18" thickBot="1">
      <c r="B4" s="110" t="s">
        <v>18</v>
      </c>
      <c r="C4" s="75">
        <v>0</v>
      </c>
      <c r="D4" s="76">
        <v>1</v>
      </c>
      <c r="E4" s="77">
        <v>2</v>
      </c>
      <c r="P4" s="110">
        <f>VLOOKUP(B4,cvt!$A$2:$B$4,2,FALSE)</f>
        <v>-1</v>
      </c>
      <c r="Q4" s="75">
        <v>0</v>
      </c>
      <c r="R4" s="76">
        <v>1</v>
      </c>
      <c r="S4" s="77">
        <v>2</v>
      </c>
      <c r="U4" s="74" t="s">
        <v>0</v>
      </c>
      <c r="V4" s="96" t="b">
        <f>OR(V5:V6, COUNTIF(Q5:S7,0)=0)</f>
        <v>1</v>
      </c>
    </row>
    <row r="5" spans="1:22" ht="18" thickBot="1">
      <c r="B5" s="69">
        <v>0</v>
      </c>
      <c r="C5" s="167" t="s">
        <v>17</v>
      </c>
      <c r="D5" s="168" t="s">
        <v>18</v>
      </c>
      <c r="E5" s="169" t="s">
        <v>17</v>
      </c>
      <c r="G5" s="1" t="s">
        <v>28</v>
      </c>
      <c r="H5" s="110" t="str">
        <f>C5&amp;D5&amp;E5&amp;C6&amp;D6&amp;E6&amp;C7&amp;D7&amp;E7</f>
        <v>〇×〇×〇×--〇</v>
      </c>
      <c r="J5" s="176">
        <v>0</v>
      </c>
      <c r="K5" s="177">
        <v>1</v>
      </c>
      <c r="L5" s="178">
        <v>2</v>
      </c>
      <c r="P5" s="69">
        <v>0</v>
      </c>
      <c r="Q5" s="47">
        <f>VLOOKUP(C5,cvt!$A$2:$B$4,2,FALSE)</f>
        <v>1</v>
      </c>
      <c r="R5" s="32">
        <f>VLOOKUP(D5,cvt!$A$2:$B$4,2,FALSE)</f>
        <v>-1</v>
      </c>
      <c r="S5" s="35">
        <f>VLOOKUP(E5,cvt!$A$2:$B$4,2,FALSE)</f>
        <v>1</v>
      </c>
      <c r="U5" s="235" t="s">
        <v>71</v>
      </c>
      <c r="V5" s="78" t="b">
        <f>OR(SUM(Q5:S5)=3,SUM(Q6:S6)=3,SUM(Q7:S7)=3,
SUM(Q5:Q7)=3,SUM(R5:R7)=3,SUM(S5:S7)=3,
(Q5+R6+S7)=3,(Q7+R6+S5)=3)</f>
        <v>1</v>
      </c>
    </row>
    <row r="6" spans="1:22" ht="18" thickBot="1">
      <c r="B6" s="221">
        <v>1</v>
      </c>
      <c r="C6" s="170" t="s">
        <v>18</v>
      </c>
      <c r="D6" s="171" t="s">
        <v>17</v>
      </c>
      <c r="E6" s="172" t="s">
        <v>18</v>
      </c>
      <c r="G6" s="1" t="s">
        <v>59</v>
      </c>
      <c r="H6" s="166">
        <v>4</v>
      </c>
      <c r="J6" s="179">
        <v>3</v>
      </c>
      <c r="K6" s="180">
        <v>4</v>
      </c>
      <c r="L6" s="181">
        <v>5</v>
      </c>
      <c r="P6" s="221">
        <v>1</v>
      </c>
      <c r="Q6" s="22">
        <f>VLOOKUP(C6,cvt!$A$2:$B$4,2,FALSE)</f>
        <v>-1</v>
      </c>
      <c r="R6" s="7">
        <f>VLOOKUP(D6,cvt!$A$2:$B$4,2,FALSE)</f>
        <v>1</v>
      </c>
      <c r="S6" s="42">
        <f>VLOOKUP(E6,cvt!$A$2:$B$4,2,FALSE)</f>
        <v>-1</v>
      </c>
      <c r="U6" s="236" t="s">
        <v>70</v>
      </c>
      <c r="V6" s="87" t="b">
        <f>OR(SUM(Q5:S5)=-3,SUM(Q6:S6)=-3,SUM(Q7:S7)=-3,
SUM(Q5:Q7)=-3,SUM(R5:R7)=-3,SUM(S5:S7)=-3,
(Q5+R6+S7)=-3,(Q7+R6+S5)=-3)</f>
        <v>0</v>
      </c>
    </row>
    <row r="7" spans="1:22" ht="18" thickBot="1">
      <c r="B7" s="237">
        <v>2</v>
      </c>
      <c r="C7" s="173" t="s">
        <v>19</v>
      </c>
      <c r="D7" s="174" t="s">
        <v>19</v>
      </c>
      <c r="E7" s="175" t="s">
        <v>17</v>
      </c>
      <c r="G7" s="1" t="s">
        <v>0</v>
      </c>
      <c r="H7" s="96" t="b">
        <f>$V$4</f>
        <v>1</v>
      </c>
      <c r="J7" s="182">
        <v>6</v>
      </c>
      <c r="K7" s="183">
        <v>7</v>
      </c>
      <c r="L7" s="184">
        <v>8</v>
      </c>
      <c r="P7" s="237">
        <v>2</v>
      </c>
      <c r="Q7" s="234">
        <f>VLOOKUP(C7,cvt!$A$2:$B$4,2,FALSE)</f>
        <v>0</v>
      </c>
      <c r="R7" s="23">
        <f>VLOOKUP(D7,cvt!$A$2:$B$4,2,FALSE)</f>
        <v>0</v>
      </c>
      <c r="S7" s="46">
        <f>VLOOKUP(E7,cvt!$A$2:$B$4,2,FALSE)</f>
        <v>1</v>
      </c>
      <c r="U7" s="74" t="s">
        <v>89</v>
      </c>
      <c r="V7" s="110">
        <f>IF(V5,1,IF(V6,-1,0))</f>
        <v>1</v>
      </c>
    </row>
    <row r="8" spans="1:22" ht="18" thickBot="1">
      <c r="G8" s="1" t="s">
        <v>89</v>
      </c>
      <c r="H8" s="110">
        <f>$V$7</f>
        <v>1</v>
      </c>
    </row>
    <row r="10" spans="1:22" ht="18" thickBot="1">
      <c r="P10" s="13" t="s">
        <v>90</v>
      </c>
    </row>
    <row r="11" spans="1:22" ht="18" thickBot="1">
      <c r="B11" s="13" t="s">
        <v>60</v>
      </c>
      <c r="R11" s="110">
        <f>MATCH(TRUE,R12:R21,FALSE)</f>
        <v>10</v>
      </c>
    </row>
    <row r="12" spans="1:22" ht="18" thickBot="1">
      <c r="B12" s="110" t="str">
        <f>VLOOKUP(P4*-1,cvt!B2:C4,2,FALSE)</f>
        <v>〇</v>
      </c>
      <c r="C12" s="75">
        <v>0</v>
      </c>
      <c r="D12" s="76">
        <v>1</v>
      </c>
      <c r="E12" s="77">
        <v>2</v>
      </c>
      <c r="P12" s="274">
        <v>0</v>
      </c>
      <c r="Q12" s="32">
        <f ca="1">OFFSET($Q$5,ROUNDDOWN(P12/3,0),MOD(P12,3))</f>
        <v>1</v>
      </c>
      <c r="R12" s="240" t="b">
        <f t="shared" ref="R12:R20" si="0">IF($V$4=TRUE, FALSE, IF(Q12=0,TRUE,FALSE))</f>
        <v>0</v>
      </c>
      <c r="S12" s="35">
        <f t="shared" ref="S12:S21" si="1">IF(R12=TRUE,P12,$R$11-1)</f>
        <v>9</v>
      </c>
    </row>
    <row r="13" spans="1:22" ht="18" thickBot="1">
      <c r="B13" s="69">
        <v>0</v>
      </c>
      <c r="C13" s="157" t="str">
        <f>IF(J5=$H$6,$B$4,C5)</f>
        <v>〇</v>
      </c>
      <c r="D13" s="158" t="str">
        <f t="shared" ref="C13:E15" si="2">IF(K5=$H$6,$B$4,D5)</f>
        <v>×</v>
      </c>
      <c r="E13" s="159" t="str">
        <f t="shared" si="2"/>
        <v>〇</v>
      </c>
      <c r="G13" s="1" t="s">
        <v>28</v>
      </c>
      <c r="H13" s="110" t="str">
        <f>C13&amp;D13&amp;E13&amp;C14&amp;D14&amp;E14&amp;C15&amp;D15&amp;E15</f>
        <v>〇×〇×××--〇</v>
      </c>
      <c r="J13" s="176">
        <v>0</v>
      </c>
      <c r="K13" s="177">
        <v>1</v>
      </c>
      <c r="L13" s="178">
        <v>2</v>
      </c>
      <c r="P13" s="221">
        <v>1</v>
      </c>
      <c r="Q13" s="7">
        <f t="shared" ref="Q13:Q20" ca="1" si="3">OFFSET($Q$5,ROUNDDOWN(P13/3,0),MOD(P13,3))</f>
        <v>-1</v>
      </c>
      <c r="R13" s="215" t="b">
        <f t="shared" si="0"/>
        <v>0</v>
      </c>
      <c r="S13" s="42">
        <f t="shared" si="1"/>
        <v>9</v>
      </c>
    </row>
    <row r="14" spans="1:22">
      <c r="B14" s="221">
        <v>1</v>
      </c>
      <c r="C14" s="160" t="str">
        <f t="shared" si="2"/>
        <v>×</v>
      </c>
      <c r="D14" s="161" t="str">
        <f t="shared" si="2"/>
        <v>×</v>
      </c>
      <c r="E14" s="162" t="str">
        <f t="shared" si="2"/>
        <v>×</v>
      </c>
      <c r="J14" s="179">
        <v>3</v>
      </c>
      <c r="K14" s="180">
        <v>4</v>
      </c>
      <c r="L14" s="181">
        <v>5</v>
      </c>
      <c r="P14" s="221">
        <v>2</v>
      </c>
      <c r="Q14" s="7">
        <f t="shared" ca="1" si="3"/>
        <v>1</v>
      </c>
      <c r="R14" s="215" t="b">
        <f t="shared" si="0"/>
        <v>0</v>
      </c>
      <c r="S14" s="42">
        <f t="shared" si="1"/>
        <v>9</v>
      </c>
    </row>
    <row r="15" spans="1:22" ht="18" thickBot="1">
      <c r="B15" s="237">
        <v>2</v>
      </c>
      <c r="C15" s="163" t="str">
        <f t="shared" si="2"/>
        <v>-</v>
      </c>
      <c r="D15" s="164" t="str">
        <f t="shared" si="2"/>
        <v>-</v>
      </c>
      <c r="E15" s="165" t="str">
        <f t="shared" si="2"/>
        <v>〇</v>
      </c>
      <c r="J15" s="182">
        <v>6</v>
      </c>
      <c r="K15" s="183">
        <v>7</v>
      </c>
      <c r="L15" s="184">
        <v>8</v>
      </c>
      <c r="P15" s="71">
        <v>3</v>
      </c>
      <c r="Q15" s="11">
        <f t="shared" ca="1" si="3"/>
        <v>-1</v>
      </c>
      <c r="R15" s="238" t="b">
        <f t="shared" si="0"/>
        <v>0</v>
      </c>
      <c r="S15" s="40">
        <f t="shared" si="1"/>
        <v>9</v>
      </c>
    </row>
    <row r="16" spans="1:22">
      <c r="P16" s="221">
        <v>4</v>
      </c>
      <c r="Q16" s="7">
        <f t="shared" ca="1" si="3"/>
        <v>1</v>
      </c>
      <c r="R16" s="215" t="b">
        <f t="shared" si="0"/>
        <v>0</v>
      </c>
      <c r="S16" s="42">
        <f t="shared" si="1"/>
        <v>9</v>
      </c>
    </row>
    <row r="17" spans="16:19">
      <c r="P17" s="70">
        <v>5</v>
      </c>
      <c r="Q17" s="9">
        <f t="shared" ca="1" si="3"/>
        <v>-1</v>
      </c>
      <c r="R17" s="239" t="b">
        <f t="shared" si="0"/>
        <v>0</v>
      </c>
      <c r="S17" s="37">
        <f t="shared" si="1"/>
        <v>9</v>
      </c>
    </row>
    <row r="18" spans="16:19">
      <c r="P18" s="221">
        <v>6</v>
      </c>
      <c r="Q18" s="7">
        <f t="shared" ca="1" si="3"/>
        <v>0</v>
      </c>
      <c r="R18" s="215" t="b">
        <f t="shared" si="0"/>
        <v>0</v>
      </c>
      <c r="S18" s="42">
        <f t="shared" si="1"/>
        <v>9</v>
      </c>
    </row>
    <row r="19" spans="16:19">
      <c r="P19" s="221">
        <v>7</v>
      </c>
      <c r="Q19" s="7">
        <f t="shared" ca="1" si="3"/>
        <v>0</v>
      </c>
      <c r="R19" s="215" t="b">
        <f t="shared" si="0"/>
        <v>0</v>
      </c>
      <c r="S19" s="42">
        <f t="shared" si="1"/>
        <v>9</v>
      </c>
    </row>
    <row r="20" spans="16:19" ht="18" thickBot="1">
      <c r="P20" s="237">
        <v>8</v>
      </c>
      <c r="Q20" s="23">
        <f t="shared" ca="1" si="3"/>
        <v>1</v>
      </c>
      <c r="R20" s="241" t="b">
        <f t="shared" si="0"/>
        <v>0</v>
      </c>
      <c r="S20" s="46">
        <f t="shared" si="1"/>
        <v>9</v>
      </c>
    </row>
    <row r="21" spans="16:19" ht="18" thickBot="1">
      <c r="P21" s="237">
        <v>9</v>
      </c>
      <c r="Q21" s="94"/>
      <c r="R21" s="241" t="b">
        <f>NOT(OR(R12:R20))</f>
        <v>1</v>
      </c>
      <c r="S21" s="46">
        <f t="shared" si="1"/>
        <v>9</v>
      </c>
    </row>
  </sheetData>
  <phoneticPr fontId="2"/>
  <dataValidations count="2">
    <dataValidation type="list" allowBlank="1" showInputMessage="1" showErrorMessage="1" sqref="M10" xr:uid="{693019FE-1B9A-4AB6-829D-D36975B2798A}">
      <formula1>$P$11:$P$16</formula1>
    </dataValidation>
    <dataValidation type="list" allowBlank="1" showInputMessage="1" showErrorMessage="1" sqref="H6" xr:uid="{2B644981-2EBB-4EFD-B7F9-FB73C7DA00EE}">
      <formula1>$S$12:$S$21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[0]!initialize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_xludf.step">
                <anchor moveWithCells="1" siz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step_Random">
                <anchor moveWithCells="1" siz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step_AlphaZero">
                <anchor moveWithCells="1" siz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BF900-8FCE-477C-AE92-F259C4DB0D61}">
  <sheetPr codeName="Sheet8">
    <tabColor theme="5" tint="-0.499984740745262"/>
  </sheetPr>
  <dimension ref="A1:G13"/>
  <sheetViews>
    <sheetView workbookViewId="0">
      <selection activeCell="H5" sqref="H5"/>
    </sheetView>
  </sheetViews>
  <sheetFormatPr defaultColWidth="9" defaultRowHeight="17.649999999999999"/>
  <cols>
    <col min="1" max="1" width="2.5" style="1" customWidth="1"/>
    <col min="2" max="16384" width="9" style="1"/>
  </cols>
  <sheetData>
    <row r="1" spans="1:7" s="253" customFormat="1" ht="26.25" thickBot="1">
      <c r="A1" s="252" t="s">
        <v>75</v>
      </c>
      <c r="F1" s="404"/>
    </row>
    <row r="2" spans="1:7" ht="18" thickBot="1">
      <c r="F2" s="110" t="s">
        <v>113</v>
      </c>
    </row>
    <row r="3" spans="1:7" ht="18" thickBot="1">
      <c r="B3" s="110" t="s">
        <v>79</v>
      </c>
      <c r="C3" s="69" t="s">
        <v>78</v>
      </c>
      <c r="D3" s="110">
        <f>SUM(D4:D13)</f>
        <v>1</v>
      </c>
      <c r="E3" s="110" t="s">
        <v>80</v>
      </c>
      <c r="F3" s="405">
        <v>0</v>
      </c>
      <c r="G3" s="254">
        <f ca="1">RAND()*0.999</f>
        <v>0.45508947450778531</v>
      </c>
    </row>
    <row r="4" spans="1:7" ht="18" thickBot="1">
      <c r="B4" s="47">
        <v>0</v>
      </c>
      <c r="C4" s="258" t="b">
        <f>IO!$R12</f>
        <v>0</v>
      </c>
      <c r="D4" s="69">
        <f>IF(C4=TRUE,1,0)</f>
        <v>0</v>
      </c>
      <c r="E4" s="127">
        <f>D4/$D$3</f>
        <v>0</v>
      </c>
      <c r="F4" s="255">
        <f t="shared" ref="F4:F13" si="0">F3+E4</f>
        <v>0</v>
      </c>
      <c r="G4" s="261">
        <f ca="1">MATCH(G3,F3:F13,1)-1</f>
        <v>9</v>
      </c>
    </row>
    <row r="5" spans="1:7">
      <c r="B5" s="22">
        <f>B4+1</f>
        <v>1</v>
      </c>
      <c r="C5" s="259" t="b">
        <f>IO!$R13</f>
        <v>0</v>
      </c>
      <c r="D5" s="221">
        <f t="shared" ref="D5:D13" si="1">IF(C5=TRUE,1,0)</f>
        <v>0</v>
      </c>
      <c r="E5" s="130">
        <f t="shared" ref="E5:E13" si="2">D5/$D$3</f>
        <v>0</v>
      </c>
      <c r="F5" s="255">
        <f t="shared" si="0"/>
        <v>0</v>
      </c>
    </row>
    <row r="6" spans="1:7">
      <c r="B6" s="22">
        <f t="shared" ref="B6:B13" si="3">B5+1</f>
        <v>2</v>
      </c>
      <c r="C6" s="259" t="b">
        <f>IO!$R14</f>
        <v>0</v>
      </c>
      <c r="D6" s="221">
        <f t="shared" si="1"/>
        <v>0</v>
      </c>
      <c r="E6" s="130">
        <f t="shared" si="2"/>
        <v>0</v>
      </c>
      <c r="F6" s="255">
        <f t="shared" si="0"/>
        <v>0</v>
      </c>
    </row>
    <row r="7" spans="1:7">
      <c r="B7" s="22">
        <f t="shared" si="3"/>
        <v>3</v>
      </c>
      <c r="C7" s="259" t="b">
        <f>IO!$R15</f>
        <v>0</v>
      </c>
      <c r="D7" s="221">
        <f t="shared" si="1"/>
        <v>0</v>
      </c>
      <c r="E7" s="130">
        <f t="shared" si="2"/>
        <v>0</v>
      </c>
      <c r="F7" s="255">
        <f t="shared" si="0"/>
        <v>0</v>
      </c>
    </row>
    <row r="8" spans="1:7">
      <c r="B8" s="22">
        <f t="shared" si="3"/>
        <v>4</v>
      </c>
      <c r="C8" s="259" t="b">
        <f>IO!$R16</f>
        <v>0</v>
      </c>
      <c r="D8" s="221">
        <f t="shared" si="1"/>
        <v>0</v>
      </c>
      <c r="E8" s="130">
        <f t="shared" si="2"/>
        <v>0</v>
      </c>
      <c r="F8" s="255">
        <f t="shared" si="0"/>
        <v>0</v>
      </c>
    </row>
    <row r="9" spans="1:7">
      <c r="B9" s="22">
        <f t="shared" si="3"/>
        <v>5</v>
      </c>
      <c r="C9" s="259" t="b">
        <f>IO!$R17</f>
        <v>0</v>
      </c>
      <c r="D9" s="221">
        <f t="shared" si="1"/>
        <v>0</v>
      </c>
      <c r="E9" s="130">
        <f t="shared" si="2"/>
        <v>0</v>
      </c>
      <c r="F9" s="255">
        <f t="shared" si="0"/>
        <v>0</v>
      </c>
    </row>
    <row r="10" spans="1:7">
      <c r="B10" s="22">
        <f t="shared" si="3"/>
        <v>6</v>
      </c>
      <c r="C10" s="259" t="b">
        <f>IO!$R18</f>
        <v>0</v>
      </c>
      <c r="D10" s="221">
        <f t="shared" si="1"/>
        <v>0</v>
      </c>
      <c r="E10" s="130">
        <f t="shared" si="2"/>
        <v>0</v>
      </c>
      <c r="F10" s="255">
        <f t="shared" si="0"/>
        <v>0</v>
      </c>
    </row>
    <row r="11" spans="1:7">
      <c r="B11" s="22">
        <f t="shared" si="3"/>
        <v>7</v>
      </c>
      <c r="C11" s="259" t="b">
        <f>IO!$R19</f>
        <v>0</v>
      </c>
      <c r="D11" s="221">
        <f t="shared" si="1"/>
        <v>0</v>
      </c>
      <c r="E11" s="130">
        <f t="shared" si="2"/>
        <v>0</v>
      </c>
      <c r="F11" s="255">
        <f t="shared" si="0"/>
        <v>0</v>
      </c>
    </row>
    <row r="12" spans="1:7" ht="18" thickBot="1">
      <c r="B12" s="22">
        <f t="shared" si="3"/>
        <v>8</v>
      </c>
      <c r="C12" s="260" t="b">
        <f>IO!$R20</f>
        <v>0</v>
      </c>
      <c r="D12" s="221">
        <f t="shared" si="1"/>
        <v>0</v>
      </c>
      <c r="E12" s="130">
        <f t="shared" si="2"/>
        <v>0</v>
      </c>
      <c r="F12" s="255">
        <f t="shared" si="0"/>
        <v>0</v>
      </c>
    </row>
    <row r="13" spans="1:7" ht="18" thickBot="1">
      <c r="B13" s="75">
        <f t="shared" si="3"/>
        <v>9</v>
      </c>
      <c r="C13" s="260" t="b">
        <f>IO!$R21</f>
        <v>1</v>
      </c>
      <c r="D13" s="110">
        <f t="shared" si="1"/>
        <v>1</v>
      </c>
      <c r="E13" s="256">
        <f t="shared" si="2"/>
        <v>1</v>
      </c>
      <c r="F13" s="257">
        <f t="shared" si="0"/>
        <v>1</v>
      </c>
    </row>
  </sheetData>
  <phoneticPr fontId="2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5BBD8-ABEA-4883-9895-CCF6E87222D4}">
  <sheetPr codeName="Sheet7">
    <tabColor rgb="FFFF0000"/>
  </sheetPr>
  <dimension ref="A1:X21"/>
  <sheetViews>
    <sheetView workbookViewId="0">
      <selection activeCell="D12" sqref="D12"/>
    </sheetView>
  </sheetViews>
  <sheetFormatPr defaultColWidth="8.8125" defaultRowHeight="17.649999999999999"/>
  <cols>
    <col min="1" max="2" width="2.5" customWidth="1"/>
    <col min="3" max="3" width="14.8125" bestFit="1" customWidth="1"/>
    <col min="4" max="27" width="6.1875" customWidth="1"/>
  </cols>
  <sheetData>
    <row r="1" spans="1:15" s="243" customFormat="1" ht="26.25" thickBot="1">
      <c r="A1" s="242" t="s">
        <v>76</v>
      </c>
    </row>
    <row r="2" spans="1:15">
      <c r="B2" s="126" t="s">
        <v>82</v>
      </c>
    </row>
    <row r="3" spans="1:15" ht="18" thickBot="1">
      <c r="C3" s="126" t="s">
        <v>73</v>
      </c>
    </row>
    <row r="4" spans="1:15" ht="18" thickBot="1">
      <c r="C4" s="72" t="s">
        <v>101</v>
      </c>
      <c r="D4" s="408">
        <v>1</v>
      </c>
      <c r="E4" t="s">
        <v>74</v>
      </c>
    </row>
    <row r="6" spans="1:15">
      <c r="B6" s="126" t="s">
        <v>77</v>
      </c>
    </row>
    <row r="7" spans="1:15" ht="18" thickBot="1">
      <c r="B7" s="126"/>
      <c r="C7" s="126" t="s">
        <v>84</v>
      </c>
    </row>
    <row r="8" spans="1:15" ht="18" thickBot="1">
      <c r="C8" s="62" t="s">
        <v>83</v>
      </c>
      <c r="D8" s="231">
        <v>0</v>
      </c>
      <c r="E8" s="268">
        <f>D8+1</f>
        <v>1</v>
      </c>
      <c r="F8" s="268">
        <f t="shared" ref="F8:M8" si="0">E8+1</f>
        <v>2</v>
      </c>
      <c r="G8" s="268">
        <f t="shared" si="0"/>
        <v>3</v>
      </c>
      <c r="H8" s="268">
        <f t="shared" si="0"/>
        <v>4</v>
      </c>
      <c r="I8" s="268">
        <f t="shared" si="0"/>
        <v>5</v>
      </c>
      <c r="J8" s="268">
        <f t="shared" si="0"/>
        <v>6</v>
      </c>
      <c r="K8" s="268">
        <f t="shared" si="0"/>
        <v>7</v>
      </c>
      <c r="L8" s="356">
        <f t="shared" si="0"/>
        <v>8</v>
      </c>
      <c r="M8" s="35">
        <f t="shared" si="0"/>
        <v>9</v>
      </c>
    </row>
    <row r="9" spans="1:15" ht="18" thickBot="1">
      <c r="C9" s="62" t="s">
        <v>98</v>
      </c>
      <c r="D9" s="359">
        <f>MCTS!AS$10</f>
        <v>0</v>
      </c>
      <c r="E9" s="360">
        <f>MCTS!AT$10</f>
        <v>0</v>
      </c>
      <c r="F9" s="360">
        <f>MCTS!AU$10</f>
        <v>0</v>
      </c>
      <c r="G9" s="360">
        <f>MCTS!AV$10</f>
        <v>0</v>
      </c>
      <c r="H9" s="360">
        <f>MCTS!AW$10</f>
        <v>0</v>
      </c>
      <c r="I9" s="360">
        <f>MCTS!AX$10</f>
        <v>0</v>
      </c>
      <c r="J9" s="360">
        <f>MCTS!AY$10</f>
        <v>0</v>
      </c>
      <c r="K9" s="360">
        <f>MCTS!AZ$10</f>
        <v>0</v>
      </c>
      <c r="L9" s="358">
        <f>MCTS!BA$10</f>
        <v>0</v>
      </c>
      <c r="M9" s="358">
        <f>MCTS!BB$10</f>
        <v>1</v>
      </c>
    </row>
    <row r="10" spans="1:15" ht="18" thickBot="1">
      <c r="C10" s="72" t="s">
        <v>9</v>
      </c>
      <c r="D10" s="361">
        <f ca="1">MCTS!CP$3</f>
        <v>0</v>
      </c>
      <c r="E10" s="362">
        <f ca="1">MCTS!CQ$3</f>
        <v>0</v>
      </c>
      <c r="F10" s="362">
        <f ca="1">MCTS!CR$3</f>
        <v>0</v>
      </c>
      <c r="G10" s="362">
        <f ca="1">MCTS!CS$3</f>
        <v>0</v>
      </c>
      <c r="H10" s="362">
        <f ca="1">MCTS!CT$3</f>
        <v>0</v>
      </c>
      <c r="I10" s="362">
        <f ca="1">MCTS!CU$3</f>
        <v>0</v>
      </c>
      <c r="J10" s="362">
        <f ca="1">MCTS!CV$3</f>
        <v>0</v>
      </c>
      <c r="K10" s="362">
        <f ca="1">MCTS!CW$3</f>
        <v>0</v>
      </c>
      <c r="L10" s="363">
        <f ca="1">MCTS!CX$3</f>
        <v>0</v>
      </c>
      <c r="M10" s="363">
        <f ca="1">MCTS!CY$3</f>
        <v>134</v>
      </c>
      <c r="N10" s="352">
        <f ca="1">MATCH(MAX(D10:M10),D10:M10,FALSE)-1</f>
        <v>9</v>
      </c>
      <c r="O10" t="s">
        <v>100</v>
      </c>
    </row>
    <row r="11" spans="1:15" ht="19.5" thickBot="1">
      <c r="C11" s="72" t="s">
        <v>97</v>
      </c>
      <c r="D11" s="354">
        <f t="shared" ref="D11:M11" ca="1" si="1">IF(_tau=0, IF(D8=$N$10,1,0), D10^(1/_tau))</f>
        <v>0</v>
      </c>
      <c r="E11" s="346">
        <f t="shared" ca="1" si="1"/>
        <v>0</v>
      </c>
      <c r="F11" s="346">
        <f t="shared" ca="1" si="1"/>
        <v>0</v>
      </c>
      <c r="G11" s="346">
        <f t="shared" ca="1" si="1"/>
        <v>0</v>
      </c>
      <c r="H11" s="346">
        <f t="shared" ca="1" si="1"/>
        <v>0</v>
      </c>
      <c r="I11" s="346">
        <f t="shared" ca="1" si="1"/>
        <v>0</v>
      </c>
      <c r="J11" s="346">
        <f t="shared" ca="1" si="1"/>
        <v>0</v>
      </c>
      <c r="K11" s="346">
        <f t="shared" ca="1" si="1"/>
        <v>0</v>
      </c>
      <c r="L11" s="353">
        <f t="shared" ca="1" si="1"/>
        <v>0</v>
      </c>
      <c r="M11" s="353">
        <f t="shared" ca="1" si="1"/>
        <v>134</v>
      </c>
      <c r="N11" s="355">
        <f ca="1">SUM(D11:M11)</f>
        <v>134</v>
      </c>
      <c r="O11" t="s">
        <v>96</v>
      </c>
    </row>
    <row r="12" spans="1:15" ht="18" thickBot="1">
      <c r="C12" s="365" t="s">
        <v>99</v>
      </c>
      <c r="D12" s="366">
        <f ca="1">D11/$N$11</f>
        <v>0</v>
      </c>
      <c r="E12" s="367">
        <f t="shared" ref="E12:M12" ca="1" si="2">E11/$N$11</f>
        <v>0</v>
      </c>
      <c r="F12" s="367">
        <f t="shared" ca="1" si="2"/>
        <v>0</v>
      </c>
      <c r="G12" s="367">
        <f t="shared" ca="1" si="2"/>
        <v>0</v>
      </c>
      <c r="H12" s="367">
        <f t="shared" ca="1" si="2"/>
        <v>0</v>
      </c>
      <c r="I12" s="367">
        <f t="shared" ca="1" si="2"/>
        <v>0</v>
      </c>
      <c r="J12" s="367">
        <f t="shared" ca="1" si="2"/>
        <v>0</v>
      </c>
      <c r="K12" s="367">
        <f t="shared" ca="1" si="2"/>
        <v>0</v>
      </c>
      <c r="L12" s="368">
        <f t="shared" ca="1" si="2"/>
        <v>0</v>
      </c>
      <c r="M12" s="368">
        <f t="shared" ca="1" si="2"/>
        <v>1</v>
      </c>
    </row>
    <row r="13" spans="1:15" ht="18" thickBot="1">
      <c r="C13" s="406">
        <v>0</v>
      </c>
      <c r="D13" s="406">
        <f ca="1">D12</f>
        <v>0</v>
      </c>
      <c r="E13" s="357">
        <f ca="1">D13+E12</f>
        <v>0</v>
      </c>
      <c r="F13" s="357">
        <f t="shared" ref="F13:M13" ca="1" si="3">E13+F12</f>
        <v>0</v>
      </c>
      <c r="G13" s="357">
        <f t="shared" ca="1" si="3"/>
        <v>0</v>
      </c>
      <c r="H13" s="357">
        <f t="shared" ca="1" si="3"/>
        <v>0</v>
      </c>
      <c r="I13" s="357">
        <f t="shared" ca="1" si="3"/>
        <v>0</v>
      </c>
      <c r="J13" s="357">
        <f t="shared" ca="1" si="3"/>
        <v>0</v>
      </c>
      <c r="K13" s="357">
        <f t="shared" ca="1" si="3"/>
        <v>0</v>
      </c>
      <c r="L13" s="364">
        <f t="shared" ca="1" si="3"/>
        <v>0</v>
      </c>
      <c r="M13" s="364">
        <f t="shared" ca="1" si="3"/>
        <v>1</v>
      </c>
      <c r="N13" s="110" t="s">
        <v>113</v>
      </c>
    </row>
    <row r="14" spans="1:15" ht="19.5" thickBot="1">
      <c r="C14" s="365" t="s">
        <v>102</v>
      </c>
      <c r="D14" s="369">
        <f ca="1">MATCH(E14,C13:M13,1)-1</f>
        <v>9</v>
      </c>
      <c r="E14" s="347">
        <f ca="1">RAND()*0.999</f>
        <v>0.27311454411077579</v>
      </c>
      <c r="F14" s="351"/>
      <c r="G14" s="351"/>
      <c r="H14" s="351"/>
      <c r="I14" s="351"/>
      <c r="J14" s="351"/>
      <c r="K14" s="351"/>
      <c r="L14" s="351"/>
      <c r="M14" s="351"/>
    </row>
    <row r="15" spans="1:15">
      <c r="D15" s="351"/>
      <c r="E15" s="351"/>
      <c r="F15" s="351"/>
      <c r="G15" s="351"/>
      <c r="H15" s="351"/>
      <c r="I15" s="351"/>
      <c r="J15" s="351"/>
      <c r="K15" s="351"/>
      <c r="L15" s="351"/>
      <c r="M15" s="351"/>
    </row>
    <row r="17" spans="3:24" ht="18" thickBot="1">
      <c r="C17" s="126" t="s">
        <v>85</v>
      </c>
    </row>
    <row r="18" spans="3:24" ht="19.5" thickBot="1">
      <c r="E18" s="7" t="s">
        <v>105</v>
      </c>
      <c r="F18" s="72" t="s">
        <v>118</v>
      </c>
      <c r="G18" s="230"/>
      <c r="H18" s="230"/>
      <c r="I18" s="230"/>
      <c r="J18" s="230"/>
      <c r="K18" s="230"/>
      <c r="L18" s="230"/>
      <c r="M18" s="230"/>
      <c r="N18" s="73"/>
      <c r="O18" s="72" t="s">
        <v>88</v>
      </c>
      <c r="P18" s="230"/>
      <c r="Q18" s="230"/>
      <c r="R18" s="230"/>
      <c r="S18" s="230"/>
      <c r="T18" s="230"/>
      <c r="U18" s="230"/>
      <c r="V18" s="230"/>
      <c r="W18" s="230"/>
      <c r="X18" s="73"/>
    </row>
    <row r="19" spans="3:24" ht="18" thickBot="1">
      <c r="C19" s="69" t="s">
        <v>86</v>
      </c>
      <c r="D19" s="47" t="s">
        <v>58</v>
      </c>
      <c r="E19" s="69" t="s">
        <v>87</v>
      </c>
      <c r="F19" s="47">
        <v>0</v>
      </c>
      <c r="G19" s="32">
        <f>F19+1</f>
        <v>1</v>
      </c>
      <c r="H19" s="32">
        <f t="shared" ref="H19:N19" si="4">G19+1</f>
        <v>2</v>
      </c>
      <c r="I19" s="32">
        <f t="shared" si="4"/>
        <v>3</v>
      </c>
      <c r="J19" s="32">
        <f t="shared" si="4"/>
        <v>4</v>
      </c>
      <c r="K19" s="32">
        <f t="shared" si="4"/>
        <v>5</v>
      </c>
      <c r="L19" s="32">
        <f t="shared" si="4"/>
        <v>6</v>
      </c>
      <c r="M19" s="32">
        <f t="shared" si="4"/>
        <v>7</v>
      </c>
      <c r="N19" s="35">
        <f t="shared" si="4"/>
        <v>8</v>
      </c>
      <c r="O19" s="47">
        <v>0</v>
      </c>
      <c r="P19" s="32">
        <f>O19+1</f>
        <v>1</v>
      </c>
      <c r="Q19" s="32">
        <f t="shared" ref="Q19:W19" si="5">P19+1</f>
        <v>2</v>
      </c>
      <c r="R19" s="32">
        <f t="shared" si="5"/>
        <v>3</v>
      </c>
      <c r="S19" s="32">
        <f t="shared" si="5"/>
        <v>4</v>
      </c>
      <c r="T19" s="32">
        <f t="shared" si="5"/>
        <v>5</v>
      </c>
      <c r="U19" s="32">
        <f t="shared" si="5"/>
        <v>6</v>
      </c>
      <c r="V19" s="32">
        <f t="shared" si="5"/>
        <v>7</v>
      </c>
      <c r="W19" s="32">
        <f t="shared" si="5"/>
        <v>8</v>
      </c>
      <c r="X19" s="69">
        <v>9</v>
      </c>
    </row>
    <row r="20" spans="3:24" ht="18.399999999999999" thickTop="1" thickBot="1">
      <c r="C20" s="370">
        <f ca="1">RAND()</f>
        <v>5.5825183583529059E-2</v>
      </c>
      <c r="D20" s="371">
        <f>MCTS!$I$10</f>
        <v>-1</v>
      </c>
      <c r="E20" s="372">
        <v>0</v>
      </c>
      <c r="F20" s="373">
        <f>MCTS!S10 * $D20</f>
        <v>-1</v>
      </c>
      <c r="G20" s="374">
        <f>MCTS!T10 * $D20</f>
        <v>1</v>
      </c>
      <c r="H20" s="374">
        <f>MCTS!U10 * $D20</f>
        <v>-1</v>
      </c>
      <c r="I20" s="374">
        <f>MCTS!V10 * $D20</f>
        <v>1</v>
      </c>
      <c r="J20" s="374">
        <f>MCTS!W10 * $D20</f>
        <v>-1</v>
      </c>
      <c r="K20" s="374">
        <f>MCTS!X10 * $D20</f>
        <v>1</v>
      </c>
      <c r="L20" s="374">
        <f>MCTS!Y10 * $D20</f>
        <v>0</v>
      </c>
      <c r="M20" s="374">
        <f>MCTS!Z10 * $D20</f>
        <v>0</v>
      </c>
      <c r="N20" s="375">
        <f>MCTS!AA10 * $D20</f>
        <v>-1</v>
      </c>
      <c r="O20" s="376">
        <f ca="1">D$12</f>
        <v>0</v>
      </c>
      <c r="P20" s="377">
        <f t="shared" ref="P20:X20" ca="1" si="6">E$12</f>
        <v>0</v>
      </c>
      <c r="Q20" s="377">
        <f t="shared" ca="1" si="6"/>
        <v>0</v>
      </c>
      <c r="R20" s="377">
        <f t="shared" ca="1" si="6"/>
        <v>0</v>
      </c>
      <c r="S20" s="377">
        <f t="shared" ca="1" si="6"/>
        <v>0</v>
      </c>
      <c r="T20" s="377">
        <f t="shared" ca="1" si="6"/>
        <v>0</v>
      </c>
      <c r="U20" s="377">
        <f t="shared" ca="1" si="6"/>
        <v>0</v>
      </c>
      <c r="V20" s="377">
        <f t="shared" ca="1" si="6"/>
        <v>0</v>
      </c>
      <c r="W20" s="377">
        <f t="shared" ca="1" si="6"/>
        <v>0</v>
      </c>
      <c r="X20" s="378">
        <f t="shared" ca="1" si="6"/>
        <v>1</v>
      </c>
    </row>
    <row r="21" spans="3:24" ht="18" thickTop="1"/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B4484-527C-43A9-B99A-6BB0335A70AB}">
  <sheetPr codeName="Sheet3">
    <tabColor rgb="FF7030A0"/>
  </sheetPr>
  <dimension ref="A1:AD21"/>
  <sheetViews>
    <sheetView tabSelected="1" zoomScale="66" zoomScaleNormal="70" workbookViewId="0">
      <selection activeCell="J11" sqref="J11"/>
    </sheetView>
  </sheetViews>
  <sheetFormatPr defaultColWidth="9" defaultRowHeight="17.649999999999999"/>
  <cols>
    <col min="1" max="2" width="2.5" style="1" customWidth="1"/>
    <col min="3" max="3" width="2.1875" style="1" bestFit="1" customWidth="1"/>
    <col min="4" max="4" width="12" style="1" bestFit="1" customWidth="1"/>
    <col min="5" max="13" width="6.5" style="1" bestFit="1" customWidth="1"/>
    <col min="14" max="14" width="9" style="1"/>
    <col min="15" max="15" width="2.1875" style="1" bestFit="1" customWidth="1"/>
    <col min="16" max="21" width="9" style="1" bestFit="1" customWidth="1"/>
    <col min="22" max="22" width="9" style="1"/>
    <col min="23" max="23" width="9" style="1" bestFit="1" customWidth="1"/>
    <col min="24" max="29" width="9" style="1"/>
    <col min="30" max="30" width="13.1875" style="1" bestFit="1" customWidth="1"/>
    <col min="31" max="16384" width="9" style="1"/>
  </cols>
  <sheetData>
    <row r="1" spans="1:30" s="217" customFormat="1" ht="29.25" thickBot="1">
      <c r="A1" s="216" t="s">
        <v>62</v>
      </c>
    </row>
    <row r="2" spans="1:30" ht="18" thickBot="1"/>
    <row r="3" spans="1:30" ht="18" thickBot="1">
      <c r="D3" s="154" t="s">
        <v>55</v>
      </c>
      <c r="E3" s="155">
        <f ca="1">miniBatch!DA7</f>
        <v>91.177806329946137</v>
      </c>
    </row>
    <row r="4" spans="1:30" ht="18" thickBot="1"/>
    <row r="5" spans="1:30" s="93" customFormat="1" ht="18" thickBot="1">
      <c r="A5" s="151"/>
      <c r="B5" s="150" t="s">
        <v>61</v>
      </c>
    </row>
    <row r="6" spans="1:30">
      <c r="A6" s="152"/>
      <c r="D6" s="69" t="s">
        <v>5</v>
      </c>
      <c r="E6" s="32">
        <v>0</v>
      </c>
      <c r="F6" s="32">
        <v>0</v>
      </c>
      <c r="G6" s="32">
        <v>0</v>
      </c>
      <c r="H6" s="32">
        <v>1</v>
      </c>
      <c r="I6" s="32">
        <v>1</v>
      </c>
      <c r="J6" s="32">
        <v>1</v>
      </c>
      <c r="K6" s="32">
        <v>2</v>
      </c>
      <c r="L6" s="32">
        <v>2</v>
      </c>
      <c r="M6" s="35">
        <v>2</v>
      </c>
    </row>
    <row r="7" spans="1:30" ht="18" thickBot="1">
      <c r="A7" s="152"/>
      <c r="D7" s="70" t="s">
        <v>6</v>
      </c>
      <c r="E7" s="9">
        <v>0</v>
      </c>
      <c r="F7" s="9">
        <v>1</v>
      </c>
      <c r="G7" s="9">
        <v>2</v>
      </c>
      <c r="H7" s="9">
        <v>0</v>
      </c>
      <c r="I7" s="9">
        <v>1</v>
      </c>
      <c r="J7" s="9">
        <v>2</v>
      </c>
      <c r="K7" s="9">
        <v>0</v>
      </c>
      <c r="L7" s="9">
        <v>1</v>
      </c>
      <c r="M7" s="37">
        <v>2</v>
      </c>
    </row>
    <row r="8" spans="1:30" ht="18" thickBot="1">
      <c r="A8" s="152"/>
      <c r="D8" s="71" t="s">
        <v>13</v>
      </c>
      <c r="E8" s="11">
        <v>0</v>
      </c>
      <c r="F8" s="11">
        <f>E8+1</f>
        <v>1</v>
      </c>
      <c r="G8" s="11">
        <f t="shared" ref="G8:M8" si="0">F8+1</f>
        <v>2</v>
      </c>
      <c r="H8" s="11">
        <f t="shared" si="0"/>
        <v>3</v>
      </c>
      <c r="I8" s="11">
        <f t="shared" si="0"/>
        <v>4</v>
      </c>
      <c r="J8" s="11">
        <f t="shared" si="0"/>
        <v>5</v>
      </c>
      <c r="K8" s="11">
        <f t="shared" si="0"/>
        <v>6</v>
      </c>
      <c r="L8" s="11">
        <f t="shared" si="0"/>
        <v>7</v>
      </c>
      <c r="M8" s="12">
        <f t="shared" si="0"/>
        <v>8</v>
      </c>
      <c r="Q8" s="47">
        <v>0</v>
      </c>
      <c r="R8" s="32">
        <v>1</v>
      </c>
      <c r="S8" s="32">
        <v>2</v>
      </c>
      <c r="T8" s="32">
        <v>3</v>
      </c>
      <c r="U8" s="35">
        <v>4</v>
      </c>
      <c r="Y8" s="47">
        <v>0</v>
      </c>
      <c r="Z8" s="32">
        <v>1</v>
      </c>
      <c r="AA8" s="32">
        <v>2</v>
      </c>
      <c r="AB8" s="32">
        <v>3</v>
      </c>
      <c r="AC8" s="35">
        <v>4</v>
      </c>
    </row>
    <row r="9" spans="1:30" ht="18" thickTop="1">
      <c r="A9" s="152"/>
      <c r="C9" s="92">
        <v>0</v>
      </c>
      <c r="D9" s="185">
        <v>2.0631558248247021E-3</v>
      </c>
      <c r="E9" s="186">
        <v>2.1202195079878974E-3</v>
      </c>
      <c r="F9" s="186">
        <v>-1.5692124234389978E-3</v>
      </c>
      <c r="G9" s="186">
        <v>-2.1451305505374961E-3</v>
      </c>
      <c r="H9" s="186">
        <v>-1.1865260578950844E-3</v>
      </c>
      <c r="I9" s="186">
        <v>-2.1381894008974931E-3</v>
      </c>
      <c r="J9" s="186">
        <v>-7.095451583313616E-4</v>
      </c>
      <c r="K9" s="186">
        <v>-6.2613233726079498E-4</v>
      </c>
      <c r="L9" s="186">
        <v>2.1532557411294059E-3</v>
      </c>
      <c r="M9" s="187">
        <v>2.130014124992865E-3</v>
      </c>
      <c r="O9" s="92">
        <v>0</v>
      </c>
      <c r="P9" s="193">
        <v>4.619931677499023E-4</v>
      </c>
      <c r="Q9" s="194">
        <v>1.9973629636165289E-3</v>
      </c>
      <c r="R9" s="195">
        <v>-2.0066179713454928E-3</v>
      </c>
      <c r="S9" s="195">
        <v>-2.1450862139451641E-3</v>
      </c>
      <c r="T9" s="195">
        <v>-1.9659794187434601E-3</v>
      </c>
      <c r="U9" s="196">
        <v>2.1366157082533437E-3</v>
      </c>
      <c r="W9" s="92">
        <v>0</v>
      </c>
      <c r="X9" s="185">
        <v>0.4303159624003246</v>
      </c>
      <c r="Y9" s="186">
        <v>1.6841485104404379E-3</v>
      </c>
      <c r="Z9" s="186">
        <v>5.7053223933514492E-4</v>
      </c>
      <c r="AA9" s="186">
        <v>-1.042418218323511E-3</v>
      </c>
      <c r="AB9" s="186">
        <v>1.0485468729607499E-3</v>
      </c>
      <c r="AC9" s="187">
        <v>-1.7635480581920811E-4</v>
      </c>
      <c r="AD9" s="1" t="s">
        <v>11</v>
      </c>
    </row>
    <row r="10" spans="1:30">
      <c r="A10" s="152"/>
      <c r="C10" s="19">
        <v>1</v>
      </c>
      <c r="D10" s="188">
        <v>-8.5204632511575427E-4</v>
      </c>
      <c r="E10" s="84">
        <v>-2.1415372424762155E-3</v>
      </c>
      <c r="F10" s="84">
        <v>2.00953890518665E-3</v>
      </c>
      <c r="G10" s="84">
        <v>-2.0141875643043682E-3</v>
      </c>
      <c r="H10" s="84">
        <v>2.1370727768609556E-3</v>
      </c>
      <c r="I10" s="84">
        <v>-1.3673710186418477E-3</v>
      </c>
      <c r="J10" s="84">
        <v>5.801359021188479E-4</v>
      </c>
      <c r="K10" s="84">
        <v>-2.1396311590626393E-3</v>
      </c>
      <c r="L10" s="84">
        <v>-1.9703474004530443E-3</v>
      </c>
      <c r="M10" s="189">
        <v>2.1631948459975366E-3</v>
      </c>
      <c r="O10" s="19">
        <v>1</v>
      </c>
      <c r="P10" s="197">
        <v>-2.1347049511993774E-3</v>
      </c>
      <c r="Q10" s="86">
        <v>6.9807375606039984E-4</v>
      </c>
      <c r="R10" s="84">
        <v>3.3146665394339454E-4</v>
      </c>
      <c r="S10" s="84">
        <v>2.140160708667386E-3</v>
      </c>
      <c r="T10" s="84">
        <v>-2.1489976722760089E-3</v>
      </c>
      <c r="U10" s="198">
        <v>-1.4920626847773983E-4</v>
      </c>
      <c r="W10" s="19">
        <v>1</v>
      </c>
      <c r="X10" s="188">
        <v>-1.1639149749561729E-5</v>
      </c>
      <c r="Y10" s="84">
        <v>1.6188928660314579E-3</v>
      </c>
      <c r="Z10" s="84">
        <v>-2.1417522045850531E-3</v>
      </c>
      <c r="AA10" s="84">
        <v>-7.52322730052851E-4</v>
      </c>
      <c r="AB10" s="84">
        <v>-9.5958001926291854E-4</v>
      </c>
      <c r="AC10" s="189">
        <v>1.9636479548850111E-3</v>
      </c>
      <c r="AD10" s="1" t="s">
        <v>11</v>
      </c>
    </row>
    <row r="11" spans="1:30">
      <c r="A11" s="152"/>
      <c r="C11" s="19">
        <v>2</v>
      </c>
      <c r="D11" s="188">
        <v>2.154285938296177E-3</v>
      </c>
      <c r="E11" s="84">
        <v>-2.1081663654007555E-3</v>
      </c>
      <c r="F11" s="84">
        <v>1.5583740472728275E-3</v>
      </c>
      <c r="G11" s="84">
        <v>-2.1350302535118417E-3</v>
      </c>
      <c r="H11" s="84">
        <v>-1.9290346487490127E-3</v>
      </c>
      <c r="I11" s="84">
        <v>7.2762522647326546E-4</v>
      </c>
      <c r="J11" s="84">
        <v>-2.0366384172476894E-3</v>
      </c>
      <c r="K11" s="84">
        <v>-2.0963377539276124E-3</v>
      </c>
      <c r="L11" s="84">
        <v>2.0841185316562818E-3</v>
      </c>
      <c r="M11" s="189">
        <v>-4.3262666299188045E-4</v>
      </c>
      <c r="O11" s="19">
        <v>2</v>
      </c>
      <c r="P11" s="197">
        <v>1.2772002550448566E-3</v>
      </c>
      <c r="Q11" s="86">
        <v>-2.1114398056448066E-3</v>
      </c>
      <c r="R11" s="84">
        <v>9.3016683347405861E-4</v>
      </c>
      <c r="S11" s="84">
        <v>-7.8948846402553325E-4</v>
      </c>
      <c r="T11" s="84">
        <v>9.2814060719255257E-4</v>
      </c>
      <c r="U11" s="198">
        <v>9.4519222765845434E-4</v>
      </c>
      <c r="W11" s="19">
        <v>2</v>
      </c>
      <c r="X11" s="188">
        <v>1.5240737383406413E-2</v>
      </c>
      <c r="Y11" s="84">
        <v>-1.5789815085845626E-3</v>
      </c>
      <c r="Z11" s="84">
        <v>-7.0290762217374309E-4</v>
      </c>
      <c r="AA11" s="84">
        <v>-8.5863555854859806E-4</v>
      </c>
      <c r="AB11" s="84">
        <v>1.0844799826690839E-3</v>
      </c>
      <c r="AC11" s="189">
        <v>-4.3905520162436308E-4</v>
      </c>
      <c r="AD11" s="1" t="s">
        <v>11</v>
      </c>
    </row>
    <row r="12" spans="1:30">
      <c r="A12" s="152"/>
      <c r="C12" s="19">
        <v>3</v>
      </c>
      <c r="D12" s="188">
        <v>-2.137573189710678E-3</v>
      </c>
      <c r="E12" s="84">
        <v>2.1521640422207488E-3</v>
      </c>
      <c r="F12" s="84">
        <v>6.652372917402505E-4</v>
      </c>
      <c r="G12" s="84">
        <v>-2.0362334946009098E-3</v>
      </c>
      <c r="H12" s="84">
        <v>1.1090824469862325E-4</v>
      </c>
      <c r="I12" s="84">
        <v>1.9057490548883207E-3</v>
      </c>
      <c r="J12" s="84">
        <v>-2.1474440395094318E-3</v>
      </c>
      <c r="K12" s="84">
        <v>-3.580733913630904E-5</v>
      </c>
      <c r="L12" s="84">
        <v>-1.6592724991503422E-3</v>
      </c>
      <c r="M12" s="189">
        <v>-2.9442923798921094E-4</v>
      </c>
      <c r="O12" s="19">
        <v>3</v>
      </c>
      <c r="P12" s="197">
        <v>7.9581960962299219E-4</v>
      </c>
      <c r="Q12" s="86">
        <v>9.3179706142644449E-4</v>
      </c>
      <c r="R12" s="84">
        <v>-2.1398329341066483E-3</v>
      </c>
      <c r="S12" s="84">
        <v>9.4243200663609228E-4</v>
      </c>
      <c r="T12" s="84">
        <v>-8.787147600296725E-4</v>
      </c>
      <c r="U12" s="198">
        <v>-1.0313471948901311E-3</v>
      </c>
      <c r="W12" s="19">
        <v>3</v>
      </c>
      <c r="X12" s="188">
        <v>-8.8893840892412365E-4</v>
      </c>
      <c r="Y12" s="84">
        <v>2.1740916567659428E-3</v>
      </c>
      <c r="Z12" s="84">
        <v>1.8389699780457633E-3</v>
      </c>
      <c r="AA12" s="84">
        <v>9.3777794941025407E-4</v>
      </c>
      <c r="AB12" s="84">
        <v>-9.1057516313631398E-4</v>
      </c>
      <c r="AC12" s="189">
        <v>1.3707477299329922E-3</v>
      </c>
      <c r="AD12" s="1" t="s">
        <v>11</v>
      </c>
    </row>
    <row r="13" spans="1:30" ht="18" thickBot="1">
      <c r="A13" s="152"/>
      <c r="C13" s="21">
        <v>4</v>
      </c>
      <c r="D13" s="190">
        <v>1.8366060460347161E-3</v>
      </c>
      <c r="E13" s="191">
        <v>6.1219758905251118E-4</v>
      </c>
      <c r="F13" s="191">
        <v>-2.132141289018129E-3</v>
      </c>
      <c r="G13" s="191">
        <v>2.1289008003441989E-3</v>
      </c>
      <c r="H13" s="191">
        <v>-2.0848798437140791E-3</v>
      </c>
      <c r="I13" s="191">
        <v>-2.1321779734977944E-3</v>
      </c>
      <c r="J13" s="191">
        <v>1.6784269586200547E-3</v>
      </c>
      <c r="K13" s="191">
        <v>2.1485263722309765E-3</v>
      </c>
      <c r="L13" s="191">
        <v>-1.4655031553661955E-3</v>
      </c>
      <c r="M13" s="192">
        <v>-1.2440619782674443E-3</v>
      </c>
      <c r="O13" s="21">
        <v>4</v>
      </c>
      <c r="P13" s="199">
        <v>-1.4604806702125238E-3</v>
      </c>
      <c r="Q13" s="200">
        <v>-2.1547911073053236E-3</v>
      </c>
      <c r="R13" s="201">
        <v>1.9301369169378317E-3</v>
      </c>
      <c r="S13" s="201">
        <v>-2.1495054408442477E-3</v>
      </c>
      <c r="T13" s="201">
        <v>-2.1490417729003461E-3</v>
      </c>
      <c r="U13" s="202">
        <v>-8.7501813532594129E-4</v>
      </c>
      <c r="W13" s="19">
        <v>4</v>
      </c>
      <c r="X13" s="188">
        <v>-4.2226171994988693E-4</v>
      </c>
      <c r="Y13" s="84">
        <v>-1.6855513260367533E-3</v>
      </c>
      <c r="Z13" s="84">
        <v>-1.8421845509887208E-3</v>
      </c>
      <c r="AA13" s="84">
        <v>-1.0350684152432101E-3</v>
      </c>
      <c r="AB13" s="84">
        <v>9.5288524945805544E-4</v>
      </c>
      <c r="AC13" s="189">
        <v>-1.9932121109362193E-3</v>
      </c>
      <c r="AD13" s="1" t="s">
        <v>11</v>
      </c>
    </row>
    <row r="14" spans="1:30">
      <c r="A14" s="152"/>
      <c r="W14" s="19">
        <v>5</v>
      </c>
      <c r="X14" s="188">
        <v>-1.5077680660712714E-5</v>
      </c>
      <c r="Y14" s="84">
        <v>-3.9295743957997337E-4</v>
      </c>
      <c r="Z14" s="84">
        <v>-4.7805081472125952E-4</v>
      </c>
      <c r="AA14" s="84">
        <v>-9.4279417857073226E-4</v>
      </c>
      <c r="AB14" s="84">
        <v>9.1386693680916642E-4</v>
      </c>
      <c r="AC14" s="189">
        <v>-1.8983753757872038E-3</v>
      </c>
      <c r="AD14" s="1" t="s">
        <v>11</v>
      </c>
    </row>
    <row r="15" spans="1:30">
      <c r="A15" s="152"/>
      <c r="W15" s="19">
        <v>6</v>
      </c>
      <c r="X15" s="188">
        <v>-1.352083975913044E-3</v>
      </c>
      <c r="Y15" s="84">
        <v>1.827366118005022E-3</v>
      </c>
      <c r="Z15" s="84">
        <v>1.8224538681932861E-3</v>
      </c>
      <c r="AA15" s="84">
        <v>1.0307360772660733E-3</v>
      </c>
      <c r="AB15" s="84">
        <v>1.0389485456097569E-3</v>
      </c>
      <c r="AC15" s="189">
        <v>2.0071963514856472E-3</v>
      </c>
      <c r="AD15" s="1" t="s">
        <v>11</v>
      </c>
    </row>
    <row r="16" spans="1:30">
      <c r="A16" s="152"/>
      <c r="W16" s="19">
        <v>7</v>
      </c>
      <c r="X16" s="188">
        <v>-6.260539577157094E-2</v>
      </c>
      <c r="Y16" s="84">
        <v>-2.2778485611448774E-3</v>
      </c>
      <c r="Z16" s="84">
        <v>8.5907365940730797E-4</v>
      </c>
      <c r="AA16" s="84">
        <v>8.637611526903944E-4</v>
      </c>
      <c r="AB16" s="84">
        <v>6.154643731071729E-4</v>
      </c>
      <c r="AC16" s="189">
        <v>-1.5857946224281682E-3</v>
      </c>
      <c r="AD16" s="1" t="s">
        <v>11</v>
      </c>
    </row>
    <row r="17" spans="1:30" ht="18" thickBot="1">
      <c r="A17" s="152"/>
      <c r="W17" s="21">
        <v>8</v>
      </c>
      <c r="X17" s="203">
        <v>8.6482566688902951E-4</v>
      </c>
      <c r="Y17" s="89">
        <v>2.1096270594729068E-3</v>
      </c>
      <c r="Z17" s="89">
        <v>-1.9091186830625737E-3</v>
      </c>
      <c r="AA17" s="89">
        <v>1.1685134410236418E-3</v>
      </c>
      <c r="AB17" s="89">
        <v>1.0848604210651387E-3</v>
      </c>
      <c r="AC17" s="204">
        <v>-2.1339878142807894E-3</v>
      </c>
      <c r="AD17" s="1" t="s">
        <v>11</v>
      </c>
    </row>
    <row r="18" spans="1:30" ht="18" thickBot="1">
      <c r="A18" s="152"/>
      <c r="W18" s="74">
        <v>9</v>
      </c>
      <c r="X18" s="205">
        <v>-1.3182667115592828</v>
      </c>
      <c r="Y18" s="107">
        <v>1.5217949165415561E-3</v>
      </c>
      <c r="Z18" s="107">
        <v>1.5190717398926871E-3</v>
      </c>
      <c r="AA18" s="107">
        <v>-1.320613866949234E-3</v>
      </c>
      <c r="AB18" s="107">
        <v>-1.3100929605930141E-3</v>
      </c>
      <c r="AC18" s="206">
        <v>1.7805912122793816E-3</v>
      </c>
      <c r="AD18" s="1" t="s">
        <v>34</v>
      </c>
    </row>
    <row r="19" spans="1:30" ht="18" thickBot="1">
      <c r="A19" s="152"/>
      <c r="W19" s="74">
        <v>10</v>
      </c>
      <c r="X19" s="207">
        <v>-2.3473489223664489E-5</v>
      </c>
      <c r="Y19" s="208">
        <v>-9.5532252449394848E-4</v>
      </c>
      <c r="Z19" s="208">
        <v>-2.1312262096256935E-3</v>
      </c>
      <c r="AA19" s="208">
        <v>1.3803653253686887E-3</v>
      </c>
      <c r="AB19" s="208">
        <v>-5.2311150616434182E-4</v>
      </c>
      <c r="AC19" s="209">
        <v>-1.022598298595934E-3</v>
      </c>
      <c r="AD19" s="1" t="s">
        <v>35</v>
      </c>
    </row>
    <row r="20" spans="1:30">
      <c r="A20" s="152"/>
    </row>
    <row r="21" spans="1:30" s="94" customFormat="1" ht="18" thickBot="1">
      <c r="A21" s="153"/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2060"/>
  </sheetPr>
  <dimension ref="A1:FW145"/>
  <sheetViews>
    <sheetView topLeftCell="A6" zoomScale="85" workbookViewId="0">
      <selection activeCell="A10" sqref="A10"/>
    </sheetView>
  </sheetViews>
  <sheetFormatPr defaultColWidth="9" defaultRowHeight="17.649999999999999"/>
  <cols>
    <col min="1" max="1" width="5.6875" style="1" customWidth="1"/>
    <col min="2" max="2" width="3.3125" style="1" customWidth="1"/>
    <col min="3" max="3" width="7.8125" style="1" bestFit="1" customWidth="1"/>
    <col min="4" max="4" width="14.6875" style="2" bestFit="1" customWidth="1"/>
    <col min="5" max="5" width="4.1875" style="1" customWidth="1"/>
    <col min="6" max="6" width="4.3125" style="1" bestFit="1" customWidth="1"/>
    <col min="7" max="7" width="15.6875" style="1" bestFit="1" customWidth="1"/>
    <col min="8" max="8" width="9.1875" style="3" bestFit="1" customWidth="1"/>
    <col min="9" max="11" width="9.1875" style="1" bestFit="1" customWidth="1"/>
    <col min="12" max="12" width="7.6875" style="1" bestFit="1" customWidth="1"/>
    <col min="13" max="13" width="16.8125" style="14" bestFit="1" customWidth="1"/>
    <col min="14" max="15" width="7.3125" style="14" bestFit="1" customWidth="1"/>
    <col min="16" max="16" width="6.1875" style="14" customWidth="1"/>
    <col min="17" max="17" width="9" style="1"/>
    <col min="18" max="18" width="14.5" style="1" bestFit="1" customWidth="1"/>
    <col min="19" max="20" width="3.8125" style="1" bestFit="1" customWidth="1"/>
    <col min="21" max="22" width="3.5" style="1" bestFit="1" customWidth="1"/>
    <col min="23" max="23" width="3.8125" style="1" bestFit="1" customWidth="1"/>
    <col min="24" max="26" width="3" style="1" bestFit="1" customWidth="1"/>
    <col min="27" max="27" width="3.8125" style="1" bestFit="1" customWidth="1"/>
    <col min="28" max="28" width="10.6875" style="1" customWidth="1"/>
    <col min="29" max="29" width="7.5" style="1" customWidth="1"/>
    <col min="30" max="30" width="9" style="1"/>
    <col min="31" max="31" width="14.5" style="1" bestFit="1" customWidth="1"/>
    <col min="32" max="35" width="3.8125" style="1" bestFit="1" customWidth="1"/>
    <col min="36" max="36" width="3.3125" style="1" bestFit="1" customWidth="1"/>
    <col min="37" max="38" width="2.5" style="1" bestFit="1" customWidth="1"/>
    <col min="39" max="39" width="2.8125" style="1" bestFit="1" customWidth="1"/>
    <col min="40" max="40" width="2.5" style="1" bestFit="1" customWidth="1"/>
    <col min="41" max="41" width="10.6875" style="1" customWidth="1"/>
    <col min="42" max="42" width="7.5" style="1" customWidth="1"/>
    <col min="43" max="43" width="9" style="1"/>
    <col min="44" max="44" width="2" style="1" bestFit="1" customWidth="1"/>
    <col min="45" max="53" width="2.5" style="1" bestFit="1" customWidth="1"/>
    <col min="54" max="54" width="2.5" style="1" customWidth="1"/>
    <col min="55" max="55" width="9" style="1"/>
    <col min="56" max="66" width="2.5" style="1" customWidth="1"/>
    <col min="67" max="67" width="13.8125" style="1" bestFit="1" customWidth="1"/>
    <col min="68" max="68" width="9" style="1"/>
    <col min="69" max="69" width="4.6875" style="1" customWidth="1"/>
    <col min="70" max="79" width="2.5" style="1" customWidth="1"/>
    <col min="80" max="80" width="9" style="1"/>
    <col min="81" max="81" width="5.5" style="1" bestFit="1" customWidth="1"/>
    <col min="82" max="82" width="7.8125" style="1" bestFit="1" customWidth="1"/>
    <col min="83" max="90" width="5.5" style="1" bestFit="1" customWidth="1"/>
    <col min="91" max="91" width="5.5" style="1" customWidth="1"/>
    <col min="92" max="92" width="9" style="1"/>
    <col min="93" max="93" width="4.6875" style="1" bestFit="1" customWidth="1"/>
    <col min="94" max="97" width="2.5" style="1" bestFit="1" customWidth="1"/>
    <col min="98" max="98" width="3.5" style="1" bestFit="1" customWidth="1"/>
    <col min="99" max="100" width="2.5" style="1" bestFit="1" customWidth="1"/>
    <col min="101" max="101" width="3.5" style="1" bestFit="1" customWidth="1"/>
    <col min="102" max="102" width="2.5" style="1" bestFit="1" customWidth="1"/>
    <col min="103" max="103" width="4.3125" style="1" bestFit="1" customWidth="1"/>
    <col min="104" max="104" width="9" style="1"/>
    <col min="105" max="105" width="2" style="1" bestFit="1" customWidth="1"/>
    <col min="106" max="106" width="6.3125" style="1" bestFit="1" customWidth="1"/>
    <col min="107" max="107" width="6.5" style="1" bestFit="1" customWidth="1"/>
    <col min="108" max="110" width="6.3125" style="1" bestFit="1" customWidth="1"/>
    <col min="111" max="111" width="6.5" style="1" bestFit="1" customWidth="1"/>
    <col min="112" max="114" width="6.3125" style="1" bestFit="1" customWidth="1"/>
    <col min="115" max="115" width="6.1875" style="1" customWidth="1"/>
    <col min="116" max="116" width="9" style="1"/>
    <col min="117" max="117" width="4.8125" style="1" bestFit="1" customWidth="1"/>
    <col min="118" max="127" width="4.6875" style="1" customWidth="1"/>
    <col min="128" max="128" width="4.8125" style="1" customWidth="1"/>
    <col min="129" max="129" width="5" style="1" bestFit="1" customWidth="1"/>
    <col min="130" max="130" width="9" style="1"/>
    <col min="131" max="131" width="9" style="58"/>
    <col min="132" max="132" width="9" style="1"/>
    <col min="133" max="133" width="2" style="1" bestFit="1" customWidth="1"/>
    <col min="134" max="142" width="2.5" style="1" customWidth="1"/>
    <col min="143" max="143" width="9" style="1"/>
    <col min="144" max="154" width="6.1875" style="1" customWidth="1"/>
    <col min="155" max="155" width="9" style="1"/>
    <col min="156" max="165" width="4" style="1" customWidth="1"/>
    <col min="166" max="166" width="7.6875" style="1" customWidth="1"/>
    <col min="167" max="168" width="9" style="1"/>
    <col min="169" max="177" width="5.1875" style="1" customWidth="1"/>
    <col min="178" max="178" width="5.8125" style="1" bestFit="1" customWidth="1"/>
    <col min="179" max="179" width="6.1875" style="1" bestFit="1" customWidth="1"/>
    <col min="180" max="16384" width="9" style="1"/>
  </cols>
  <sheetData>
    <row r="1" spans="1:179" s="60" customFormat="1" ht="28.9">
      <c r="A1" s="54" t="s">
        <v>29</v>
      </c>
      <c r="B1" s="54"/>
      <c r="C1" s="54"/>
      <c r="D1" s="55"/>
      <c r="E1" s="54"/>
      <c r="F1" s="54"/>
      <c r="G1" s="54"/>
      <c r="H1" s="56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/>
      <c r="BI1" s="54"/>
      <c r="BJ1" s="54"/>
      <c r="BK1" s="54"/>
      <c r="BL1" s="54"/>
      <c r="BM1" s="54"/>
      <c r="BN1" s="54"/>
      <c r="BO1" s="54"/>
      <c r="BP1" s="54"/>
      <c r="BQ1" s="54"/>
      <c r="BR1" s="54"/>
      <c r="BS1" s="54"/>
      <c r="BT1" s="54"/>
      <c r="BU1" s="54"/>
      <c r="BV1" s="54"/>
      <c r="BW1" s="54"/>
      <c r="BX1" s="54"/>
      <c r="BY1" s="54"/>
      <c r="BZ1" s="54"/>
      <c r="CA1" s="54"/>
      <c r="CB1" s="54"/>
      <c r="CC1" s="54"/>
      <c r="CD1" s="54"/>
      <c r="CE1" s="54"/>
      <c r="CF1" s="54"/>
      <c r="CG1" s="54"/>
      <c r="CH1" s="54"/>
      <c r="CI1" s="54"/>
      <c r="CJ1" s="54"/>
      <c r="CK1" s="54"/>
      <c r="CL1" s="54"/>
      <c r="CM1" s="54"/>
      <c r="CN1" s="54"/>
      <c r="CO1" s="54"/>
      <c r="CP1" s="54"/>
      <c r="CQ1" s="54"/>
      <c r="CR1" s="54"/>
      <c r="CS1" s="54"/>
      <c r="CT1" s="54"/>
      <c r="CU1" s="54"/>
      <c r="CV1" s="54"/>
      <c r="CW1" s="54"/>
      <c r="CX1" s="54"/>
      <c r="CY1" s="54"/>
      <c r="CZ1" s="54"/>
      <c r="DA1" s="54"/>
      <c r="DB1" s="54"/>
      <c r="DC1" s="54"/>
      <c r="DD1" s="54"/>
      <c r="DE1" s="54"/>
      <c r="DF1" s="54"/>
      <c r="DG1" s="54"/>
      <c r="DH1" s="54"/>
      <c r="DI1" s="54"/>
      <c r="DJ1" s="54"/>
      <c r="DK1" s="54"/>
      <c r="DL1" s="54"/>
      <c r="DM1" s="54"/>
      <c r="DN1" s="54"/>
      <c r="DO1" s="54"/>
      <c r="DP1" s="54"/>
      <c r="DQ1" s="54"/>
      <c r="DR1" s="54"/>
      <c r="DS1" s="54"/>
      <c r="DT1" s="54"/>
      <c r="DU1" s="54"/>
      <c r="DV1" s="54"/>
      <c r="DW1" s="54"/>
      <c r="DX1" s="54"/>
      <c r="DY1" s="54"/>
      <c r="DZ1" s="54"/>
      <c r="EA1" s="59" t="s">
        <v>32</v>
      </c>
    </row>
    <row r="2" spans="1:179" ht="18" thickBot="1">
      <c r="C2" s="7" t="s">
        <v>114</v>
      </c>
      <c r="D2" s="17" t="s">
        <v>115</v>
      </c>
    </row>
    <row r="3" spans="1:179" ht="18" thickBot="1">
      <c r="C3" s="74">
        <f ca="1">MAX(C10:C1048576)</f>
        <v>135</v>
      </c>
      <c r="D3" s="156">
        <f ca="1">MATCH(C3,C10:C1048576,FALSE)</f>
        <v>136</v>
      </c>
      <c r="CO3" s="96">
        <f ca="1">$D$3</f>
        <v>136</v>
      </c>
      <c r="CP3" s="348">
        <f ca="1">INDEX(CP10:CP1048576,$CO$3,1)</f>
        <v>0</v>
      </c>
      <c r="CQ3" s="349">
        <f t="shared" ref="CQ3:CY3" ca="1" si="0">INDEX(CQ10:CQ1048576,$CO$3,1)</f>
        <v>0</v>
      </c>
      <c r="CR3" s="349">
        <f t="shared" ca="1" si="0"/>
        <v>0</v>
      </c>
      <c r="CS3" s="349">
        <f t="shared" ca="1" si="0"/>
        <v>0</v>
      </c>
      <c r="CT3" s="349">
        <f t="shared" ca="1" si="0"/>
        <v>0</v>
      </c>
      <c r="CU3" s="349">
        <f t="shared" ca="1" si="0"/>
        <v>0</v>
      </c>
      <c r="CV3" s="349">
        <f t="shared" ca="1" si="0"/>
        <v>0</v>
      </c>
      <c r="CW3" s="349">
        <f t="shared" ca="1" si="0"/>
        <v>0</v>
      </c>
      <c r="CX3" s="349">
        <f t="shared" ca="1" si="0"/>
        <v>0</v>
      </c>
      <c r="CY3" s="350">
        <f t="shared" ca="1" si="0"/>
        <v>134</v>
      </c>
    </row>
    <row r="5" spans="1:179">
      <c r="A5" s="57" t="s">
        <v>31</v>
      </c>
      <c r="AR5" s="57" t="s">
        <v>112</v>
      </c>
    </row>
    <row r="6" spans="1:179" ht="19.5" thickBot="1">
      <c r="R6" s="13" t="s">
        <v>7</v>
      </c>
      <c r="AB6" s="381" t="s">
        <v>105</v>
      </c>
      <c r="AE6" s="13" t="s">
        <v>27</v>
      </c>
      <c r="AO6" s="381" t="s">
        <v>105</v>
      </c>
      <c r="AR6" s="13" t="s">
        <v>20</v>
      </c>
      <c r="BD6" s="13" t="s">
        <v>11</v>
      </c>
      <c r="BO6" s="250" t="s">
        <v>12</v>
      </c>
      <c r="BQ6" s="13" t="s">
        <v>103</v>
      </c>
      <c r="CC6" s="13" t="s">
        <v>8</v>
      </c>
      <c r="CO6" s="13" t="s">
        <v>9</v>
      </c>
      <c r="DA6" s="13" t="s">
        <v>10</v>
      </c>
      <c r="DB6" s="381"/>
      <c r="DM6" s="13" t="s">
        <v>111</v>
      </c>
      <c r="EC6" s="13" t="s">
        <v>42</v>
      </c>
      <c r="EN6" s="13" t="s">
        <v>33</v>
      </c>
      <c r="ET6" s="13" t="s">
        <v>36</v>
      </c>
      <c r="EZ6" s="13" t="s">
        <v>37</v>
      </c>
      <c r="FL6" s="13" t="s">
        <v>41</v>
      </c>
    </row>
    <row r="7" spans="1:179">
      <c r="N7" s="400" t="s">
        <v>110</v>
      </c>
      <c r="O7" s="381"/>
      <c r="P7" s="381"/>
      <c r="R7" s="31" t="s">
        <v>5</v>
      </c>
      <c r="S7" s="32">
        <v>0</v>
      </c>
      <c r="T7" s="32">
        <v>0</v>
      </c>
      <c r="U7" s="32">
        <v>0</v>
      </c>
      <c r="V7" s="33">
        <v>1</v>
      </c>
      <c r="W7" s="32">
        <v>1</v>
      </c>
      <c r="X7" s="34">
        <v>1</v>
      </c>
      <c r="Y7" s="32">
        <v>2</v>
      </c>
      <c r="Z7" s="32">
        <v>2</v>
      </c>
      <c r="AA7" s="35">
        <v>2</v>
      </c>
      <c r="AB7" s="32"/>
      <c r="AC7" s="35"/>
      <c r="AE7" s="47" t="s">
        <v>5</v>
      </c>
      <c r="AF7" s="33">
        <v>0</v>
      </c>
      <c r="AG7" s="32">
        <v>0</v>
      </c>
      <c r="AH7" s="32">
        <v>0</v>
      </c>
      <c r="AI7" s="33">
        <v>1</v>
      </c>
      <c r="AJ7" s="32">
        <v>1</v>
      </c>
      <c r="AK7" s="34">
        <v>1</v>
      </c>
      <c r="AL7" s="32">
        <v>2</v>
      </c>
      <c r="AM7" s="32">
        <v>2</v>
      </c>
      <c r="AN7" s="34">
        <v>2</v>
      </c>
      <c r="AO7" s="32"/>
      <c r="AP7" s="35"/>
      <c r="AR7" s="47" t="s">
        <v>5</v>
      </c>
      <c r="AS7" s="47">
        <v>0</v>
      </c>
      <c r="AT7" s="32">
        <v>0</v>
      </c>
      <c r="AU7" s="32">
        <v>0</v>
      </c>
      <c r="AV7" s="32">
        <v>1</v>
      </c>
      <c r="AW7" s="32">
        <v>1</v>
      </c>
      <c r="AX7" s="32">
        <v>1</v>
      </c>
      <c r="AY7" s="32">
        <v>2</v>
      </c>
      <c r="AZ7" s="32">
        <v>2</v>
      </c>
      <c r="BA7" s="34">
        <v>2</v>
      </c>
      <c r="BB7" s="35" t="s">
        <v>94</v>
      </c>
      <c r="BD7" s="47" t="s">
        <v>5</v>
      </c>
      <c r="BE7" s="47">
        <v>0</v>
      </c>
      <c r="BF7" s="32">
        <v>0</v>
      </c>
      <c r="BG7" s="32">
        <v>0</v>
      </c>
      <c r="BH7" s="33">
        <v>1</v>
      </c>
      <c r="BI7" s="32">
        <v>1</v>
      </c>
      <c r="BJ7" s="34">
        <v>1</v>
      </c>
      <c r="BK7" s="32">
        <v>2</v>
      </c>
      <c r="BL7" s="32">
        <v>2</v>
      </c>
      <c r="BM7" s="34">
        <v>2</v>
      </c>
      <c r="BN7" s="35" t="s">
        <v>94</v>
      </c>
      <c r="BO7" s="69"/>
      <c r="BQ7" s="69" t="s">
        <v>5</v>
      </c>
      <c r="BR7" s="47">
        <v>0</v>
      </c>
      <c r="BS7" s="32">
        <v>0</v>
      </c>
      <c r="BT7" s="32">
        <v>0</v>
      </c>
      <c r="BU7" s="33">
        <v>1</v>
      </c>
      <c r="BV7" s="32">
        <v>1</v>
      </c>
      <c r="BW7" s="34">
        <v>1</v>
      </c>
      <c r="BX7" s="32">
        <v>2</v>
      </c>
      <c r="BY7" s="32">
        <v>2</v>
      </c>
      <c r="BZ7" s="32">
        <v>2</v>
      </c>
      <c r="CA7" s="69" t="s">
        <v>94</v>
      </c>
      <c r="CC7" s="47" t="s">
        <v>5</v>
      </c>
      <c r="CD7" s="47">
        <v>0</v>
      </c>
      <c r="CE7" s="32">
        <v>0</v>
      </c>
      <c r="CF7" s="32">
        <v>0</v>
      </c>
      <c r="CG7" s="33">
        <v>1</v>
      </c>
      <c r="CH7" s="32">
        <v>1</v>
      </c>
      <c r="CI7" s="34">
        <v>1</v>
      </c>
      <c r="CJ7" s="32">
        <v>2</v>
      </c>
      <c r="CK7" s="32">
        <v>2</v>
      </c>
      <c r="CL7" s="32">
        <v>2</v>
      </c>
      <c r="CM7" s="69" t="s">
        <v>94</v>
      </c>
      <c r="CO7" s="69" t="s">
        <v>5</v>
      </c>
      <c r="CP7" s="47">
        <v>0</v>
      </c>
      <c r="CQ7" s="32">
        <v>0</v>
      </c>
      <c r="CR7" s="32">
        <v>0</v>
      </c>
      <c r="CS7" s="33">
        <v>1</v>
      </c>
      <c r="CT7" s="32">
        <v>1</v>
      </c>
      <c r="CU7" s="34">
        <v>1</v>
      </c>
      <c r="CV7" s="32">
        <v>2</v>
      </c>
      <c r="CW7" s="32">
        <v>2</v>
      </c>
      <c r="CX7" s="32">
        <v>2</v>
      </c>
      <c r="CY7" s="69" t="s">
        <v>94</v>
      </c>
      <c r="DA7" s="47" t="s">
        <v>5</v>
      </c>
      <c r="DB7" s="47">
        <v>0</v>
      </c>
      <c r="DC7" s="32">
        <v>0</v>
      </c>
      <c r="DD7" s="32">
        <v>0</v>
      </c>
      <c r="DE7" s="33">
        <v>1</v>
      </c>
      <c r="DF7" s="32">
        <v>1</v>
      </c>
      <c r="DG7" s="34">
        <v>1</v>
      </c>
      <c r="DH7" s="32">
        <v>2</v>
      </c>
      <c r="DI7" s="32">
        <v>2</v>
      </c>
      <c r="DJ7" s="35">
        <v>2</v>
      </c>
      <c r="DK7" s="35" t="s">
        <v>94</v>
      </c>
      <c r="DM7" s="47" t="s">
        <v>5</v>
      </c>
      <c r="DN7" s="47">
        <v>0</v>
      </c>
      <c r="DO7" s="32">
        <v>0</v>
      </c>
      <c r="DP7" s="32">
        <v>0</v>
      </c>
      <c r="DQ7" s="32">
        <v>1</v>
      </c>
      <c r="DR7" s="32">
        <v>1</v>
      </c>
      <c r="DS7" s="32">
        <v>1</v>
      </c>
      <c r="DT7" s="32">
        <v>2</v>
      </c>
      <c r="DU7" s="32">
        <v>2</v>
      </c>
      <c r="DV7" s="35">
        <v>2</v>
      </c>
      <c r="DW7" s="69" t="s">
        <v>94</v>
      </c>
      <c r="DX7" s="7"/>
      <c r="EC7" s="47" t="s">
        <v>5</v>
      </c>
      <c r="ED7" s="47">
        <v>0</v>
      </c>
      <c r="EE7" s="32">
        <v>0</v>
      </c>
      <c r="EF7" s="32">
        <v>0</v>
      </c>
      <c r="EG7" s="33">
        <v>1</v>
      </c>
      <c r="EH7" s="32">
        <v>1</v>
      </c>
      <c r="EI7" s="34">
        <v>1</v>
      </c>
      <c r="EJ7" s="32">
        <v>2</v>
      </c>
      <c r="EK7" s="32">
        <v>2</v>
      </c>
      <c r="EL7" s="35">
        <v>2</v>
      </c>
      <c r="FL7" s="14" t="s">
        <v>92</v>
      </c>
    </row>
    <row r="8" spans="1:179">
      <c r="A8" s="13" t="s">
        <v>30</v>
      </c>
      <c r="F8" s="381" t="s">
        <v>105</v>
      </c>
      <c r="I8" s="13" t="s">
        <v>81</v>
      </c>
      <c r="N8" s="381" t="s">
        <v>106</v>
      </c>
      <c r="O8" s="381" t="s">
        <v>106</v>
      </c>
      <c r="P8" s="381" t="s">
        <v>106</v>
      </c>
      <c r="R8" s="117" t="s">
        <v>6</v>
      </c>
      <c r="S8" s="7">
        <v>0</v>
      </c>
      <c r="T8" s="7">
        <v>1</v>
      </c>
      <c r="U8" s="7">
        <v>2</v>
      </c>
      <c r="V8" s="17">
        <v>0</v>
      </c>
      <c r="W8" s="7">
        <v>1</v>
      </c>
      <c r="X8" s="18">
        <v>2</v>
      </c>
      <c r="Y8" s="7">
        <v>0</v>
      </c>
      <c r="Z8" s="7">
        <v>1</v>
      </c>
      <c r="AA8" s="42">
        <v>2</v>
      </c>
      <c r="AB8" s="7"/>
      <c r="AC8" s="42"/>
      <c r="AE8" s="22" t="s">
        <v>6</v>
      </c>
      <c r="AF8" s="17">
        <v>0</v>
      </c>
      <c r="AG8" s="7">
        <v>1</v>
      </c>
      <c r="AH8" s="7">
        <v>2</v>
      </c>
      <c r="AI8" s="17">
        <v>0</v>
      </c>
      <c r="AJ8" s="7">
        <v>1</v>
      </c>
      <c r="AK8" s="18">
        <v>2</v>
      </c>
      <c r="AL8" s="7">
        <v>0</v>
      </c>
      <c r="AM8" s="7">
        <v>1</v>
      </c>
      <c r="AN8" s="18">
        <v>2</v>
      </c>
      <c r="AO8" s="7"/>
      <c r="AP8" s="42"/>
      <c r="AR8" s="22" t="s">
        <v>6</v>
      </c>
      <c r="AS8" s="22">
        <v>0</v>
      </c>
      <c r="AT8" s="7">
        <v>1</v>
      </c>
      <c r="AU8" s="7">
        <v>2</v>
      </c>
      <c r="AV8" s="7">
        <v>0</v>
      </c>
      <c r="AW8" s="7">
        <v>1</v>
      </c>
      <c r="AX8" s="7">
        <v>2</v>
      </c>
      <c r="AY8" s="7">
        <v>0</v>
      </c>
      <c r="AZ8" s="7">
        <v>1</v>
      </c>
      <c r="BA8" s="18">
        <v>2</v>
      </c>
      <c r="BB8" s="42" t="s">
        <v>94</v>
      </c>
      <c r="BD8" s="22" t="s">
        <v>6</v>
      </c>
      <c r="BE8" s="22">
        <v>0</v>
      </c>
      <c r="BF8" s="7">
        <v>1</v>
      </c>
      <c r="BG8" s="7">
        <v>2</v>
      </c>
      <c r="BH8" s="17">
        <v>0</v>
      </c>
      <c r="BI8" s="7">
        <v>1</v>
      </c>
      <c r="BJ8" s="18">
        <v>2</v>
      </c>
      <c r="BK8" s="7">
        <v>0</v>
      </c>
      <c r="BL8" s="7">
        <v>1</v>
      </c>
      <c r="BM8" s="18">
        <v>2</v>
      </c>
      <c r="BN8" s="42" t="s">
        <v>94</v>
      </c>
      <c r="BO8" s="221"/>
      <c r="BQ8" s="221" t="s">
        <v>6</v>
      </c>
      <c r="BR8" s="22">
        <v>0</v>
      </c>
      <c r="BS8" s="7">
        <v>1</v>
      </c>
      <c r="BT8" s="7">
        <v>2</v>
      </c>
      <c r="BU8" s="17">
        <v>0</v>
      </c>
      <c r="BV8" s="7">
        <v>1</v>
      </c>
      <c r="BW8" s="18">
        <v>2</v>
      </c>
      <c r="BX8" s="7">
        <v>0</v>
      </c>
      <c r="BY8" s="7">
        <v>1</v>
      </c>
      <c r="BZ8" s="7">
        <v>2</v>
      </c>
      <c r="CA8" s="221" t="s">
        <v>94</v>
      </c>
      <c r="CC8" s="22" t="s">
        <v>6</v>
      </c>
      <c r="CD8" s="22">
        <v>0</v>
      </c>
      <c r="CE8" s="7">
        <v>1</v>
      </c>
      <c r="CF8" s="7">
        <v>2</v>
      </c>
      <c r="CG8" s="17">
        <v>0</v>
      </c>
      <c r="CH8" s="7">
        <v>1</v>
      </c>
      <c r="CI8" s="18">
        <v>2</v>
      </c>
      <c r="CJ8" s="7">
        <v>0</v>
      </c>
      <c r="CK8" s="7">
        <v>1</v>
      </c>
      <c r="CL8" s="7">
        <v>2</v>
      </c>
      <c r="CM8" s="221" t="s">
        <v>94</v>
      </c>
      <c r="CO8" s="221" t="s">
        <v>6</v>
      </c>
      <c r="CP8" s="22">
        <v>0</v>
      </c>
      <c r="CQ8" s="7">
        <v>1</v>
      </c>
      <c r="CR8" s="7">
        <v>2</v>
      </c>
      <c r="CS8" s="17">
        <v>0</v>
      </c>
      <c r="CT8" s="7">
        <v>1</v>
      </c>
      <c r="CU8" s="18">
        <v>2</v>
      </c>
      <c r="CV8" s="7">
        <v>0</v>
      </c>
      <c r="CW8" s="7">
        <v>1</v>
      </c>
      <c r="CX8" s="7">
        <v>2</v>
      </c>
      <c r="CY8" s="221" t="s">
        <v>94</v>
      </c>
      <c r="DA8" s="22" t="s">
        <v>6</v>
      </c>
      <c r="DB8" s="22">
        <v>0</v>
      </c>
      <c r="DC8" s="7">
        <v>1</v>
      </c>
      <c r="DD8" s="7">
        <v>2</v>
      </c>
      <c r="DE8" s="17">
        <v>0</v>
      </c>
      <c r="DF8" s="7">
        <v>1</v>
      </c>
      <c r="DG8" s="18">
        <v>2</v>
      </c>
      <c r="DH8" s="7">
        <v>0</v>
      </c>
      <c r="DI8" s="7">
        <v>1</v>
      </c>
      <c r="DJ8" s="42">
        <v>2</v>
      </c>
      <c r="DK8" s="42" t="s">
        <v>94</v>
      </c>
      <c r="DM8" s="22" t="s">
        <v>6</v>
      </c>
      <c r="DN8" s="22">
        <v>0</v>
      </c>
      <c r="DO8" s="7">
        <v>1</v>
      </c>
      <c r="DP8" s="7">
        <v>2</v>
      </c>
      <c r="DQ8" s="7">
        <v>0</v>
      </c>
      <c r="DR8" s="7">
        <v>1</v>
      </c>
      <c r="DS8" s="7">
        <v>2</v>
      </c>
      <c r="DT8" s="7">
        <v>0</v>
      </c>
      <c r="DU8" s="7">
        <v>1</v>
      </c>
      <c r="DV8" s="42">
        <v>2</v>
      </c>
      <c r="DW8" s="221" t="s">
        <v>94</v>
      </c>
      <c r="DX8" s="7"/>
      <c r="EC8" s="22" t="s">
        <v>6</v>
      </c>
      <c r="ED8" s="22">
        <v>0</v>
      </c>
      <c r="EE8" s="7">
        <v>1</v>
      </c>
      <c r="EF8" s="7">
        <v>2</v>
      </c>
      <c r="EG8" s="17">
        <v>0</v>
      </c>
      <c r="EH8" s="7">
        <v>1</v>
      </c>
      <c r="EI8" s="18">
        <v>2</v>
      </c>
      <c r="EJ8" s="7">
        <v>0</v>
      </c>
      <c r="EK8" s="7">
        <v>1</v>
      </c>
      <c r="EL8" s="42">
        <v>2</v>
      </c>
      <c r="EZ8" s="13" t="s">
        <v>38</v>
      </c>
      <c r="FJ8" s="250" t="s">
        <v>39</v>
      </c>
    </row>
    <row r="9" spans="1:179" s="5" customFormat="1" ht="19.149999999999999">
      <c r="A9" s="48" t="s">
        <v>13</v>
      </c>
      <c r="B9" s="5" t="s">
        <v>14</v>
      </c>
      <c r="C9" s="39" t="s">
        <v>15</v>
      </c>
      <c r="D9" s="48" t="s">
        <v>1</v>
      </c>
      <c r="E9" s="5" t="s">
        <v>2</v>
      </c>
      <c r="F9" s="5" t="s">
        <v>3</v>
      </c>
      <c r="G9" s="5" t="s">
        <v>4</v>
      </c>
      <c r="H9" s="39" t="s">
        <v>0</v>
      </c>
      <c r="I9" s="48" t="s">
        <v>21</v>
      </c>
      <c r="J9" s="5" t="s">
        <v>16</v>
      </c>
      <c r="K9" s="5" t="s">
        <v>24</v>
      </c>
      <c r="L9" s="5" t="s">
        <v>116</v>
      </c>
      <c r="M9" s="326" t="s">
        <v>22</v>
      </c>
      <c r="N9" s="327" t="s">
        <v>26</v>
      </c>
      <c r="O9" s="328" t="s">
        <v>109</v>
      </c>
      <c r="P9" s="329" t="s">
        <v>25</v>
      </c>
      <c r="R9" s="38" t="s">
        <v>28</v>
      </c>
      <c r="S9" s="5">
        <v>0</v>
      </c>
      <c r="T9" s="5">
        <f>S9+1</f>
        <v>1</v>
      </c>
      <c r="U9" s="5">
        <f t="shared" ref="U9:AA9" si="1">T9+1</f>
        <v>2</v>
      </c>
      <c r="V9" s="4">
        <f t="shared" si="1"/>
        <v>3</v>
      </c>
      <c r="W9" s="5">
        <f t="shared" si="1"/>
        <v>4</v>
      </c>
      <c r="X9" s="6">
        <f t="shared" si="1"/>
        <v>5</v>
      </c>
      <c r="Y9" s="5">
        <f t="shared" si="1"/>
        <v>6</v>
      </c>
      <c r="Z9" s="5">
        <f t="shared" si="1"/>
        <v>7</v>
      </c>
      <c r="AA9" s="39">
        <f t="shared" si="1"/>
        <v>8</v>
      </c>
      <c r="AB9" s="4" t="s">
        <v>23</v>
      </c>
      <c r="AC9" s="49" t="s">
        <v>0</v>
      </c>
      <c r="AE9" s="48" t="s">
        <v>28</v>
      </c>
      <c r="AF9" s="4">
        <v>0</v>
      </c>
      <c r="AG9" s="5">
        <f>AF9+1</f>
        <v>1</v>
      </c>
      <c r="AH9" s="5">
        <f t="shared" ref="AH9:AN9" si="2">AG9+1</f>
        <v>2</v>
      </c>
      <c r="AI9" s="4">
        <f t="shared" si="2"/>
        <v>3</v>
      </c>
      <c r="AJ9" s="5">
        <f t="shared" si="2"/>
        <v>4</v>
      </c>
      <c r="AK9" s="6">
        <f t="shared" si="2"/>
        <v>5</v>
      </c>
      <c r="AL9" s="5">
        <f t="shared" si="2"/>
        <v>6</v>
      </c>
      <c r="AM9" s="5">
        <f t="shared" si="2"/>
        <v>7</v>
      </c>
      <c r="AN9" s="6">
        <f t="shared" si="2"/>
        <v>8</v>
      </c>
      <c r="AO9" s="4" t="s">
        <v>23</v>
      </c>
      <c r="AP9" s="49" t="s">
        <v>0</v>
      </c>
      <c r="AQ9" s="339"/>
      <c r="AS9" s="290">
        <v>0</v>
      </c>
      <c r="AT9" s="291">
        <f>AS9+1</f>
        <v>1</v>
      </c>
      <c r="AU9" s="291">
        <f t="shared" ref="AU9:BB9" si="3">AT9+1</f>
        <v>2</v>
      </c>
      <c r="AV9" s="291">
        <f t="shared" si="3"/>
        <v>3</v>
      </c>
      <c r="AW9" s="291">
        <f t="shared" si="3"/>
        <v>4</v>
      </c>
      <c r="AX9" s="291">
        <f t="shared" si="3"/>
        <v>5</v>
      </c>
      <c r="AY9" s="291">
        <f t="shared" si="3"/>
        <v>6</v>
      </c>
      <c r="AZ9" s="291">
        <f t="shared" si="3"/>
        <v>7</v>
      </c>
      <c r="BA9" s="292">
        <f t="shared" si="3"/>
        <v>8</v>
      </c>
      <c r="BB9" s="293">
        <f t="shared" si="3"/>
        <v>9</v>
      </c>
      <c r="BC9" s="339"/>
      <c r="BD9" s="39"/>
      <c r="BE9" s="290">
        <v>0</v>
      </c>
      <c r="BF9" s="291">
        <f>BE9+1</f>
        <v>1</v>
      </c>
      <c r="BG9" s="291">
        <f t="shared" ref="BG9:BN9" si="4">BF9+1</f>
        <v>2</v>
      </c>
      <c r="BH9" s="317">
        <f t="shared" si="4"/>
        <v>3</v>
      </c>
      <c r="BI9" s="291">
        <f t="shared" si="4"/>
        <v>4</v>
      </c>
      <c r="BJ9" s="292">
        <f t="shared" si="4"/>
        <v>5</v>
      </c>
      <c r="BK9" s="291">
        <f t="shared" si="4"/>
        <v>6</v>
      </c>
      <c r="BL9" s="291">
        <f t="shared" si="4"/>
        <v>7</v>
      </c>
      <c r="BM9" s="292">
        <f t="shared" si="4"/>
        <v>8</v>
      </c>
      <c r="BN9" s="293">
        <f t="shared" si="4"/>
        <v>9</v>
      </c>
      <c r="BO9" s="294" t="s">
        <v>95</v>
      </c>
      <c r="BQ9" s="247" t="s">
        <v>96</v>
      </c>
      <c r="BR9" s="290">
        <v>0</v>
      </c>
      <c r="BS9" s="291">
        <f>BR9+1</f>
        <v>1</v>
      </c>
      <c r="BT9" s="291">
        <f t="shared" ref="BT9:CA9" si="5">BS9+1</f>
        <v>2</v>
      </c>
      <c r="BU9" s="317">
        <f t="shared" si="5"/>
        <v>3</v>
      </c>
      <c r="BV9" s="291">
        <f t="shared" si="5"/>
        <v>4</v>
      </c>
      <c r="BW9" s="292">
        <f t="shared" si="5"/>
        <v>5</v>
      </c>
      <c r="BX9" s="291">
        <f t="shared" si="5"/>
        <v>6</v>
      </c>
      <c r="BY9" s="291">
        <f t="shared" si="5"/>
        <v>7</v>
      </c>
      <c r="BZ9" s="291">
        <f t="shared" si="5"/>
        <v>8</v>
      </c>
      <c r="CA9" s="294">
        <f t="shared" si="5"/>
        <v>9</v>
      </c>
      <c r="CB9" s="339"/>
      <c r="CC9" s="39"/>
      <c r="CD9" s="48">
        <v>0</v>
      </c>
      <c r="CE9" s="5">
        <f>CD9+1</f>
        <v>1</v>
      </c>
      <c r="CF9" s="5">
        <f t="shared" ref="CF9:CM9" si="6">CE9+1</f>
        <v>2</v>
      </c>
      <c r="CG9" s="4">
        <f t="shared" si="6"/>
        <v>3</v>
      </c>
      <c r="CH9" s="5">
        <f t="shared" si="6"/>
        <v>4</v>
      </c>
      <c r="CI9" s="6">
        <f t="shared" si="6"/>
        <v>5</v>
      </c>
      <c r="CJ9" s="5">
        <f t="shared" si="6"/>
        <v>6</v>
      </c>
      <c r="CK9" s="5">
        <f t="shared" si="6"/>
        <v>7</v>
      </c>
      <c r="CL9" s="5">
        <f t="shared" si="6"/>
        <v>8</v>
      </c>
      <c r="CM9" s="247">
        <f t="shared" si="6"/>
        <v>9</v>
      </c>
      <c r="CN9" s="339"/>
      <c r="CO9" s="247" t="s">
        <v>96</v>
      </c>
      <c r="CP9" s="48">
        <v>0</v>
      </c>
      <c r="CQ9" s="5">
        <f>CP9+1</f>
        <v>1</v>
      </c>
      <c r="CR9" s="5">
        <f t="shared" ref="CR9:CY9" si="7">CQ9+1</f>
        <v>2</v>
      </c>
      <c r="CS9" s="4">
        <f t="shared" si="7"/>
        <v>3</v>
      </c>
      <c r="CT9" s="5">
        <f t="shared" si="7"/>
        <v>4</v>
      </c>
      <c r="CU9" s="6">
        <f t="shared" si="7"/>
        <v>5</v>
      </c>
      <c r="CV9" s="5">
        <f t="shared" si="7"/>
        <v>6</v>
      </c>
      <c r="CW9" s="5">
        <f t="shared" si="7"/>
        <v>7</v>
      </c>
      <c r="CX9" s="5">
        <f t="shared" si="7"/>
        <v>8</v>
      </c>
      <c r="CY9" s="247">
        <f t="shared" si="7"/>
        <v>9</v>
      </c>
      <c r="CZ9" s="339"/>
      <c r="DA9" s="39"/>
      <c r="DB9" s="48">
        <v>0</v>
      </c>
      <c r="DC9" s="5">
        <v>1</v>
      </c>
      <c r="DD9" s="5">
        <v>2</v>
      </c>
      <c r="DE9" s="4">
        <v>3</v>
      </c>
      <c r="DF9" s="5">
        <v>4</v>
      </c>
      <c r="DG9" s="6">
        <v>5</v>
      </c>
      <c r="DH9" s="5">
        <v>6</v>
      </c>
      <c r="DI9" s="5">
        <v>7</v>
      </c>
      <c r="DJ9" s="39">
        <v>8</v>
      </c>
      <c r="DK9" s="39">
        <v>9</v>
      </c>
      <c r="DM9" s="39"/>
      <c r="DN9" s="48">
        <v>0</v>
      </c>
      <c r="DO9" s="5">
        <v>1</v>
      </c>
      <c r="DP9" s="5">
        <v>2</v>
      </c>
      <c r="DQ9" s="5">
        <v>3</v>
      </c>
      <c r="DR9" s="5">
        <v>4</v>
      </c>
      <c r="DS9" s="5">
        <v>5</v>
      </c>
      <c r="DT9" s="5">
        <v>6</v>
      </c>
      <c r="DU9" s="5">
        <v>7</v>
      </c>
      <c r="DV9" s="39">
        <v>8</v>
      </c>
      <c r="DW9" s="247">
        <v>9</v>
      </c>
      <c r="DX9" s="39"/>
      <c r="DY9" s="401" t="s">
        <v>102</v>
      </c>
      <c r="EA9" s="118"/>
      <c r="ED9" s="48">
        <v>0</v>
      </c>
      <c r="EE9" s="5">
        <f>ED9+1</f>
        <v>1</v>
      </c>
      <c r="EF9" s="5">
        <f t="shared" ref="EF9:EL9" si="8">EE9+1</f>
        <v>2</v>
      </c>
      <c r="EG9" s="4">
        <f t="shared" si="8"/>
        <v>3</v>
      </c>
      <c r="EH9" s="5">
        <f t="shared" si="8"/>
        <v>4</v>
      </c>
      <c r="EI9" s="6">
        <f t="shared" si="8"/>
        <v>5</v>
      </c>
      <c r="EJ9" s="5">
        <f t="shared" si="8"/>
        <v>6</v>
      </c>
      <c r="EK9" s="5">
        <f t="shared" si="8"/>
        <v>7</v>
      </c>
      <c r="EL9" s="39">
        <f t="shared" si="8"/>
        <v>8</v>
      </c>
      <c r="EN9" s="48">
        <v>0</v>
      </c>
      <c r="EO9" s="5">
        <f>EN9+1</f>
        <v>1</v>
      </c>
      <c r="EP9" s="5">
        <f t="shared" ref="EP9:ER9" si="9">EO9+1</f>
        <v>2</v>
      </c>
      <c r="EQ9" s="5">
        <f t="shared" si="9"/>
        <v>3</v>
      </c>
      <c r="ER9" s="39">
        <f t="shared" si="9"/>
        <v>4</v>
      </c>
      <c r="ET9" s="48">
        <v>0</v>
      </c>
      <c r="EU9" s="5">
        <f>ET9+1</f>
        <v>1</v>
      </c>
      <c r="EV9" s="5">
        <f t="shared" ref="EV9:EX9" si="10">EU9+1</f>
        <v>2</v>
      </c>
      <c r="EW9" s="5">
        <f t="shared" si="10"/>
        <v>3</v>
      </c>
      <c r="EX9" s="39">
        <f t="shared" si="10"/>
        <v>4</v>
      </c>
      <c r="EZ9" s="48">
        <v>0</v>
      </c>
      <c r="FA9" s="5">
        <f>EZ9+1</f>
        <v>1</v>
      </c>
      <c r="FB9" s="5">
        <f t="shared" ref="FB9:FJ9" si="11">FA9+1</f>
        <v>2</v>
      </c>
      <c r="FC9" s="5">
        <f t="shared" si="11"/>
        <v>3</v>
      </c>
      <c r="FD9" s="5">
        <f t="shared" si="11"/>
        <v>4</v>
      </c>
      <c r="FE9" s="5">
        <f t="shared" si="11"/>
        <v>5</v>
      </c>
      <c r="FF9" s="5">
        <f t="shared" si="11"/>
        <v>6</v>
      </c>
      <c r="FG9" s="5">
        <f t="shared" si="11"/>
        <v>7</v>
      </c>
      <c r="FH9" s="5">
        <f t="shared" si="11"/>
        <v>8</v>
      </c>
      <c r="FI9" s="247">
        <f t="shared" si="11"/>
        <v>9</v>
      </c>
      <c r="FJ9" s="39">
        <f t="shared" si="11"/>
        <v>10</v>
      </c>
      <c r="FL9" s="247" t="s">
        <v>40</v>
      </c>
      <c r="FM9" s="340">
        <v>0</v>
      </c>
      <c r="FN9" s="341">
        <f>FM9+1</f>
        <v>1</v>
      </c>
      <c r="FO9" s="341">
        <f t="shared" ref="FO9:FW9" si="12">FN9+1</f>
        <v>2</v>
      </c>
      <c r="FP9" s="341">
        <f t="shared" si="12"/>
        <v>3</v>
      </c>
      <c r="FQ9" s="341">
        <f t="shared" si="12"/>
        <v>4</v>
      </c>
      <c r="FR9" s="341">
        <f t="shared" si="12"/>
        <v>5</v>
      </c>
      <c r="FS9" s="341">
        <f t="shared" si="12"/>
        <v>6</v>
      </c>
      <c r="FT9" s="341">
        <f t="shared" si="12"/>
        <v>7</v>
      </c>
      <c r="FU9" s="342">
        <f t="shared" si="12"/>
        <v>8</v>
      </c>
      <c r="FV9" s="341">
        <f t="shared" si="12"/>
        <v>9</v>
      </c>
      <c r="FW9" s="343">
        <f t="shared" si="12"/>
        <v>10</v>
      </c>
    </row>
    <row r="10" spans="1:179">
      <c r="A10" s="330">
        <v>0</v>
      </c>
      <c r="B10" s="331">
        <v>0</v>
      </c>
      <c r="C10" s="312">
        <v>0</v>
      </c>
      <c r="D10" s="332" t="str">
        <f>IO!$H$5</f>
        <v>〇×〇×〇×--〇</v>
      </c>
      <c r="E10" s="7">
        <f ca="1">$DY10</f>
        <v>9</v>
      </c>
      <c r="F10" s="7">
        <f ca="1">AO10</f>
        <v>1</v>
      </c>
      <c r="G10" s="1" t="str">
        <f ca="1">AE10</f>
        <v>〇×〇×〇×--〇</v>
      </c>
      <c r="H10" s="20" t="b">
        <f ca="1">AP10</f>
        <v>1</v>
      </c>
      <c r="I10" s="333">
        <f>IO!$P$4</f>
        <v>-1</v>
      </c>
      <c r="J10" s="331" t="b">
        <v>0</v>
      </c>
      <c r="K10" s="1" t="b">
        <f ca="1">OR(H10=TRUE,J10=FALSE)</f>
        <v>1</v>
      </c>
      <c r="L10" s="7">
        <f ca="1">MATCH(TRUE,K10:K$1048576,FALSE)-1</f>
        <v>0</v>
      </c>
      <c r="M10" s="24" t="str">
        <f t="shared" ref="M10:M41" si="13">D10&amp;"_"&amp;IF(J10=FALSE, "X", E10)</f>
        <v>〇×〇×〇×--〇_X</v>
      </c>
      <c r="N10" s="25">
        <f ca="1">BO10</f>
        <v>-2.2535161742124597E-5</v>
      </c>
      <c r="O10" s="26">
        <f ca="1">IF(K10, IF(H10, F10*I10, N10), 0)</f>
        <v>-1</v>
      </c>
      <c r="P10" s="27">
        <f ca="1">OFFSET(O10,L10,0) * I10*OFFSET(I10,L10,0)</f>
        <v>-1</v>
      </c>
      <c r="R10" s="41" t="str">
        <f>VLOOKUP(S10,cvt!$B$2:$C$4,2,FALSE)&amp;VLOOKUP(T10,cvt!$B$2:$C$4,2,FALSE)&amp;VLOOKUP(U10,cvt!$B$2:$C$4,2,FALSE)
&amp;VLOOKUP(V10,cvt!$B$2:$C$4,2,FALSE)&amp;VLOOKUP(W10,cvt!$B$2:$C$4,2,FALSE)&amp;VLOOKUP(X10,cvt!$B$2:$C$4,2,FALSE)
&amp;VLOOKUP(Y10,cvt!$B$2:$C$4,2,FALSE)&amp;VLOOKUP(Z10,cvt!$B$2:$C$4,2,FALSE)&amp;VLOOKUP(AA10,cvt!$B$2:$C$4,2,FALSE)</f>
        <v>〇×〇×〇×--〇</v>
      </c>
      <c r="S10" s="7">
        <f>VLOOKUP(MID($D10,S$9+1,1), cvt!$A$2:$B$4,2, FALSE)</f>
        <v>1</v>
      </c>
      <c r="T10" s="7">
        <f>VLOOKUP(MID($D10,T$9+1,1), cvt!$A$2:$B$4,2, FALSE)</f>
        <v>-1</v>
      </c>
      <c r="U10" s="7">
        <f>VLOOKUP(MID($D10,U$9+1,1), cvt!$A$2:$B$4,2, FALSE)</f>
        <v>1</v>
      </c>
      <c r="V10" s="17">
        <f>VLOOKUP(MID($D10,V$9+1,1), cvt!$A$2:$B$4,2, FALSE)</f>
        <v>-1</v>
      </c>
      <c r="W10" s="7">
        <f>VLOOKUP(MID($D10,W$9+1,1), cvt!$A$2:$B$4,2, FALSE)</f>
        <v>1</v>
      </c>
      <c r="X10" s="18">
        <f>VLOOKUP(MID($D10,X$9+1,1), cvt!$A$2:$B$4,2, FALSE)</f>
        <v>-1</v>
      </c>
      <c r="Y10" s="7">
        <f>VLOOKUP(MID($D10,Y$9+1,1), cvt!$A$2:$B$4,2, FALSE)</f>
        <v>0</v>
      </c>
      <c r="Z10" s="7">
        <f>VLOOKUP(MID($D10,Z$9+1,1), cvt!$A$2:$B$4,2, FALSE)</f>
        <v>0</v>
      </c>
      <c r="AA10" s="42">
        <f>VLOOKUP(MID($D10,AA$9+1,1), cvt!$A$2:$B$4,2, FALSE)</f>
        <v>1</v>
      </c>
      <c r="AB10" s="7">
        <f>IF(OR(SUM(S10:U10)=3,SUM(V10:X10)=3,SUM(Y10:AA10)=3,
(S10+V10+Y10)=3,(T10+W10+Z10)=3,(U10+X10+AA10)=3,
(S10+W10+AA10)=3,(U10+W10+Y10=3)),1,
IF(
OR(SUM(S10:U10)=-3,SUM(V10:X10)=-3,SUM(Y10:AA10)=-3,
(S10+V10+Y10)=-3,(T10+W10+Z10)=-3,(U10+X10+AA10)=-3,
(S10+W10+AA10)=-3,(U10+W10+Y10=-3)),-1,0))</f>
        <v>1</v>
      </c>
      <c r="AC10" s="50" t="b">
        <f>OR(AB10&lt;&gt;0,COUNTIF(S10:AA10,0)=0)</f>
        <v>1</v>
      </c>
      <c r="AE10" s="41" t="str">
        <f ca="1">VLOOKUP(AF10,cvt!$B$2:$C$4,2,FALSE)&amp;VLOOKUP(AG10,cvt!$B$2:$C$4,2,FALSE)&amp;VLOOKUP(AH10,cvt!$B$2:$C$4,2,FALSE)
&amp;VLOOKUP(AI10,cvt!$B$2:$C$4,2,FALSE)&amp;VLOOKUP(AJ10,cvt!$B$2:$C$4,2,FALSE)&amp;VLOOKUP(AK10,cvt!$B$2:$C$4,2,FALSE)
&amp;VLOOKUP(AL10,cvt!$B$2:$C$4,2,FALSE)&amp;VLOOKUP(AM10,cvt!$B$2:$C$4,2,FALSE)&amp;VLOOKUP(AN10,cvt!$B$2:$C$4,2,FALSE)</f>
        <v>〇×〇×〇×--〇</v>
      </c>
      <c r="AF10" s="17">
        <f t="shared" ref="AF10:AF41" ca="1" si="14">IF($E10=AF$9, $I10,S10)</f>
        <v>1</v>
      </c>
      <c r="AG10" s="7">
        <f t="shared" ref="AG10:AG41" ca="1" si="15">IF($E10=AG$9, $I10,T10)</f>
        <v>-1</v>
      </c>
      <c r="AH10" s="7">
        <f t="shared" ref="AH10:AH41" ca="1" si="16">IF($E10=AH$9, $I10,U10)</f>
        <v>1</v>
      </c>
      <c r="AI10" s="17">
        <f t="shared" ref="AI10:AI41" ca="1" si="17">IF($E10=AI$9, $I10,V10)</f>
        <v>-1</v>
      </c>
      <c r="AJ10" s="7">
        <f t="shared" ref="AJ10:AJ41" ca="1" si="18">IF($E10=AJ$9, $I10,W10)</f>
        <v>1</v>
      </c>
      <c r="AK10" s="18">
        <f t="shared" ref="AK10:AK41" ca="1" si="19">IF($E10=AK$9, $I10,X10)</f>
        <v>-1</v>
      </c>
      <c r="AL10" s="7">
        <f t="shared" ref="AL10:AL41" ca="1" si="20">IF($E10=AL$9, $I10,Y10)</f>
        <v>0</v>
      </c>
      <c r="AM10" s="7">
        <f t="shared" ref="AM10:AM41" ca="1" si="21">IF($E10=AM$9, $I10,Z10)</f>
        <v>0</v>
      </c>
      <c r="AN10" s="18">
        <f t="shared" ref="AN10:AN41" ca="1" si="22">IF($E10=AN$9, $I10,AA10)</f>
        <v>1</v>
      </c>
      <c r="AO10" s="7">
        <f ca="1">IF(OR(SUM(AF10:AH10)=3,SUM(AI10:AK10)=3,SUM(AL10:AN10)=3,
(AF10+AI10+AL10)=3,(AG10+AJ10+AM10)=3,(AH10+AK10+AN10)=3,
(AF10+AJ10+AN10)=3,(AH10+AJ10+AL10=3)),1,
IF(
OR(SUM(AF10:AH10)=-3,SUM(AI10:AK10)=-3,SUM(AL10:AN10)=-3,
(AF10+AI10+AL10)=-3,(AG10+AJ10+AM10)=-3,(AH10+AK10+AN10)=-3,
(AF10+AJ10+AN10)=-3,(AH10+AJ10+AL10=-3)),-1,0))</f>
        <v>1</v>
      </c>
      <c r="AP10" s="50" t="b">
        <f ca="1">OR(AO10&lt;&gt;0,COUNTIF(AF10:AN10,0)=0)</f>
        <v>1</v>
      </c>
      <c r="AS10" s="22">
        <f>IF(AND(S10=0,$AC10=FALSE),1,0)</f>
        <v>0</v>
      </c>
      <c r="AT10" s="7">
        <f t="shared" ref="AT10:AT73" si="23">IF(AND(T10=0,$AC10=FALSE),1,0)</f>
        <v>0</v>
      </c>
      <c r="AU10" s="7">
        <f t="shared" ref="AU10:AU73" si="24">IF(AND(U10=0,$AC10=FALSE),1,0)</f>
        <v>0</v>
      </c>
      <c r="AV10" s="7">
        <f t="shared" ref="AV10:AV73" si="25">IF(AND(V10=0,$AC10=FALSE),1,0)</f>
        <v>0</v>
      </c>
      <c r="AW10" s="7">
        <f t="shared" ref="AW10:AW73" si="26">IF(AND(W10=0,$AC10=FALSE),1,0)</f>
        <v>0</v>
      </c>
      <c r="AX10" s="7">
        <f t="shared" ref="AX10:AX73" si="27">IF(AND(X10=0,$AC10=FALSE),1,0)</f>
        <v>0</v>
      </c>
      <c r="AY10" s="7">
        <f t="shared" ref="AY10:AY73" si="28">IF(AND(Y10=0,$AC10=FALSE),1,0)</f>
        <v>0</v>
      </c>
      <c r="AZ10" s="7">
        <f t="shared" ref="AZ10:AZ73" si="29">IF(AND(Z10=0,$AC10=FALSE),1,0)</f>
        <v>0</v>
      </c>
      <c r="BA10" s="18">
        <f t="shared" ref="BA10:BA73" si="30">IF(AND(AA10=0,$AC10=FALSE),1,0)</f>
        <v>0</v>
      </c>
      <c r="BB10" s="295">
        <f>IF(SUM(AS10:BA10)=0,1,0)</f>
        <v>1</v>
      </c>
      <c r="BD10" s="132"/>
      <c r="BE10" s="297">
        <f ca="1">FM10</f>
        <v>1</v>
      </c>
      <c r="BF10" s="298">
        <f t="shared" ref="BF10:BF73" ca="1" si="31">FN10</f>
        <v>0.65029522127322903</v>
      </c>
      <c r="BG10" s="298">
        <f t="shared" ref="BG10:BG73" ca="1" si="32">FO10</f>
        <v>0.66028983545318687</v>
      </c>
      <c r="BH10" s="318">
        <f t="shared" ref="BH10:BH73" ca="1" si="33">FP10</f>
        <v>0.64972655813153501</v>
      </c>
      <c r="BI10" s="298">
        <f t="shared" ref="BI10:BI73" ca="1" si="34">FQ10</f>
        <v>0.65002804502111444</v>
      </c>
      <c r="BJ10" s="299">
        <f t="shared" ref="BJ10:BJ73" ca="1" si="35">FR10</f>
        <v>0.65029320640965171</v>
      </c>
      <c r="BK10" s="298">
        <f t="shared" ref="BK10:BK73" ca="1" si="36">FS10</f>
        <v>0.64942668056342145</v>
      </c>
      <c r="BL10" s="298">
        <f t="shared" ref="BL10:BL73" ca="1" si="37">FT10</f>
        <v>0.61083952513994022</v>
      </c>
      <c r="BM10" s="299">
        <f t="shared" ref="BM10:BM73" ca="1" si="38">FU10</f>
        <v>0.6508682169276182</v>
      </c>
      <c r="BN10" s="295">
        <f t="shared" ref="BN10:BN73" ca="1" si="39">FV10</f>
        <v>0.17402001625314881</v>
      </c>
      <c r="BO10" s="248">
        <f ca="1">$FW10</f>
        <v>-2.2535161742124597E-5</v>
      </c>
      <c r="BQ10" s="304">
        <f ca="1">SUM(BR10:CA10)</f>
        <v>0.42412001625314877</v>
      </c>
      <c r="BR10" s="297">
        <f ca="1">(BE10 + 0.25*IF($B10=0, RANDBETWEEN(0,1), 0) + 1/10000) * AS10</f>
        <v>0</v>
      </c>
      <c r="BS10" s="298">
        <f t="shared" ref="BS10:BS73" ca="1" si="40">(BF10 + 0.25*IF($B10=0, RANDBETWEEN(0,1), 0) + 1/10000) * AT10</f>
        <v>0</v>
      </c>
      <c r="BT10" s="298">
        <f t="shared" ref="BT10:BT73" ca="1" si="41">(BG10 + 0.25*IF($B10=0, RANDBETWEEN(0,1), 0) + 1/10000) * AU10</f>
        <v>0</v>
      </c>
      <c r="BU10" s="318">
        <f t="shared" ref="BU10:BU73" ca="1" si="42">(BH10 + 0.25*IF($B10=0, RANDBETWEEN(0,1), 0) + 1/10000) * AV10</f>
        <v>0</v>
      </c>
      <c r="BV10" s="298">
        <f t="shared" ref="BV10:BV73" ca="1" si="43">(BI10 + 0.25*IF($B10=0, RANDBETWEEN(0,1), 0) + 1/10000) * AW10</f>
        <v>0</v>
      </c>
      <c r="BW10" s="299">
        <f t="shared" ref="BW10:BW73" ca="1" si="44">(BJ10 + 0.25*IF($B10=0, RANDBETWEEN(0,1), 0) + 1/10000) * AX10</f>
        <v>0</v>
      </c>
      <c r="BX10" s="298">
        <f t="shared" ref="BX10:BX73" ca="1" si="45">(BK10 + 0.25*IF($B10=0, RANDBETWEEN(0,1), 0) + 1/10000) * AY10</f>
        <v>0</v>
      </c>
      <c r="BY10" s="298">
        <f t="shared" ref="BY10:BY73" ca="1" si="46">(BL10 + 0.25*IF($B10=0, RANDBETWEEN(0,1), 0) + 1/10000) * AZ10</f>
        <v>0</v>
      </c>
      <c r="BZ10" s="298">
        <f t="shared" ref="BZ10:BZ73" ca="1" si="47">(BM10 + 0.25*IF($B10=0, RANDBETWEEN(0,1), 0) + 1/10000) * BA10</f>
        <v>0</v>
      </c>
      <c r="CA10" s="315">
        <f t="shared" ref="CA10:CA73" ca="1" si="48">(BN10 + 0.25*IF($B10=0, RANDBETWEEN(0,1), 0) + 1/10000) * BB10</f>
        <v>0.42412001625314877</v>
      </c>
      <c r="CC10" s="52"/>
      <c r="CD10" s="306">
        <f ca="1">BR10/$BQ10</f>
        <v>0</v>
      </c>
      <c r="CE10" s="15">
        <f t="shared" ref="CE10:CE73" ca="1" si="49">BS10/$BQ10</f>
        <v>0</v>
      </c>
      <c r="CF10" s="15">
        <f t="shared" ref="CF10:CF73" ca="1" si="50">BT10/$BQ10</f>
        <v>0</v>
      </c>
      <c r="CG10" s="286">
        <f t="shared" ref="CG10:CG73" ca="1" si="51">BU10/$BQ10</f>
        <v>0</v>
      </c>
      <c r="CH10" s="15">
        <f t="shared" ref="CH10:CH73" ca="1" si="52">BV10/$BQ10</f>
        <v>0</v>
      </c>
      <c r="CI10" s="288">
        <f t="shared" ref="CI10:CI73" ca="1" si="53">BW10/$BQ10</f>
        <v>0</v>
      </c>
      <c r="CJ10" s="15">
        <f t="shared" ref="CJ10:CJ73" ca="1" si="54">BX10/$BQ10</f>
        <v>0</v>
      </c>
      <c r="CK10" s="15">
        <f t="shared" ref="CK10:CK73" ca="1" si="55">BY10/$BQ10</f>
        <v>0</v>
      </c>
      <c r="CL10" s="15">
        <f t="shared" ref="CL10:CL73" ca="1" si="56">BZ10/$BQ10</f>
        <v>0</v>
      </c>
      <c r="CM10" s="313">
        <f t="shared" ref="CM10:CM73" ca="1" si="57">CA10/$BQ10</f>
        <v>1</v>
      </c>
      <c r="CO10" s="320">
        <f>SUM(CP10:CY10)</f>
        <v>0</v>
      </c>
      <c r="CP10" s="321">
        <v>0</v>
      </c>
      <c r="CQ10" s="322">
        <v>0</v>
      </c>
      <c r="CR10" s="322">
        <v>0</v>
      </c>
      <c r="CS10" s="323">
        <v>0</v>
      </c>
      <c r="CT10" s="322">
        <v>0</v>
      </c>
      <c r="CU10" s="324">
        <v>0</v>
      </c>
      <c r="CV10" s="322">
        <v>0</v>
      </c>
      <c r="CW10" s="322">
        <v>0</v>
      </c>
      <c r="CX10" s="322">
        <v>0</v>
      </c>
      <c r="CY10" s="325">
        <v>0</v>
      </c>
      <c r="DA10" s="20"/>
      <c r="DB10" s="334">
        <v>0</v>
      </c>
      <c r="DC10" s="335">
        <v>0</v>
      </c>
      <c r="DD10" s="335">
        <v>0</v>
      </c>
      <c r="DE10" s="336">
        <v>0</v>
      </c>
      <c r="DF10" s="335">
        <v>0</v>
      </c>
      <c r="DG10" s="337">
        <v>0</v>
      </c>
      <c r="DH10" s="335">
        <v>0</v>
      </c>
      <c r="DI10" s="335">
        <v>0</v>
      </c>
      <c r="DJ10" s="338">
        <v>0</v>
      </c>
      <c r="DK10" s="338">
        <v>0</v>
      </c>
      <c r="DM10" s="104"/>
      <c r="DN10" s="306">
        <f>IF(AS10=0, -9999, DB10 + 1*CD10*SQRT($CO10)/(1+CP10))</f>
        <v>-9999</v>
      </c>
      <c r="DO10" s="15">
        <f t="shared" ref="DO10:DO73" si="58">IF(AT10=0, -9999, DC10 + 1*CE10*SQRT($CO10)/(1+CQ10))</f>
        <v>-9999</v>
      </c>
      <c r="DP10" s="15">
        <f t="shared" ref="DP10:DP73" si="59">IF(AU10=0, -9999, DD10 + 1*CF10*SQRT($CO10)/(1+CR10))</f>
        <v>-9999</v>
      </c>
      <c r="DQ10" s="15">
        <f t="shared" ref="DQ10:DQ73" si="60">IF(AV10=0, -9999, DE10 + 1*CG10*SQRT($CO10)/(1+CS10))</f>
        <v>-9999</v>
      </c>
      <c r="DR10" s="15">
        <f t="shared" ref="DR10:DR73" si="61">IF(AW10=0, -9999, DF10 + 1*CH10*SQRT($CO10)/(1+CT10))</f>
        <v>-9999</v>
      </c>
      <c r="DS10" s="15">
        <f t="shared" ref="DS10:DS73" si="62">IF(AX10=0, -9999, DG10 + 1*CI10*SQRT($CO10)/(1+CU10))</f>
        <v>-9999</v>
      </c>
      <c r="DT10" s="15">
        <f t="shared" ref="DT10:DT73" si="63">IF(AY10=0, -9999, DH10 + 1*CJ10*SQRT($CO10)/(1+CV10))</f>
        <v>-9999</v>
      </c>
      <c r="DU10" s="15">
        <f t="shared" ref="DU10:DU73" si="64">IF(AZ10=0, -9999, DI10 + 1*CK10*SQRT($CO10)/(1+CW10))</f>
        <v>-9999</v>
      </c>
      <c r="DV10" s="52">
        <f t="shared" ref="DV10:DV73" si="65">IF(BA10=0, -9999, DJ10 + 1*CL10*SQRT($CO10)/(1+CX10))</f>
        <v>-9999</v>
      </c>
      <c r="DW10" s="313">
        <f t="shared" ref="DW10:DW73" ca="1" si="66">IF(BB10=0, -9999, DK10 + 1*CM10*SQRT($CO10)/(1+CY10))</f>
        <v>0</v>
      </c>
      <c r="DX10" s="52"/>
      <c r="DY10" s="402">
        <f ca="1">MATCH(MAX(DN10:DW10),DN10:DW10,FALSE)-1</f>
        <v>9</v>
      </c>
      <c r="ED10" s="19">
        <f t="shared" ref="ED10:ED41" si="67">S10 * $I10</f>
        <v>-1</v>
      </c>
      <c r="EE10" s="1">
        <f t="shared" ref="EE10:EE41" si="68">T10 * $I10</f>
        <v>1</v>
      </c>
      <c r="EF10" s="1">
        <f t="shared" ref="EF10:EF41" si="69">U10 * $I10</f>
        <v>-1</v>
      </c>
      <c r="EG10" s="2">
        <f t="shared" ref="EG10:EG41" si="70">V10 * $I10</f>
        <v>1</v>
      </c>
      <c r="EH10" s="1">
        <f t="shared" ref="EH10:EH41" si="71">W10 * $I10</f>
        <v>-1</v>
      </c>
      <c r="EI10" s="3">
        <f t="shared" ref="EI10:EI41" si="72">X10 * $I10</f>
        <v>1</v>
      </c>
      <c r="EJ10" s="1">
        <f t="shared" ref="EJ10:EJ41" si="73">Y10 * $I10</f>
        <v>0</v>
      </c>
      <c r="EK10" s="1">
        <f t="shared" ref="EK10:EK41" si="74">Z10 * $I10</f>
        <v>0</v>
      </c>
      <c r="EL10" s="20">
        <f t="shared" ref="EL10:EL41" si="75">AA10 * $I10</f>
        <v>-1</v>
      </c>
      <c r="EN10" s="86">
        <f ca="1">MAX(0, SUMPRODUCT($ED10:$EL10,OFFSET(DNN!$E$9:$M$9,EN$9,0)) + OFFSET(DNN!$D$9,EN$9,0))</f>
        <v>0</v>
      </c>
      <c r="EO10" s="84">
        <f ca="1">MAX(0, SUMPRODUCT($ED10:$EL10,OFFSET(DNN!$E$9:$M$9,EO$9,0)) + OFFSET(DNN!$D$9,EO$9,0))</f>
        <v>7.2346022384755949E-3</v>
      </c>
      <c r="EP10" s="84">
        <f ca="1">MAX(0, SUMPRODUCT($ED10:$EL10,OFFSET(DNN!$E$9:$M$9,EP$9,0)) + OFFSET(DNN!$D$9,EP$9,0))</f>
        <v>3.6951849750035152E-3</v>
      </c>
      <c r="EQ10" s="84">
        <f ca="1">MAX(0, SUMPRODUCT($ED10:$EL10,OFFSET(DNN!$E$9:$M$9,EQ$9,0)) + OFFSET(DNN!$D$9,EQ$9,0))</f>
        <v>0</v>
      </c>
      <c r="ER10" s="85">
        <f ca="1">MAX(0, SUMPRODUCT($ED10:$EL10,OFFSET(DNN!$E$9:$M$9,ER$9,0)) + OFFSET(DNN!$D$9,ER$9,0))</f>
        <v>0</v>
      </c>
      <c r="ET10" s="86">
        <f ca="1">MAX(0, SUMPRODUCT($EN10:$ER10,OFFSET(DNN!$Q$9:$U$9,ET$9,0)) + OFFSET(DNN!$P$9,ET$9,0))</f>
        <v>4.3954959453478351E-4</v>
      </c>
      <c r="EU10" s="84">
        <f ca="1">MAX(0, SUMPRODUCT($EN10:$ER10,OFFSET(DNN!$Q$9:$U$9,EU$9,0)) + OFFSET(DNN!$P$9,EU$9,0))</f>
        <v>0</v>
      </c>
      <c r="EV10" s="84">
        <f ca="1">MAX(0, SUMPRODUCT($EN10:$ER10,OFFSET(DNN!$Q$9:$U$9,EV$9,0)) + OFFSET(DNN!$P$9,EV$9,0))</f>
        <v>1.2810123361902579E-3</v>
      </c>
      <c r="EW10" s="84">
        <f ca="1">MAX(0, SUMPRODUCT($EN10:$ER10,OFFSET(DNN!$Q$9:$U$9,EW$9,0)) + OFFSET(DNN!$P$9,EW$9,0))</f>
        <v>7.8382123007882457E-4</v>
      </c>
      <c r="EX10" s="85">
        <f ca="1">MAX(0, SUMPRODUCT($EN10:$ER10,OFFSET(DNN!$Q$9:$U$9,EX$9,0)) + OFFSET(DNN!$P$9,EX$9,0))</f>
        <v>0</v>
      </c>
      <c r="EZ10" s="111">
        <f ca="1">SUMPRODUCT($ET10:$EX10,OFFSET(DNN!$Y$9:$AC$9,EZ$9,0)) + OFFSET(DNN!$X$9,EZ$9,0)</f>
        <v>0.43031618918982212</v>
      </c>
      <c r="FA10" s="97">
        <f ca="1">SUMPRODUCT($ET10:$EX10,OFFSET(DNN!$Y$9:$AC$9,FA$9,0)) + OFFSET(DNN!$X$9,FA$9,0)</f>
        <v>-1.2643439935754107E-5</v>
      </c>
      <c r="FB10" s="97">
        <f ca="1">SUMPRODUCT($ET10:$EX10,OFFSET(DNN!$Y$9:$AC$9,FB$9,0)) + OFFSET(DNN!$X$9,FB$9,0)</f>
        <v>1.5239793458415756E-2</v>
      </c>
      <c r="FC10" s="97">
        <f ca="1">SUMPRODUCT($ET10:$EX10,OFFSET(DNN!$Y$9:$AC$9,FC$9,0)) + OFFSET(DNN!$X$9,FC$9,0)</f>
        <v>-8.8749521084055777E-4</v>
      </c>
      <c r="FD10" s="97">
        <f ca="1">SUMPRODUCT($ET10:$EX10,OFFSET(DNN!$Y$9:$AC$9,FD$9,0)) + OFFSET(DNN!$X$9,FD$9,0)</f>
        <v>-4.235816470721872E-4</v>
      </c>
      <c r="FE10" s="97">
        <f ca="1">SUMPRODUCT($ET10:$EX10,OFFSET(DNN!$Y$9:$AC$9,FE$9,0)) + OFFSET(DNN!$X$9,FE$9,0)</f>
        <v>-1.574182761064886E-5</v>
      </c>
      <c r="FF10" s="97">
        <f ca="1">SUMPRODUCT($ET10:$EX10,OFFSET(DNN!$Y$9:$AC$9,FF$9,0)) + OFFSET(DNN!$X$9,FF$9,0)</f>
        <v>-1.3491460223194656E-3</v>
      </c>
      <c r="FG10" s="97">
        <f ca="1">SUMPRODUCT($ET10:$EX10,OFFSET(DNN!$Y$9:$AC$9,FG$9,0)) + OFFSET(DNN!$X$9,FG$9,0)</f>
        <v>-6.2604808096248285E-2</v>
      </c>
      <c r="FH10" s="97">
        <f ca="1">SUMPRODUCT($ET10:$EX10,OFFSET(DNN!$Y$9:$AC$9,FH$9,0)) + OFFSET(DNN!$X$9,FH$9,0)</f>
        <v>8.6810016937029894E-4</v>
      </c>
      <c r="FI10" s="108">
        <f ca="1">SUMPRODUCT($ET10:$EX10,OFFSET(DNN!$Y$9:$AC$9,FI$9,0)) + OFFSET(DNN!$X$9,FI$9,0)</f>
        <v>-1.3182687612562751</v>
      </c>
      <c r="FJ10" s="98">
        <f ca="1">SUMPRODUCT($ET10:$EX10,OFFSET(DNN!$Y$9:$AC$9,FJ$9,0)) + OFFSET(DNN!$X$9,FJ$9,0)</f>
        <v>-2.2535161745939301E-5</v>
      </c>
      <c r="FL10" s="415">
        <f ca="1">MAX(EZ10:FI10)</f>
        <v>0.43031618918982212</v>
      </c>
      <c r="FM10" s="130">
        <f ca="1">EXP(EZ10-$FL10)</f>
        <v>1</v>
      </c>
      <c r="FN10" s="131">
        <f t="shared" ref="FN10:FV10" ca="1" si="76">EXP(FA10-$FL10)</f>
        <v>0.65029522127322903</v>
      </c>
      <c r="FO10" s="131">
        <f t="shared" ca="1" si="76"/>
        <v>0.66028983545318687</v>
      </c>
      <c r="FP10" s="131">
        <f t="shared" ca="1" si="76"/>
        <v>0.64972655813153501</v>
      </c>
      <c r="FQ10" s="131">
        <f t="shared" ca="1" si="76"/>
        <v>0.65002804502111444</v>
      </c>
      <c r="FR10" s="131">
        <f t="shared" ca="1" si="76"/>
        <v>0.65029320640965171</v>
      </c>
      <c r="FS10" s="131">
        <f t="shared" ca="1" si="76"/>
        <v>0.64942668056342145</v>
      </c>
      <c r="FT10" s="131">
        <f t="shared" ca="1" si="76"/>
        <v>0.61083952513994022</v>
      </c>
      <c r="FU10" s="132">
        <f t="shared" ca="1" si="76"/>
        <v>0.6508682169276182</v>
      </c>
      <c r="FV10" s="131">
        <f t="shared" ca="1" si="76"/>
        <v>0.17402001625314881</v>
      </c>
      <c r="FW10" s="83">
        <f ca="1">TANH($FJ10)</f>
        <v>-2.2535161742124597E-5</v>
      </c>
    </row>
    <row r="11" spans="1:179">
      <c r="A11" s="19">
        <f>A10+1</f>
        <v>1</v>
      </c>
      <c r="B11" s="1">
        <f ca="1">IF(K10,0,B10+1)</f>
        <v>0</v>
      </c>
      <c r="C11" s="20">
        <f ca="1">IF(K10,C10+1,C10)</f>
        <v>1</v>
      </c>
      <c r="D11" s="19" t="str">
        <f ca="1">IF(K10,D$10,G10)</f>
        <v>〇×〇×〇×--〇</v>
      </c>
      <c r="E11" s="7">
        <f t="shared" ref="E11:E74" ca="1" si="77">$DY11</f>
        <v>9</v>
      </c>
      <c r="F11" s="7">
        <f t="shared" ref="F11:F74" ca="1" si="78">AO11</f>
        <v>1</v>
      </c>
      <c r="G11" s="1" t="str">
        <f t="shared" ref="G11:G14" ca="1" si="79">AE11</f>
        <v>〇×〇×〇×--〇</v>
      </c>
      <c r="H11" s="20" t="b">
        <f t="shared" ref="H11:H41" ca="1" si="80">AP11</f>
        <v>1</v>
      </c>
      <c r="I11" s="22">
        <f ca="1">IF(K10, I$10, I10*-1)</f>
        <v>-1</v>
      </c>
      <c r="J11" s="1" t="b">
        <f ca="1">(1&lt;COUNTIF(D$10:D11,D11))</f>
        <v>1</v>
      </c>
      <c r="K11" s="1" t="b">
        <f t="shared" ref="K11:K63" ca="1" si="81">OR(H11=TRUE,J11=FALSE)</f>
        <v>1</v>
      </c>
      <c r="L11" s="7">
        <f ca="1">MATCH(TRUE,K11:K$1048576,FALSE)-1</f>
        <v>0</v>
      </c>
      <c r="M11" s="24" t="str">
        <f t="shared" ca="1" si="13"/>
        <v>〇×〇×〇×--〇_9</v>
      </c>
      <c r="N11" s="25">
        <f t="shared" ref="N11:N74" ca="1" si="82">BO11</f>
        <v>-2.2535161742124597E-5</v>
      </c>
      <c r="O11" s="26">
        <f t="shared" ref="O11:O74" ca="1" si="83">IF(K11, IF(H11, F11*I11, N11), 0)</f>
        <v>-1</v>
      </c>
      <c r="P11" s="27">
        <f t="shared" ref="P11:P74" ca="1" si="84">OFFSET(O11,L11,0) * I11*OFFSET(I11,L11,0)</f>
        <v>-1</v>
      </c>
      <c r="R11" s="41" t="str">
        <f ca="1">VLOOKUP(S11,cvt!$B$2:$C$4,2,FALSE)&amp;VLOOKUP(T11,cvt!$B$2:$C$4,2,FALSE)&amp;VLOOKUP(U11,cvt!$B$2:$C$4,2,FALSE)
&amp;VLOOKUP(V11,cvt!$B$2:$C$4,2,FALSE)&amp;VLOOKUP(W11,cvt!$B$2:$C$4,2,FALSE)&amp;VLOOKUP(X11,cvt!$B$2:$C$4,2,FALSE)
&amp;VLOOKUP(Y11,cvt!$B$2:$C$4,2,FALSE)&amp;VLOOKUP(Z11,cvt!$B$2:$C$4,2,FALSE)&amp;VLOOKUP(AA11,cvt!$B$2:$C$4,2,FALSE)</f>
        <v>〇×〇×〇×--〇</v>
      </c>
      <c r="S11" s="7">
        <f ca="1">VLOOKUP(MID($D11,S$9+1,1), cvt!$A$2:$B$4,2, FALSE)</f>
        <v>1</v>
      </c>
      <c r="T11" s="7">
        <f ca="1">VLOOKUP(MID($D11,T$9+1,1), cvt!$A$2:$B$4,2, FALSE)</f>
        <v>-1</v>
      </c>
      <c r="U11" s="7">
        <f ca="1">VLOOKUP(MID($D11,U$9+1,1), cvt!$A$2:$B$4,2, FALSE)</f>
        <v>1</v>
      </c>
      <c r="V11" s="17">
        <f ca="1">VLOOKUP(MID($D11,V$9+1,1), cvt!$A$2:$B$4,2, FALSE)</f>
        <v>-1</v>
      </c>
      <c r="W11" s="7">
        <f ca="1">VLOOKUP(MID($D11,W$9+1,1), cvt!$A$2:$B$4,2, FALSE)</f>
        <v>1</v>
      </c>
      <c r="X11" s="18">
        <f ca="1">VLOOKUP(MID($D11,X$9+1,1), cvt!$A$2:$B$4,2, FALSE)</f>
        <v>-1</v>
      </c>
      <c r="Y11" s="7">
        <f ca="1">VLOOKUP(MID($D11,Y$9+1,1), cvt!$A$2:$B$4,2, FALSE)</f>
        <v>0</v>
      </c>
      <c r="Z11" s="7">
        <f ca="1">VLOOKUP(MID($D11,Z$9+1,1), cvt!$A$2:$B$4,2, FALSE)</f>
        <v>0</v>
      </c>
      <c r="AA11" s="42">
        <f ca="1">VLOOKUP(MID($D11,AA$9+1,1), cvt!$A$2:$B$4,2, FALSE)</f>
        <v>1</v>
      </c>
      <c r="AB11" s="7">
        <f t="shared" ref="AB11:AB74" ca="1" si="85">IF(OR(SUM(S11:U11)=3,SUM(V11:X11)=3,SUM(Y11:AA11)=3,
(S11+V11+Y11)=3,(T11+W11+Z11)=3,(U11+X11+AA11)=3,
(S11+W11+AA11)=3,(U11+W11+Y11=3)),1,
IF(
OR(SUM(S11:U11)=-3,SUM(V11:X11)=-3,SUM(Y11:AA11)=-3,
(S11+V11+Y11)=-3,(T11+W11+Z11)=-3,(U11+X11+AA11)=-3,
(S11+W11+AA11)=-3,(U11+W11+Y11=-3)),-1,0))</f>
        <v>1</v>
      </c>
      <c r="AC11" s="50" t="b">
        <f t="shared" ref="AC11:AC74" ca="1" si="86">OR(AB11&lt;&gt;0,COUNTIF(S11:AA11,0)=0)</f>
        <v>1</v>
      </c>
      <c r="AE11" s="19" t="str">
        <f ca="1">VLOOKUP(AF11,cvt!$B$2:$C$4,2,FALSE)&amp;VLOOKUP(AG11,cvt!$B$2:$C$4,2,FALSE)&amp;VLOOKUP(AH11,cvt!$B$2:$C$4,2,FALSE)
&amp;VLOOKUP(AI11,cvt!$B$2:$C$4,2,FALSE)&amp;VLOOKUP(AJ11,cvt!$B$2:$C$4,2,FALSE)&amp;VLOOKUP(AK11,cvt!$B$2:$C$4,2,FALSE)
&amp;VLOOKUP(AL11,cvt!$B$2:$C$4,2,FALSE)&amp;VLOOKUP(AM11,cvt!$B$2:$C$4,2,FALSE)&amp;VLOOKUP(AN11,cvt!$B$2:$C$4,2,FALSE)</f>
        <v>〇×〇×〇×--〇</v>
      </c>
      <c r="AF11" s="17">
        <f t="shared" ca="1" si="14"/>
        <v>1</v>
      </c>
      <c r="AG11" s="7">
        <f t="shared" ca="1" si="15"/>
        <v>-1</v>
      </c>
      <c r="AH11" s="7">
        <f t="shared" ca="1" si="16"/>
        <v>1</v>
      </c>
      <c r="AI11" s="17">
        <f t="shared" ca="1" si="17"/>
        <v>-1</v>
      </c>
      <c r="AJ11" s="7">
        <f t="shared" ca="1" si="18"/>
        <v>1</v>
      </c>
      <c r="AK11" s="18">
        <f t="shared" ca="1" si="19"/>
        <v>-1</v>
      </c>
      <c r="AL11" s="7">
        <f t="shared" ca="1" si="20"/>
        <v>0</v>
      </c>
      <c r="AM11" s="7">
        <f t="shared" ca="1" si="21"/>
        <v>0</v>
      </c>
      <c r="AN11" s="18">
        <f t="shared" ca="1" si="22"/>
        <v>1</v>
      </c>
      <c r="AO11" s="7">
        <f ca="1">IF(OR(SUM(AF11:AH11)=3,SUM(AI11:AK11)=3,SUM(AL11:AN11)=3,
(AF11+AI11+AL11)=3,(AG11+AJ11+AM11)=3,(AH11+AK11+AN11)=3,
(AF11+AJ11+AN11)=3,(AH11+AJ11+AL11=3)),1,
IF(
OR(SUM(AF11:AH11)=-3,SUM(AI11:AK11)=-3,SUM(AL11:AN11)=-3,
(AF11+AI11+AL11)=-3,(AG11+AJ11+AM11)=-3,(AH11+AK11+AN11)=-3,
(AF11+AJ11+AN11)=-3,(AH11+AJ11+AL11=-3)),-1,0))</f>
        <v>1</v>
      </c>
      <c r="AP11" s="50" t="b">
        <f t="shared" ref="AP11:AP63" ca="1" si="87">OR(AO11&lt;&gt;0,COUNTIF(AF11:AN11,0)=0)</f>
        <v>1</v>
      </c>
      <c r="AS11" s="22">
        <f t="shared" ref="AS11:AS74" ca="1" si="88">IF(AND(S11=0,$AC11=FALSE),1,0)</f>
        <v>0</v>
      </c>
      <c r="AT11" s="7">
        <f t="shared" ca="1" si="23"/>
        <v>0</v>
      </c>
      <c r="AU11" s="7">
        <f t="shared" ca="1" si="24"/>
        <v>0</v>
      </c>
      <c r="AV11" s="7">
        <f t="shared" ca="1" si="25"/>
        <v>0</v>
      </c>
      <c r="AW11" s="7">
        <f t="shared" ca="1" si="26"/>
        <v>0</v>
      </c>
      <c r="AX11" s="7">
        <f t="shared" ca="1" si="27"/>
        <v>0</v>
      </c>
      <c r="AY11" s="7">
        <f t="shared" ca="1" si="28"/>
        <v>0</v>
      </c>
      <c r="AZ11" s="7">
        <f t="shared" ca="1" si="29"/>
        <v>0</v>
      </c>
      <c r="BA11" s="18">
        <f t="shared" ca="1" si="30"/>
        <v>0</v>
      </c>
      <c r="BB11" s="295">
        <f t="shared" ref="BB11:BB74" ca="1" si="89">IF(SUM(AS11:BA11)=0,1,0)</f>
        <v>1</v>
      </c>
      <c r="BD11" s="132"/>
      <c r="BE11" s="297">
        <f t="shared" ref="BE11:BE74" ca="1" si="90">FM11</f>
        <v>1</v>
      </c>
      <c r="BF11" s="298">
        <f t="shared" ca="1" si="31"/>
        <v>0.65029522127322903</v>
      </c>
      <c r="BG11" s="298">
        <f t="shared" ca="1" si="32"/>
        <v>0.66028983545318687</v>
      </c>
      <c r="BH11" s="318">
        <f t="shared" ca="1" si="33"/>
        <v>0.64972655813153501</v>
      </c>
      <c r="BI11" s="298">
        <f t="shared" ca="1" si="34"/>
        <v>0.65002804502111444</v>
      </c>
      <c r="BJ11" s="299">
        <f t="shared" ca="1" si="35"/>
        <v>0.65029320640965171</v>
      </c>
      <c r="BK11" s="298">
        <f t="shared" ca="1" si="36"/>
        <v>0.64942668056342145</v>
      </c>
      <c r="BL11" s="298">
        <f t="shared" ca="1" si="37"/>
        <v>0.61083952513994022</v>
      </c>
      <c r="BM11" s="299">
        <f t="shared" ca="1" si="38"/>
        <v>0.6508682169276182</v>
      </c>
      <c r="BN11" s="295">
        <f t="shared" ca="1" si="39"/>
        <v>0.17402001625314881</v>
      </c>
      <c r="BO11" s="248">
        <f t="shared" ref="BO11:BO74" ca="1" si="91">$FW11</f>
        <v>-2.2535161742124597E-5</v>
      </c>
      <c r="BQ11" s="304">
        <f t="shared" ref="BQ11:BQ74" ca="1" si="92">SUM(BR11:CA11)</f>
        <v>0.1741200162531488</v>
      </c>
      <c r="BR11" s="297">
        <f t="shared" ref="BR11:BR74" ca="1" si="93">(BE11 + 0.25*IF($B11=0, RANDBETWEEN(0,1), 0) + 1/10000) * AS11</f>
        <v>0</v>
      </c>
      <c r="BS11" s="298">
        <f t="shared" ca="1" si="40"/>
        <v>0</v>
      </c>
      <c r="BT11" s="298">
        <f t="shared" ca="1" si="41"/>
        <v>0</v>
      </c>
      <c r="BU11" s="318">
        <f t="shared" ca="1" si="42"/>
        <v>0</v>
      </c>
      <c r="BV11" s="298">
        <f t="shared" ca="1" si="43"/>
        <v>0</v>
      </c>
      <c r="BW11" s="299">
        <f t="shared" ca="1" si="44"/>
        <v>0</v>
      </c>
      <c r="BX11" s="298">
        <f t="shared" ca="1" si="45"/>
        <v>0</v>
      </c>
      <c r="BY11" s="298">
        <f t="shared" ca="1" si="46"/>
        <v>0</v>
      </c>
      <c r="BZ11" s="298">
        <f t="shared" ca="1" si="47"/>
        <v>0</v>
      </c>
      <c r="CA11" s="315">
        <f t="shared" ca="1" si="48"/>
        <v>0.1741200162531488</v>
      </c>
      <c r="CC11" s="52"/>
      <c r="CD11" s="306">
        <f t="shared" ref="CD11:CD74" ca="1" si="94">BR11/$BQ11</f>
        <v>0</v>
      </c>
      <c r="CE11" s="15">
        <f t="shared" ca="1" si="49"/>
        <v>0</v>
      </c>
      <c r="CF11" s="15">
        <f t="shared" ca="1" si="50"/>
        <v>0</v>
      </c>
      <c r="CG11" s="286">
        <f t="shared" ca="1" si="51"/>
        <v>0</v>
      </c>
      <c r="CH11" s="15">
        <f t="shared" ca="1" si="52"/>
        <v>0</v>
      </c>
      <c r="CI11" s="288">
        <f t="shared" ca="1" si="53"/>
        <v>0</v>
      </c>
      <c r="CJ11" s="15">
        <f t="shared" ca="1" si="54"/>
        <v>0</v>
      </c>
      <c r="CK11" s="15">
        <f t="shared" ca="1" si="55"/>
        <v>0</v>
      </c>
      <c r="CL11" s="15">
        <f t="shared" ca="1" si="56"/>
        <v>0</v>
      </c>
      <c r="CM11" s="313">
        <f t="shared" ca="1" si="57"/>
        <v>1</v>
      </c>
      <c r="CO11" s="320">
        <f t="shared" ref="CO11:CO74" ca="1" si="95">SUM(CP11:CY11)</f>
        <v>0</v>
      </c>
      <c r="CP11" s="22">
        <f ca="1">COUNTIFS($C$10:$C10,"&lt;"&amp;$C11,$M$10:$M10,$D11&amp;"_"&amp;CP$9)</f>
        <v>0</v>
      </c>
      <c r="CQ11" s="7">
        <f ca="1">COUNTIFS($C$10:$C10,"&lt;"&amp;$C11,$M$10:$M10,$D11&amp;"_"&amp;CQ$9)</f>
        <v>0</v>
      </c>
      <c r="CR11" s="7">
        <f ca="1">COUNTIFS($C$10:$C10,"&lt;"&amp;$C11,$M$10:$M10,$D11&amp;"_"&amp;CR$9)</f>
        <v>0</v>
      </c>
      <c r="CS11" s="17">
        <f ca="1">COUNTIFS($C$10:$C10,"&lt;"&amp;$C11,$M$10:$M10,$D11&amp;"_"&amp;CS$9)</f>
        <v>0</v>
      </c>
      <c r="CT11" s="7">
        <f ca="1">COUNTIFS($C$10:$C10,"&lt;"&amp;$C11,$M$10:$M10,$D11&amp;"_"&amp;CT$9)</f>
        <v>0</v>
      </c>
      <c r="CU11" s="18">
        <f ca="1">COUNTIFS($C$10:$C10,"&lt;"&amp;$C11,$M$10:$M10,$D11&amp;"_"&amp;CU$9)</f>
        <v>0</v>
      </c>
      <c r="CV11" s="7">
        <f ca="1">COUNTIFS($C$10:$C10,"&lt;"&amp;$C11,$M$10:$M10,$D11&amp;"_"&amp;CV$9)</f>
        <v>0</v>
      </c>
      <c r="CW11" s="7">
        <f ca="1">COUNTIFS($C$10:$C10,"&lt;"&amp;$C11,$M$10:$M10,$D11&amp;"_"&amp;CW$9)</f>
        <v>0</v>
      </c>
      <c r="CX11" s="7">
        <f ca="1">COUNTIFS($C$10:$C10,"&lt;"&amp;$C11,$M$10:$M10,$D11&amp;"_"&amp;CX$9)</f>
        <v>0</v>
      </c>
      <c r="CY11" s="221">
        <f ca="1">COUNTIFS($C$10:$C10,"&lt;"&amp;$C11,$M$10:$M10,$D11&amp;"_"&amp;CY$9)</f>
        <v>0</v>
      </c>
      <c r="DA11" s="20"/>
      <c r="DB11" s="308">
        <f ca="1">IF(CP11=0,0,SUMIFS($P$10:$P10, $C$10:$C10,"&lt;"&amp;$C11, $M$10:$M10,$D11&amp;"_"&amp;DB$9)/CP11)</f>
        <v>0</v>
      </c>
      <c r="DC11" s="263">
        <f ca="1">IF(CQ11=0,0,SUMIFS($P$10:$P10, $C$10:$C10,"&lt;"&amp;$C11, $M$10:$M10,$D11&amp;"_"&amp;DC$9)/CQ11)</f>
        <v>0</v>
      </c>
      <c r="DD11" s="263">
        <f ca="1">IF(CR11=0,0,SUMIFS($P$10:$P10, $C$10:$C10,"&lt;"&amp;$C11, $M$10:$M10,$D11&amp;"_"&amp;DD$9)/CR11)</f>
        <v>0</v>
      </c>
      <c r="DE11" s="262">
        <f ca="1">IF(CS11=0,0,SUMIFS($P$10:$P10, $C$10:$C10,"&lt;"&amp;$C11, $M$10:$M10,$D11&amp;"_"&amp;DE$9)/CS11)</f>
        <v>0</v>
      </c>
      <c r="DF11" s="263">
        <f ca="1">IF(CT11=0,0,SUMIFS($P$10:$P10, $C$10:$C10,"&lt;"&amp;$C11, $M$10:$M10,$D11&amp;"_"&amp;DF$9)/CT11)</f>
        <v>0</v>
      </c>
      <c r="DG11" s="310">
        <f ca="1">IF(CU11=0,0,SUMIFS($P$10:$P10, $C$10:$C10,"&lt;"&amp;$C11, $M$10:$M10,$D11&amp;"_"&amp;DG$9)/CU11)</f>
        <v>0</v>
      </c>
      <c r="DH11" s="263">
        <f ca="1">IF(CV11=0,0,SUMIFS($P$10:$P10, $C$10:$C10,"&lt;"&amp;$C11, $M$10:$M10,$D11&amp;"_"&amp;DH$9)/CV11)</f>
        <v>0</v>
      </c>
      <c r="DI11" s="263">
        <f ca="1">IF(CW11=0,0,SUMIFS($P$10:$P10, $C$10:$C10,"&lt;"&amp;$C11, $M$10:$M10,$D11&amp;"_"&amp;DI$9)/CW11)</f>
        <v>0</v>
      </c>
      <c r="DJ11" s="264">
        <f ca="1">IF(CX11=0,0,SUMIFS($P$10:$P10, $C$10:$C10,"&lt;"&amp;$C11, $M$10:$M10,$D11&amp;"_"&amp;DJ$9)/CX11)</f>
        <v>0</v>
      </c>
      <c r="DK11" s="264">
        <f ca="1">IF(CY11=0,0,SUMIFS($P$10:$P10, $C$10:$C10,"&lt;"&amp;$C11, $M$10:$M10,$D11&amp;"_"&amp;DK$9)/CY11)</f>
        <v>0</v>
      </c>
      <c r="DM11" s="104"/>
      <c r="DN11" s="306">
        <f t="shared" ref="DN11:DN74" ca="1" si="96">IF(AS11=0, -9999, DB11 + 1*CD11*SQRT($CO11)/(1+CP11))</f>
        <v>-9999</v>
      </c>
      <c r="DO11" s="15">
        <f t="shared" ca="1" si="58"/>
        <v>-9999</v>
      </c>
      <c r="DP11" s="15">
        <f t="shared" ca="1" si="59"/>
        <v>-9999</v>
      </c>
      <c r="DQ11" s="15">
        <f t="shared" ca="1" si="60"/>
        <v>-9999</v>
      </c>
      <c r="DR11" s="15">
        <f t="shared" ca="1" si="61"/>
        <v>-9999</v>
      </c>
      <c r="DS11" s="15">
        <f t="shared" ca="1" si="62"/>
        <v>-9999</v>
      </c>
      <c r="DT11" s="15">
        <f t="shared" ca="1" si="63"/>
        <v>-9999</v>
      </c>
      <c r="DU11" s="15">
        <f t="shared" ca="1" si="64"/>
        <v>-9999</v>
      </c>
      <c r="DV11" s="52">
        <f t="shared" ca="1" si="65"/>
        <v>-9999</v>
      </c>
      <c r="DW11" s="313">
        <f t="shared" ca="1" si="66"/>
        <v>0</v>
      </c>
      <c r="DX11" s="52"/>
      <c r="DY11" s="402">
        <f t="shared" ref="DY11:DY74" ca="1" si="97">MATCH(MAX(DN11:DW11),DN11:DW11,FALSE)-1</f>
        <v>9</v>
      </c>
      <c r="ED11" s="19">
        <f t="shared" ca="1" si="67"/>
        <v>-1</v>
      </c>
      <c r="EE11" s="1">
        <f t="shared" ca="1" si="68"/>
        <v>1</v>
      </c>
      <c r="EF11" s="1">
        <f t="shared" ca="1" si="69"/>
        <v>-1</v>
      </c>
      <c r="EG11" s="2">
        <f t="shared" ca="1" si="70"/>
        <v>1</v>
      </c>
      <c r="EH11" s="1">
        <f t="shared" ca="1" si="71"/>
        <v>-1</v>
      </c>
      <c r="EI11" s="3">
        <f t="shared" ca="1" si="72"/>
        <v>1</v>
      </c>
      <c r="EJ11" s="1">
        <f t="shared" ca="1" si="73"/>
        <v>0</v>
      </c>
      <c r="EK11" s="1">
        <f t="shared" ca="1" si="74"/>
        <v>0</v>
      </c>
      <c r="EL11" s="20">
        <f t="shared" ca="1" si="75"/>
        <v>-1</v>
      </c>
      <c r="EN11" s="86">
        <f ca="1">MAX(0, SUMPRODUCT($ED11:$EL11,OFFSET(DNN!$E$9:$M$9,EN$9,0)) + OFFSET(DNN!$D$9,EN$9,0))</f>
        <v>0</v>
      </c>
      <c r="EO11" s="84">
        <f ca="1">MAX(0, SUMPRODUCT($ED11:$EL11,OFFSET(DNN!$E$9:$M$9,EO$9,0)) + OFFSET(DNN!$D$9,EO$9,0))</f>
        <v>7.2346022384755949E-3</v>
      </c>
      <c r="EP11" s="84">
        <f ca="1">MAX(0, SUMPRODUCT($ED11:$EL11,OFFSET(DNN!$E$9:$M$9,EP$9,0)) + OFFSET(DNN!$D$9,EP$9,0))</f>
        <v>3.6951849750035152E-3</v>
      </c>
      <c r="EQ11" s="84">
        <f ca="1">MAX(0, SUMPRODUCT($ED11:$EL11,OFFSET(DNN!$E$9:$M$9,EQ$9,0)) + OFFSET(DNN!$D$9,EQ$9,0))</f>
        <v>0</v>
      </c>
      <c r="ER11" s="85">
        <f ca="1">MAX(0, SUMPRODUCT($ED11:$EL11,OFFSET(DNN!$E$9:$M$9,ER$9,0)) + OFFSET(DNN!$D$9,ER$9,0))</f>
        <v>0</v>
      </c>
      <c r="ET11" s="86">
        <f ca="1">MAX(0, SUMPRODUCT($EN11:$ER11,OFFSET(DNN!$Q$9:$U$9,ET$9,0)) + OFFSET(DNN!$P$9,ET$9,0))</f>
        <v>4.3954959453478351E-4</v>
      </c>
      <c r="EU11" s="84">
        <f ca="1">MAX(0, SUMPRODUCT($EN11:$ER11,OFFSET(DNN!$Q$9:$U$9,EU$9,0)) + OFFSET(DNN!$P$9,EU$9,0))</f>
        <v>0</v>
      </c>
      <c r="EV11" s="84">
        <f ca="1">MAX(0, SUMPRODUCT($EN11:$ER11,OFFSET(DNN!$Q$9:$U$9,EV$9,0)) + OFFSET(DNN!$P$9,EV$9,0))</f>
        <v>1.2810123361902579E-3</v>
      </c>
      <c r="EW11" s="84">
        <f ca="1">MAX(0, SUMPRODUCT($EN11:$ER11,OFFSET(DNN!$Q$9:$U$9,EW$9,0)) + OFFSET(DNN!$P$9,EW$9,0))</f>
        <v>7.8382123007882457E-4</v>
      </c>
      <c r="EX11" s="85">
        <f ca="1">MAX(0, SUMPRODUCT($EN11:$ER11,OFFSET(DNN!$Q$9:$U$9,EX$9,0)) + OFFSET(DNN!$P$9,EX$9,0))</f>
        <v>0</v>
      </c>
      <c r="EZ11" s="111">
        <f ca="1">SUMPRODUCT($ET11:$EX11,OFFSET(DNN!$Y$9:$AC$9,EZ$9,0)) + OFFSET(DNN!$X$9,EZ$9,0)</f>
        <v>0.43031618918982212</v>
      </c>
      <c r="FA11" s="97">
        <f ca="1">SUMPRODUCT($ET11:$EX11,OFFSET(DNN!$Y$9:$AC$9,FA$9,0)) + OFFSET(DNN!$X$9,FA$9,0)</f>
        <v>-1.2643439935754107E-5</v>
      </c>
      <c r="FB11" s="97">
        <f ca="1">SUMPRODUCT($ET11:$EX11,OFFSET(DNN!$Y$9:$AC$9,FB$9,0)) + OFFSET(DNN!$X$9,FB$9,0)</f>
        <v>1.5239793458415756E-2</v>
      </c>
      <c r="FC11" s="97">
        <f ca="1">SUMPRODUCT($ET11:$EX11,OFFSET(DNN!$Y$9:$AC$9,FC$9,0)) + OFFSET(DNN!$X$9,FC$9,0)</f>
        <v>-8.8749521084055777E-4</v>
      </c>
      <c r="FD11" s="97">
        <f ca="1">SUMPRODUCT($ET11:$EX11,OFFSET(DNN!$Y$9:$AC$9,FD$9,0)) + OFFSET(DNN!$X$9,FD$9,0)</f>
        <v>-4.235816470721872E-4</v>
      </c>
      <c r="FE11" s="97">
        <f ca="1">SUMPRODUCT($ET11:$EX11,OFFSET(DNN!$Y$9:$AC$9,FE$9,0)) + OFFSET(DNN!$X$9,FE$9,0)</f>
        <v>-1.574182761064886E-5</v>
      </c>
      <c r="FF11" s="97">
        <f ca="1">SUMPRODUCT($ET11:$EX11,OFFSET(DNN!$Y$9:$AC$9,FF$9,0)) + OFFSET(DNN!$X$9,FF$9,0)</f>
        <v>-1.3491460223194656E-3</v>
      </c>
      <c r="FG11" s="97">
        <f ca="1">SUMPRODUCT($ET11:$EX11,OFFSET(DNN!$Y$9:$AC$9,FG$9,0)) + OFFSET(DNN!$X$9,FG$9,0)</f>
        <v>-6.2604808096248285E-2</v>
      </c>
      <c r="FH11" s="97">
        <f ca="1">SUMPRODUCT($ET11:$EX11,OFFSET(DNN!$Y$9:$AC$9,FH$9,0)) + OFFSET(DNN!$X$9,FH$9,0)</f>
        <v>8.6810016937029894E-4</v>
      </c>
      <c r="FI11" s="108">
        <f ca="1">SUMPRODUCT($ET11:$EX11,OFFSET(DNN!$Y$9:$AC$9,FI$9,0)) + OFFSET(DNN!$X$9,FI$9,0)</f>
        <v>-1.3182687612562751</v>
      </c>
      <c r="FJ11" s="98">
        <f ca="1">SUMPRODUCT($ET11:$EX11,OFFSET(DNN!$Y$9:$AC$9,FJ$9,0)) + OFFSET(DNN!$X$9,FJ$9,0)</f>
        <v>-2.2535161745939301E-5</v>
      </c>
      <c r="FL11" s="415">
        <f t="shared" ref="FL11:FL74" ca="1" si="98">MAX(EZ11:FI11)</f>
        <v>0.43031618918982212</v>
      </c>
      <c r="FM11" s="130">
        <f t="shared" ref="FM11:FM74" ca="1" si="99">EXP(EZ11-$FL11)</f>
        <v>1</v>
      </c>
      <c r="FN11" s="131">
        <f t="shared" ref="FN11:FN74" ca="1" si="100">EXP(FA11-$FL11)</f>
        <v>0.65029522127322903</v>
      </c>
      <c r="FO11" s="131">
        <f t="shared" ref="FO11:FO74" ca="1" si="101">EXP(FB11-$FL11)</f>
        <v>0.66028983545318687</v>
      </c>
      <c r="FP11" s="131">
        <f t="shared" ref="FP11:FP74" ca="1" si="102">EXP(FC11-$FL11)</f>
        <v>0.64972655813153501</v>
      </c>
      <c r="FQ11" s="131">
        <f t="shared" ref="FQ11:FQ74" ca="1" si="103">EXP(FD11-$FL11)</f>
        <v>0.65002804502111444</v>
      </c>
      <c r="FR11" s="131">
        <f t="shared" ref="FR11:FR74" ca="1" si="104">EXP(FE11-$FL11)</f>
        <v>0.65029320640965171</v>
      </c>
      <c r="FS11" s="131">
        <f t="shared" ref="FS11:FS74" ca="1" si="105">EXP(FF11-$FL11)</f>
        <v>0.64942668056342145</v>
      </c>
      <c r="FT11" s="131">
        <f t="shared" ref="FT11:FT74" ca="1" si="106">EXP(FG11-$FL11)</f>
        <v>0.61083952513994022</v>
      </c>
      <c r="FU11" s="132">
        <f t="shared" ref="FU11:FU74" ca="1" si="107">EXP(FH11-$FL11)</f>
        <v>0.6508682169276182</v>
      </c>
      <c r="FV11" s="131">
        <f t="shared" ref="FV11:FV74" ca="1" si="108">EXP(FI11-$FL11)</f>
        <v>0.17402001625314881</v>
      </c>
      <c r="FW11" s="83">
        <f t="shared" ref="FW11:FW74" ca="1" si="109">TANH($FJ11)</f>
        <v>-2.2535161742124597E-5</v>
      </c>
    </row>
    <row r="12" spans="1:179">
      <c r="A12" s="19">
        <f t="shared" ref="A12:A18" si="110">A11+1</f>
        <v>2</v>
      </c>
      <c r="B12" s="1">
        <f t="shared" ref="B12:B75" ca="1" si="111">IF(K11,0,B11+1)</f>
        <v>0</v>
      </c>
      <c r="C12" s="20">
        <f t="shared" ref="C12:C75" ca="1" si="112">IF(K11,C11+1,C11)</f>
        <v>2</v>
      </c>
      <c r="D12" s="19" t="str">
        <f t="shared" ref="D12:D75" ca="1" si="113">IF(K11,D$10,G11)</f>
        <v>〇×〇×〇×--〇</v>
      </c>
      <c r="E12" s="7">
        <f t="shared" ca="1" si="77"/>
        <v>9</v>
      </c>
      <c r="F12" s="7">
        <f t="shared" ca="1" si="78"/>
        <v>1</v>
      </c>
      <c r="G12" s="1" t="str">
        <f t="shared" ca="1" si="79"/>
        <v>〇×〇×〇×--〇</v>
      </c>
      <c r="H12" s="20" t="b">
        <f t="shared" ca="1" si="80"/>
        <v>1</v>
      </c>
      <c r="I12" s="22">
        <f t="shared" ref="I12:I75" ca="1" si="114">IF(K11, I$10, I11*-1)</f>
        <v>-1</v>
      </c>
      <c r="J12" s="1" t="b">
        <f ca="1">(1&lt;COUNTIF(D$10:D12,D12))</f>
        <v>1</v>
      </c>
      <c r="K12" s="1" t="b">
        <f t="shared" ca="1" si="81"/>
        <v>1</v>
      </c>
      <c r="L12" s="7">
        <f ca="1">MATCH(TRUE,K12:K$1048576,FALSE)-1</f>
        <v>0</v>
      </c>
      <c r="M12" s="24" t="str">
        <f t="shared" ca="1" si="13"/>
        <v>〇×〇×〇×--〇_9</v>
      </c>
      <c r="N12" s="25">
        <f t="shared" ca="1" si="82"/>
        <v>-2.2535161742124597E-5</v>
      </c>
      <c r="O12" s="26">
        <f t="shared" ca="1" si="83"/>
        <v>-1</v>
      </c>
      <c r="P12" s="27">
        <f t="shared" ca="1" si="84"/>
        <v>-1</v>
      </c>
      <c r="R12" s="41" t="str">
        <f ca="1">VLOOKUP(S12,cvt!$B$2:$C$4,2,FALSE)&amp;VLOOKUP(T12,cvt!$B$2:$C$4,2,FALSE)&amp;VLOOKUP(U12,cvt!$B$2:$C$4,2,FALSE)
&amp;VLOOKUP(V12,cvt!$B$2:$C$4,2,FALSE)&amp;VLOOKUP(W12,cvt!$B$2:$C$4,2,FALSE)&amp;VLOOKUP(X12,cvt!$B$2:$C$4,2,FALSE)
&amp;VLOOKUP(Y12,cvt!$B$2:$C$4,2,FALSE)&amp;VLOOKUP(Z12,cvt!$B$2:$C$4,2,FALSE)&amp;VLOOKUP(AA12,cvt!$B$2:$C$4,2,FALSE)</f>
        <v>〇×〇×〇×--〇</v>
      </c>
      <c r="S12" s="7">
        <f ca="1">VLOOKUP(MID($D12,S$9+1,1), cvt!$A$2:$B$4,2, FALSE)</f>
        <v>1</v>
      </c>
      <c r="T12" s="7">
        <f ca="1">VLOOKUP(MID($D12,T$9+1,1), cvt!$A$2:$B$4,2, FALSE)</f>
        <v>-1</v>
      </c>
      <c r="U12" s="7">
        <f ca="1">VLOOKUP(MID($D12,U$9+1,1), cvt!$A$2:$B$4,2, FALSE)</f>
        <v>1</v>
      </c>
      <c r="V12" s="17">
        <f ca="1">VLOOKUP(MID($D12,V$9+1,1), cvt!$A$2:$B$4,2, FALSE)</f>
        <v>-1</v>
      </c>
      <c r="W12" s="7">
        <f ca="1">VLOOKUP(MID($D12,W$9+1,1), cvt!$A$2:$B$4,2, FALSE)</f>
        <v>1</v>
      </c>
      <c r="X12" s="18">
        <f ca="1">VLOOKUP(MID($D12,X$9+1,1), cvt!$A$2:$B$4,2, FALSE)</f>
        <v>-1</v>
      </c>
      <c r="Y12" s="7">
        <f ca="1">VLOOKUP(MID($D12,Y$9+1,1), cvt!$A$2:$B$4,2, FALSE)</f>
        <v>0</v>
      </c>
      <c r="Z12" s="7">
        <f ca="1">VLOOKUP(MID($D12,Z$9+1,1), cvt!$A$2:$B$4,2, FALSE)</f>
        <v>0</v>
      </c>
      <c r="AA12" s="42">
        <f ca="1">VLOOKUP(MID($D12,AA$9+1,1), cvt!$A$2:$B$4,2, FALSE)</f>
        <v>1</v>
      </c>
      <c r="AB12" s="7">
        <f t="shared" ca="1" si="85"/>
        <v>1</v>
      </c>
      <c r="AC12" s="50" t="b">
        <f t="shared" ca="1" si="86"/>
        <v>1</v>
      </c>
      <c r="AE12" s="19" t="str">
        <f ca="1">VLOOKUP(AF12,cvt!$B$2:$C$4,2,FALSE)&amp;VLOOKUP(AG12,cvt!$B$2:$C$4,2,FALSE)&amp;VLOOKUP(AH12,cvt!$B$2:$C$4,2,FALSE)
&amp;VLOOKUP(AI12,cvt!$B$2:$C$4,2,FALSE)&amp;VLOOKUP(AJ12,cvt!$B$2:$C$4,2,FALSE)&amp;VLOOKUP(AK12,cvt!$B$2:$C$4,2,FALSE)
&amp;VLOOKUP(AL12,cvt!$B$2:$C$4,2,FALSE)&amp;VLOOKUP(AM12,cvt!$B$2:$C$4,2,FALSE)&amp;VLOOKUP(AN12,cvt!$B$2:$C$4,2,FALSE)</f>
        <v>〇×〇×〇×--〇</v>
      </c>
      <c r="AF12" s="17">
        <f t="shared" ca="1" si="14"/>
        <v>1</v>
      </c>
      <c r="AG12" s="7">
        <f t="shared" ca="1" si="15"/>
        <v>-1</v>
      </c>
      <c r="AH12" s="7">
        <f t="shared" ca="1" si="16"/>
        <v>1</v>
      </c>
      <c r="AI12" s="17">
        <f t="shared" ca="1" si="17"/>
        <v>-1</v>
      </c>
      <c r="AJ12" s="7">
        <f t="shared" ca="1" si="18"/>
        <v>1</v>
      </c>
      <c r="AK12" s="18">
        <f t="shared" ca="1" si="19"/>
        <v>-1</v>
      </c>
      <c r="AL12" s="7">
        <f t="shared" ca="1" si="20"/>
        <v>0</v>
      </c>
      <c r="AM12" s="7">
        <f t="shared" ca="1" si="21"/>
        <v>0</v>
      </c>
      <c r="AN12" s="18">
        <f t="shared" ca="1" si="22"/>
        <v>1</v>
      </c>
      <c r="AO12" s="7">
        <f t="shared" ref="AO11:AO74" ca="1" si="115">IF(OR(SUM(AF12:AH12)=3,SUM(AI12:AK12)=3,SUM(AL12:AN12)=3,
(AF12+AI12+AL12)=3,(AG12+AJ12+AM12)=3,(AH12+AK12+AN12)=3,
(AF12+AJ12+AN12)=3,(AH12+AJ12+AL12=3)),1,
IF(
OR(SUM(AF12:AH12)=-3,SUM(AI12:AK12)=-3,SUM(AL12:AN12)=-3,
(AF12+AI12+AL12)=-3,(AG12+AJ12+AM12)=-3,(AH12+AK12+AN12)=-3,
(AF12+AJ12+AN12)=-3,(AH12+AJ12+AL12=-3)),-1,0))</f>
        <v>1</v>
      </c>
      <c r="AP12" s="50" t="b">
        <f t="shared" ca="1" si="87"/>
        <v>1</v>
      </c>
      <c r="AS12" s="22">
        <f t="shared" ca="1" si="88"/>
        <v>0</v>
      </c>
      <c r="AT12" s="7">
        <f t="shared" ca="1" si="23"/>
        <v>0</v>
      </c>
      <c r="AU12" s="7">
        <f t="shared" ca="1" si="24"/>
        <v>0</v>
      </c>
      <c r="AV12" s="7">
        <f t="shared" ca="1" si="25"/>
        <v>0</v>
      </c>
      <c r="AW12" s="7">
        <f t="shared" ca="1" si="26"/>
        <v>0</v>
      </c>
      <c r="AX12" s="7">
        <f t="shared" ca="1" si="27"/>
        <v>0</v>
      </c>
      <c r="AY12" s="7">
        <f t="shared" ca="1" si="28"/>
        <v>0</v>
      </c>
      <c r="AZ12" s="7">
        <f t="shared" ca="1" si="29"/>
        <v>0</v>
      </c>
      <c r="BA12" s="18">
        <f t="shared" ca="1" si="30"/>
        <v>0</v>
      </c>
      <c r="BB12" s="295">
        <f t="shared" ca="1" si="89"/>
        <v>1</v>
      </c>
      <c r="BD12" s="132"/>
      <c r="BE12" s="297">
        <f t="shared" ca="1" si="90"/>
        <v>1</v>
      </c>
      <c r="BF12" s="298">
        <f t="shared" ca="1" si="31"/>
        <v>0.65029522127322903</v>
      </c>
      <c r="BG12" s="298">
        <f t="shared" ca="1" si="32"/>
        <v>0.66028983545318687</v>
      </c>
      <c r="BH12" s="318">
        <f t="shared" ca="1" si="33"/>
        <v>0.64972655813153501</v>
      </c>
      <c r="BI12" s="298">
        <f t="shared" ca="1" si="34"/>
        <v>0.65002804502111444</v>
      </c>
      <c r="BJ12" s="299">
        <f t="shared" ca="1" si="35"/>
        <v>0.65029320640965171</v>
      </c>
      <c r="BK12" s="298">
        <f t="shared" ca="1" si="36"/>
        <v>0.64942668056342145</v>
      </c>
      <c r="BL12" s="298">
        <f t="shared" ca="1" si="37"/>
        <v>0.61083952513994022</v>
      </c>
      <c r="BM12" s="299">
        <f t="shared" ca="1" si="38"/>
        <v>0.6508682169276182</v>
      </c>
      <c r="BN12" s="295">
        <f t="shared" ca="1" si="39"/>
        <v>0.17402001625314881</v>
      </c>
      <c r="BO12" s="248">
        <f t="shared" ca="1" si="91"/>
        <v>-2.2535161742124597E-5</v>
      </c>
      <c r="BQ12" s="304">
        <f t="shared" ca="1" si="92"/>
        <v>0.1741200162531488</v>
      </c>
      <c r="BR12" s="297">
        <f t="shared" ca="1" si="93"/>
        <v>0</v>
      </c>
      <c r="BS12" s="298">
        <f t="shared" ca="1" si="40"/>
        <v>0</v>
      </c>
      <c r="BT12" s="298">
        <f t="shared" ca="1" si="41"/>
        <v>0</v>
      </c>
      <c r="BU12" s="318">
        <f t="shared" ca="1" si="42"/>
        <v>0</v>
      </c>
      <c r="BV12" s="298">
        <f t="shared" ca="1" si="43"/>
        <v>0</v>
      </c>
      <c r="BW12" s="299">
        <f t="shared" ca="1" si="44"/>
        <v>0</v>
      </c>
      <c r="BX12" s="298">
        <f t="shared" ca="1" si="45"/>
        <v>0</v>
      </c>
      <c r="BY12" s="298">
        <f t="shared" ca="1" si="46"/>
        <v>0</v>
      </c>
      <c r="BZ12" s="298">
        <f t="shared" ca="1" si="47"/>
        <v>0</v>
      </c>
      <c r="CA12" s="315">
        <f t="shared" ca="1" si="48"/>
        <v>0.1741200162531488</v>
      </c>
      <c r="CC12" s="52"/>
      <c r="CD12" s="306">
        <f t="shared" ca="1" si="94"/>
        <v>0</v>
      </c>
      <c r="CE12" s="15">
        <f t="shared" ca="1" si="49"/>
        <v>0</v>
      </c>
      <c r="CF12" s="15">
        <f t="shared" ca="1" si="50"/>
        <v>0</v>
      </c>
      <c r="CG12" s="286">
        <f t="shared" ca="1" si="51"/>
        <v>0</v>
      </c>
      <c r="CH12" s="15">
        <f t="shared" ca="1" si="52"/>
        <v>0</v>
      </c>
      <c r="CI12" s="288">
        <f t="shared" ca="1" si="53"/>
        <v>0</v>
      </c>
      <c r="CJ12" s="15">
        <f t="shared" ca="1" si="54"/>
        <v>0</v>
      </c>
      <c r="CK12" s="15">
        <f t="shared" ca="1" si="55"/>
        <v>0</v>
      </c>
      <c r="CL12" s="15">
        <f t="shared" ca="1" si="56"/>
        <v>0</v>
      </c>
      <c r="CM12" s="313">
        <f t="shared" ca="1" si="57"/>
        <v>1</v>
      </c>
      <c r="CO12" s="320">
        <f t="shared" ca="1" si="95"/>
        <v>1</v>
      </c>
      <c r="CP12" s="22">
        <f ca="1">COUNTIFS($C$10:$C11,"&lt;"&amp;$C12,$M$10:$M11,$D12&amp;"_"&amp;CP$9)</f>
        <v>0</v>
      </c>
      <c r="CQ12" s="7">
        <f ca="1">COUNTIFS($C$10:$C11,"&lt;"&amp;$C12,$M$10:$M11,$D12&amp;"_"&amp;CQ$9)</f>
        <v>0</v>
      </c>
      <c r="CR12" s="7">
        <f ca="1">COUNTIFS($C$10:$C11,"&lt;"&amp;$C12,$M$10:$M11,$D12&amp;"_"&amp;CR$9)</f>
        <v>0</v>
      </c>
      <c r="CS12" s="17">
        <f ca="1">COUNTIFS($C$10:$C11,"&lt;"&amp;$C12,$M$10:$M11,$D12&amp;"_"&amp;CS$9)</f>
        <v>0</v>
      </c>
      <c r="CT12" s="7">
        <f ca="1">COUNTIFS($C$10:$C11,"&lt;"&amp;$C12,$M$10:$M11,$D12&amp;"_"&amp;CT$9)</f>
        <v>0</v>
      </c>
      <c r="CU12" s="18">
        <f ca="1">COUNTIFS($C$10:$C11,"&lt;"&amp;$C12,$M$10:$M11,$D12&amp;"_"&amp;CU$9)</f>
        <v>0</v>
      </c>
      <c r="CV12" s="7">
        <f ca="1">COUNTIFS($C$10:$C11,"&lt;"&amp;$C12,$M$10:$M11,$D12&amp;"_"&amp;CV$9)</f>
        <v>0</v>
      </c>
      <c r="CW12" s="7">
        <f ca="1">COUNTIFS($C$10:$C11,"&lt;"&amp;$C12,$M$10:$M11,$D12&amp;"_"&amp;CW$9)</f>
        <v>0</v>
      </c>
      <c r="CX12" s="7">
        <f ca="1">COUNTIFS($C$10:$C11,"&lt;"&amp;$C12,$M$10:$M11,$D12&amp;"_"&amp;CX$9)</f>
        <v>0</v>
      </c>
      <c r="CY12" s="221">
        <f ca="1">COUNTIFS($C$10:$C11,"&lt;"&amp;$C12,$M$10:$M11,$D12&amp;"_"&amp;CY$9)</f>
        <v>1</v>
      </c>
      <c r="DA12" s="20"/>
      <c r="DB12" s="308">
        <f ca="1">IF(CP12=0,0,SUMIFS($P$10:$P11, $C$10:$C11,"&lt;"&amp;$C12, $M$10:$M11,$D12&amp;"_"&amp;DB$9)/CP12)</f>
        <v>0</v>
      </c>
      <c r="DC12" s="263">
        <f ca="1">IF(CQ12=0,0,SUMIFS($P$10:$P11, $C$10:$C11,"&lt;"&amp;$C12, $M$10:$M11,$D12&amp;"_"&amp;DC$9)/CQ12)</f>
        <v>0</v>
      </c>
      <c r="DD12" s="263">
        <f ca="1">IF(CR12=0,0,SUMIFS($P$10:$P11, $C$10:$C11,"&lt;"&amp;$C12, $M$10:$M11,$D12&amp;"_"&amp;DD$9)/CR12)</f>
        <v>0</v>
      </c>
      <c r="DE12" s="262">
        <f ca="1">IF(CS12=0,0,SUMIFS($P$10:$P11, $C$10:$C11,"&lt;"&amp;$C12, $M$10:$M11,$D12&amp;"_"&amp;DE$9)/CS12)</f>
        <v>0</v>
      </c>
      <c r="DF12" s="263">
        <f ca="1">IF(CT12=0,0,SUMIFS($P$10:$P11, $C$10:$C11,"&lt;"&amp;$C12, $M$10:$M11,$D12&amp;"_"&amp;DF$9)/CT12)</f>
        <v>0</v>
      </c>
      <c r="DG12" s="310">
        <f ca="1">IF(CU12=0,0,SUMIFS($P$10:$P11, $C$10:$C11,"&lt;"&amp;$C12, $M$10:$M11,$D12&amp;"_"&amp;DG$9)/CU12)</f>
        <v>0</v>
      </c>
      <c r="DH12" s="263">
        <f ca="1">IF(CV12=0,0,SUMIFS($P$10:$P11, $C$10:$C11,"&lt;"&amp;$C12, $M$10:$M11,$D12&amp;"_"&amp;DH$9)/CV12)</f>
        <v>0</v>
      </c>
      <c r="DI12" s="263">
        <f ca="1">IF(CW12=0,0,SUMIFS($P$10:$P11, $C$10:$C11,"&lt;"&amp;$C12, $M$10:$M11,$D12&amp;"_"&amp;DI$9)/CW12)</f>
        <v>0</v>
      </c>
      <c r="DJ12" s="264">
        <f ca="1">IF(CX12=0,0,SUMIFS($P$10:$P11, $C$10:$C11,"&lt;"&amp;$C12, $M$10:$M11,$D12&amp;"_"&amp;DJ$9)/CX12)</f>
        <v>0</v>
      </c>
      <c r="DK12" s="264">
        <f ca="1">IF(CY12=0,0,SUMIFS($P$10:$P11, $C$10:$C11,"&lt;"&amp;$C12, $M$10:$M11,$D12&amp;"_"&amp;DK$9)/CY12)</f>
        <v>-1</v>
      </c>
      <c r="DM12" s="104"/>
      <c r="DN12" s="306">
        <f t="shared" ca="1" si="96"/>
        <v>-9999</v>
      </c>
      <c r="DO12" s="15">
        <f t="shared" ca="1" si="58"/>
        <v>-9999</v>
      </c>
      <c r="DP12" s="15">
        <f t="shared" ca="1" si="59"/>
        <v>-9999</v>
      </c>
      <c r="DQ12" s="15">
        <f t="shared" ca="1" si="60"/>
        <v>-9999</v>
      </c>
      <c r="DR12" s="15">
        <f t="shared" ca="1" si="61"/>
        <v>-9999</v>
      </c>
      <c r="DS12" s="15">
        <f t="shared" ca="1" si="62"/>
        <v>-9999</v>
      </c>
      <c r="DT12" s="15">
        <f t="shared" ca="1" si="63"/>
        <v>-9999</v>
      </c>
      <c r="DU12" s="15">
        <f t="shared" ca="1" si="64"/>
        <v>-9999</v>
      </c>
      <c r="DV12" s="52">
        <f t="shared" ca="1" si="65"/>
        <v>-9999</v>
      </c>
      <c r="DW12" s="313">
        <f t="shared" ca="1" si="66"/>
        <v>-0.5</v>
      </c>
      <c r="DX12" s="52"/>
      <c r="DY12" s="402">
        <f t="shared" ca="1" si="97"/>
        <v>9</v>
      </c>
      <c r="ED12" s="19">
        <f t="shared" ca="1" si="67"/>
        <v>-1</v>
      </c>
      <c r="EE12" s="1">
        <f t="shared" ca="1" si="68"/>
        <v>1</v>
      </c>
      <c r="EF12" s="1">
        <f t="shared" ca="1" si="69"/>
        <v>-1</v>
      </c>
      <c r="EG12" s="2">
        <f t="shared" ca="1" si="70"/>
        <v>1</v>
      </c>
      <c r="EH12" s="1">
        <f t="shared" ca="1" si="71"/>
        <v>-1</v>
      </c>
      <c r="EI12" s="3">
        <f t="shared" ca="1" si="72"/>
        <v>1</v>
      </c>
      <c r="EJ12" s="1">
        <f t="shared" ca="1" si="73"/>
        <v>0</v>
      </c>
      <c r="EK12" s="1">
        <f t="shared" ca="1" si="74"/>
        <v>0</v>
      </c>
      <c r="EL12" s="20">
        <f t="shared" ca="1" si="75"/>
        <v>-1</v>
      </c>
      <c r="EN12" s="86">
        <f ca="1">MAX(0, SUMPRODUCT($ED12:$EL12,OFFSET(DNN!$E$9:$M$9,EN$9,0)) + OFFSET(DNN!$D$9,EN$9,0))</f>
        <v>0</v>
      </c>
      <c r="EO12" s="84">
        <f ca="1">MAX(0, SUMPRODUCT($ED12:$EL12,OFFSET(DNN!$E$9:$M$9,EO$9,0)) + OFFSET(DNN!$D$9,EO$9,0))</f>
        <v>7.2346022384755949E-3</v>
      </c>
      <c r="EP12" s="84">
        <f ca="1">MAX(0, SUMPRODUCT($ED12:$EL12,OFFSET(DNN!$E$9:$M$9,EP$9,0)) + OFFSET(DNN!$D$9,EP$9,0))</f>
        <v>3.6951849750035152E-3</v>
      </c>
      <c r="EQ12" s="84">
        <f ca="1">MAX(0, SUMPRODUCT($ED12:$EL12,OFFSET(DNN!$E$9:$M$9,EQ$9,0)) + OFFSET(DNN!$D$9,EQ$9,0))</f>
        <v>0</v>
      </c>
      <c r="ER12" s="85">
        <f ca="1">MAX(0, SUMPRODUCT($ED12:$EL12,OFFSET(DNN!$E$9:$M$9,ER$9,0)) + OFFSET(DNN!$D$9,ER$9,0))</f>
        <v>0</v>
      </c>
      <c r="ET12" s="86">
        <f ca="1">MAX(0, SUMPRODUCT($EN12:$ER12,OFFSET(DNN!$Q$9:$U$9,ET$9,0)) + OFFSET(DNN!$P$9,ET$9,0))</f>
        <v>4.3954959453478351E-4</v>
      </c>
      <c r="EU12" s="84">
        <f ca="1">MAX(0, SUMPRODUCT($EN12:$ER12,OFFSET(DNN!$Q$9:$U$9,EU$9,0)) + OFFSET(DNN!$P$9,EU$9,0))</f>
        <v>0</v>
      </c>
      <c r="EV12" s="84">
        <f ca="1">MAX(0, SUMPRODUCT($EN12:$ER12,OFFSET(DNN!$Q$9:$U$9,EV$9,0)) + OFFSET(DNN!$P$9,EV$9,0))</f>
        <v>1.2810123361902579E-3</v>
      </c>
      <c r="EW12" s="84">
        <f ca="1">MAX(0, SUMPRODUCT($EN12:$ER12,OFFSET(DNN!$Q$9:$U$9,EW$9,0)) + OFFSET(DNN!$P$9,EW$9,0))</f>
        <v>7.8382123007882457E-4</v>
      </c>
      <c r="EX12" s="85">
        <f ca="1">MAX(0, SUMPRODUCT($EN12:$ER12,OFFSET(DNN!$Q$9:$U$9,EX$9,0)) + OFFSET(DNN!$P$9,EX$9,0))</f>
        <v>0</v>
      </c>
      <c r="EZ12" s="111">
        <f ca="1">SUMPRODUCT($ET12:$EX12,OFFSET(DNN!$Y$9:$AC$9,EZ$9,0)) + OFFSET(DNN!$X$9,EZ$9,0)</f>
        <v>0.43031618918982212</v>
      </c>
      <c r="FA12" s="97">
        <f ca="1">SUMPRODUCT($ET12:$EX12,OFFSET(DNN!$Y$9:$AC$9,FA$9,0)) + OFFSET(DNN!$X$9,FA$9,0)</f>
        <v>-1.2643439935754107E-5</v>
      </c>
      <c r="FB12" s="97">
        <f ca="1">SUMPRODUCT($ET12:$EX12,OFFSET(DNN!$Y$9:$AC$9,FB$9,0)) + OFFSET(DNN!$X$9,FB$9,0)</f>
        <v>1.5239793458415756E-2</v>
      </c>
      <c r="FC12" s="97">
        <f ca="1">SUMPRODUCT($ET12:$EX12,OFFSET(DNN!$Y$9:$AC$9,FC$9,0)) + OFFSET(DNN!$X$9,FC$9,0)</f>
        <v>-8.8749521084055777E-4</v>
      </c>
      <c r="FD12" s="97">
        <f ca="1">SUMPRODUCT($ET12:$EX12,OFFSET(DNN!$Y$9:$AC$9,FD$9,0)) + OFFSET(DNN!$X$9,FD$9,0)</f>
        <v>-4.235816470721872E-4</v>
      </c>
      <c r="FE12" s="97">
        <f ca="1">SUMPRODUCT($ET12:$EX12,OFFSET(DNN!$Y$9:$AC$9,FE$9,0)) + OFFSET(DNN!$X$9,FE$9,0)</f>
        <v>-1.574182761064886E-5</v>
      </c>
      <c r="FF12" s="97">
        <f ca="1">SUMPRODUCT($ET12:$EX12,OFFSET(DNN!$Y$9:$AC$9,FF$9,0)) + OFFSET(DNN!$X$9,FF$9,0)</f>
        <v>-1.3491460223194656E-3</v>
      </c>
      <c r="FG12" s="97">
        <f ca="1">SUMPRODUCT($ET12:$EX12,OFFSET(DNN!$Y$9:$AC$9,FG$9,0)) + OFFSET(DNN!$X$9,FG$9,0)</f>
        <v>-6.2604808096248285E-2</v>
      </c>
      <c r="FH12" s="97">
        <f ca="1">SUMPRODUCT($ET12:$EX12,OFFSET(DNN!$Y$9:$AC$9,FH$9,0)) + OFFSET(DNN!$X$9,FH$9,0)</f>
        <v>8.6810016937029894E-4</v>
      </c>
      <c r="FI12" s="108">
        <f ca="1">SUMPRODUCT($ET12:$EX12,OFFSET(DNN!$Y$9:$AC$9,FI$9,0)) + OFFSET(DNN!$X$9,FI$9,0)</f>
        <v>-1.3182687612562751</v>
      </c>
      <c r="FJ12" s="98">
        <f ca="1">SUMPRODUCT($ET12:$EX12,OFFSET(DNN!$Y$9:$AC$9,FJ$9,0)) + OFFSET(DNN!$X$9,FJ$9,0)</f>
        <v>-2.2535161745939301E-5</v>
      </c>
      <c r="FL12" s="415">
        <f t="shared" ca="1" si="98"/>
        <v>0.43031618918982212</v>
      </c>
      <c r="FM12" s="130">
        <f t="shared" ca="1" si="99"/>
        <v>1</v>
      </c>
      <c r="FN12" s="131">
        <f t="shared" ca="1" si="100"/>
        <v>0.65029522127322903</v>
      </c>
      <c r="FO12" s="131">
        <f t="shared" ca="1" si="101"/>
        <v>0.66028983545318687</v>
      </c>
      <c r="FP12" s="131">
        <f t="shared" ca="1" si="102"/>
        <v>0.64972655813153501</v>
      </c>
      <c r="FQ12" s="131">
        <f t="shared" ca="1" si="103"/>
        <v>0.65002804502111444</v>
      </c>
      <c r="FR12" s="131">
        <f t="shared" ca="1" si="104"/>
        <v>0.65029320640965171</v>
      </c>
      <c r="FS12" s="131">
        <f t="shared" ca="1" si="105"/>
        <v>0.64942668056342145</v>
      </c>
      <c r="FT12" s="131">
        <f t="shared" ca="1" si="106"/>
        <v>0.61083952513994022</v>
      </c>
      <c r="FU12" s="132">
        <f t="shared" ca="1" si="107"/>
        <v>0.6508682169276182</v>
      </c>
      <c r="FV12" s="131">
        <f t="shared" ca="1" si="108"/>
        <v>0.17402001625314881</v>
      </c>
      <c r="FW12" s="83">
        <f t="shared" ca="1" si="109"/>
        <v>-2.2535161742124597E-5</v>
      </c>
    </row>
    <row r="13" spans="1:179">
      <c r="A13" s="19">
        <f t="shared" si="110"/>
        <v>3</v>
      </c>
      <c r="B13" s="1">
        <f t="shared" ca="1" si="111"/>
        <v>0</v>
      </c>
      <c r="C13" s="20">
        <f t="shared" ca="1" si="112"/>
        <v>3</v>
      </c>
      <c r="D13" s="19" t="str">
        <f t="shared" ca="1" si="113"/>
        <v>〇×〇×〇×--〇</v>
      </c>
      <c r="E13" s="7">
        <f t="shared" ca="1" si="77"/>
        <v>9</v>
      </c>
      <c r="F13" s="7">
        <f t="shared" ca="1" si="78"/>
        <v>1</v>
      </c>
      <c r="G13" s="1" t="str">
        <f t="shared" ca="1" si="79"/>
        <v>〇×〇×〇×--〇</v>
      </c>
      <c r="H13" s="20" t="b">
        <f t="shared" ca="1" si="80"/>
        <v>1</v>
      </c>
      <c r="I13" s="22">
        <f t="shared" ca="1" si="114"/>
        <v>-1</v>
      </c>
      <c r="J13" s="1" t="b">
        <f ca="1">(1&lt;COUNTIF(D$10:D13,D13))</f>
        <v>1</v>
      </c>
      <c r="K13" s="1" t="b">
        <f t="shared" ca="1" si="81"/>
        <v>1</v>
      </c>
      <c r="L13" s="7">
        <f ca="1">MATCH(TRUE,K13:K$1048576,FALSE)-1</f>
        <v>0</v>
      </c>
      <c r="M13" s="24" t="str">
        <f t="shared" ca="1" si="13"/>
        <v>〇×〇×〇×--〇_9</v>
      </c>
      <c r="N13" s="25">
        <f t="shared" ca="1" si="82"/>
        <v>-2.2535161742124597E-5</v>
      </c>
      <c r="O13" s="26">
        <f t="shared" ca="1" si="83"/>
        <v>-1</v>
      </c>
      <c r="P13" s="27">
        <f t="shared" ca="1" si="84"/>
        <v>-1</v>
      </c>
      <c r="R13" s="41" t="str">
        <f ca="1">VLOOKUP(S13,cvt!$B$2:$C$4,2,FALSE)&amp;VLOOKUP(T13,cvt!$B$2:$C$4,2,FALSE)&amp;VLOOKUP(U13,cvt!$B$2:$C$4,2,FALSE)
&amp;VLOOKUP(V13,cvt!$B$2:$C$4,2,FALSE)&amp;VLOOKUP(W13,cvt!$B$2:$C$4,2,FALSE)&amp;VLOOKUP(X13,cvt!$B$2:$C$4,2,FALSE)
&amp;VLOOKUP(Y13,cvt!$B$2:$C$4,2,FALSE)&amp;VLOOKUP(Z13,cvt!$B$2:$C$4,2,FALSE)&amp;VLOOKUP(AA13,cvt!$B$2:$C$4,2,FALSE)</f>
        <v>〇×〇×〇×--〇</v>
      </c>
      <c r="S13" s="7">
        <f ca="1">VLOOKUP(MID($D13,S$9+1,1), cvt!$A$2:$B$4,2, FALSE)</f>
        <v>1</v>
      </c>
      <c r="T13" s="7">
        <f ca="1">VLOOKUP(MID($D13,T$9+1,1), cvt!$A$2:$B$4,2, FALSE)</f>
        <v>-1</v>
      </c>
      <c r="U13" s="7">
        <f ca="1">VLOOKUP(MID($D13,U$9+1,1), cvt!$A$2:$B$4,2, FALSE)</f>
        <v>1</v>
      </c>
      <c r="V13" s="17">
        <f ca="1">VLOOKUP(MID($D13,V$9+1,1), cvt!$A$2:$B$4,2, FALSE)</f>
        <v>-1</v>
      </c>
      <c r="W13" s="7">
        <f ca="1">VLOOKUP(MID($D13,W$9+1,1), cvt!$A$2:$B$4,2, FALSE)</f>
        <v>1</v>
      </c>
      <c r="X13" s="18">
        <f ca="1">VLOOKUP(MID($D13,X$9+1,1), cvt!$A$2:$B$4,2, FALSE)</f>
        <v>-1</v>
      </c>
      <c r="Y13" s="7">
        <f ca="1">VLOOKUP(MID($D13,Y$9+1,1), cvt!$A$2:$B$4,2, FALSE)</f>
        <v>0</v>
      </c>
      <c r="Z13" s="7">
        <f ca="1">VLOOKUP(MID($D13,Z$9+1,1), cvt!$A$2:$B$4,2, FALSE)</f>
        <v>0</v>
      </c>
      <c r="AA13" s="42">
        <f ca="1">VLOOKUP(MID($D13,AA$9+1,1), cvt!$A$2:$B$4,2, FALSE)</f>
        <v>1</v>
      </c>
      <c r="AB13" s="7">
        <f t="shared" ca="1" si="85"/>
        <v>1</v>
      </c>
      <c r="AC13" s="50" t="b">
        <f t="shared" ca="1" si="86"/>
        <v>1</v>
      </c>
      <c r="AE13" s="19" t="str">
        <f ca="1">VLOOKUP(AF13,cvt!$B$2:$C$4,2,FALSE)&amp;VLOOKUP(AG13,cvt!$B$2:$C$4,2,FALSE)&amp;VLOOKUP(AH13,cvt!$B$2:$C$4,2,FALSE)
&amp;VLOOKUP(AI13,cvt!$B$2:$C$4,2,FALSE)&amp;VLOOKUP(AJ13,cvt!$B$2:$C$4,2,FALSE)&amp;VLOOKUP(AK13,cvt!$B$2:$C$4,2,FALSE)
&amp;VLOOKUP(AL13,cvt!$B$2:$C$4,2,FALSE)&amp;VLOOKUP(AM13,cvt!$B$2:$C$4,2,FALSE)&amp;VLOOKUP(AN13,cvt!$B$2:$C$4,2,FALSE)</f>
        <v>〇×〇×〇×--〇</v>
      </c>
      <c r="AF13" s="17">
        <f t="shared" ca="1" si="14"/>
        <v>1</v>
      </c>
      <c r="AG13" s="7">
        <f t="shared" ca="1" si="15"/>
        <v>-1</v>
      </c>
      <c r="AH13" s="7">
        <f t="shared" ca="1" si="16"/>
        <v>1</v>
      </c>
      <c r="AI13" s="17">
        <f t="shared" ca="1" si="17"/>
        <v>-1</v>
      </c>
      <c r="AJ13" s="7">
        <f t="shared" ca="1" si="18"/>
        <v>1</v>
      </c>
      <c r="AK13" s="18">
        <f t="shared" ca="1" si="19"/>
        <v>-1</v>
      </c>
      <c r="AL13" s="7">
        <f t="shared" ca="1" si="20"/>
        <v>0</v>
      </c>
      <c r="AM13" s="7">
        <f t="shared" ca="1" si="21"/>
        <v>0</v>
      </c>
      <c r="AN13" s="18">
        <f t="shared" ca="1" si="22"/>
        <v>1</v>
      </c>
      <c r="AO13" s="7">
        <f t="shared" ca="1" si="115"/>
        <v>1</v>
      </c>
      <c r="AP13" s="50" t="b">
        <f t="shared" ca="1" si="87"/>
        <v>1</v>
      </c>
      <c r="AS13" s="22">
        <f t="shared" ca="1" si="88"/>
        <v>0</v>
      </c>
      <c r="AT13" s="7">
        <f t="shared" ca="1" si="23"/>
        <v>0</v>
      </c>
      <c r="AU13" s="7">
        <f t="shared" ca="1" si="24"/>
        <v>0</v>
      </c>
      <c r="AV13" s="7">
        <f t="shared" ca="1" si="25"/>
        <v>0</v>
      </c>
      <c r="AW13" s="7">
        <f t="shared" ca="1" si="26"/>
        <v>0</v>
      </c>
      <c r="AX13" s="7">
        <f t="shared" ca="1" si="27"/>
        <v>0</v>
      </c>
      <c r="AY13" s="7">
        <f t="shared" ca="1" si="28"/>
        <v>0</v>
      </c>
      <c r="AZ13" s="7">
        <f t="shared" ca="1" si="29"/>
        <v>0</v>
      </c>
      <c r="BA13" s="18">
        <f t="shared" ca="1" si="30"/>
        <v>0</v>
      </c>
      <c r="BB13" s="295">
        <f t="shared" ca="1" si="89"/>
        <v>1</v>
      </c>
      <c r="BD13" s="132"/>
      <c r="BE13" s="297">
        <f t="shared" ca="1" si="90"/>
        <v>1</v>
      </c>
      <c r="BF13" s="298">
        <f t="shared" ca="1" si="31"/>
        <v>0.65029522127322903</v>
      </c>
      <c r="BG13" s="298">
        <f t="shared" ca="1" si="32"/>
        <v>0.66028983545318687</v>
      </c>
      <c r="BH13" s="318">
        <f t="shared" ca="1" si="33"/>
        <v>0.64972655813153501</v>
      </c>
      <c r="BI13" s="298">
        <f t="shared" ca="1" si="34"/>
        <v>0.65002804502111444</v>
      </c>
      <c r="BJ13" s="299">
        <f t="shared" ca="1" si="35"/>
        <v>0.65029320640965171</v>
      </c>
      <c r="BK13" s="298">
        <f t="shared" ca="1" si="36"/>
        <v>0.64942668056342145</v>
      </c>
      <c r="BL13" s="298">
        <f t="shared" ca="1" si="37"/>
        <v>0.61083952513994022</v>
      </c>
      <c r="BM13" s="299">
        <f t="shared" ca="1" si="38"/>
        <v>0.6508682169276182</v>
      </c>
      <c r="BN13" s="295">
        <f t="shared" ca="1" si="39"/>
        <v>0.17402001625314881</v>
      </c>
      <c r="BO13" s="248">
        <f t="shared" ca="1" si="91"/>
        <v>-2.2535161742124597E-5</v>
      </c>
      <c r="BQ13" s="304">
        <f t="shared" ca="1" si="92"/>
        <v>0.42412001625314877</v>
      </c>
      <c r="BR13" s="297">
        <f t="shared" ca="1" si="93"/>
        <v>0</v>
      </c>
      <c r="BS13" s="298">
        <f t="shared" ca="1" si="40"/>
        <v>0</v>
      </c>
      <c r="BT13" s="298">
        <f t="shared" ca="1" si="41"/>
        <v>0</v>
      </c>
      <c r="BU13" s="318">
        <f t="shared" ca="1" si="42"/>
        <v>0</v>
      </c>
      <c r="BV13" s="298">
        <f t="shared" ca="1" si="43"/>
        <v>0</v>
      </c>
      <c r="BW13" s="299">
        <f t="shared" ca="1" si="44"/>
        <v>0</v>
      </c>
      <c r="BX13" s="298">
        <f t="shared" ca="1" si="45"/>
        <v>0</v>
      </c>
      <c r="BY13" s="298">
        <f t="shared" ca="1" si="46"/>
        <v>0</v>
      </c>
      <c r="BZ13" s="298">
        <f t="shared" ca="1" si="47"/>
        <v>0</v>
      </c>
      <c r="CA13" s="315">
        <f t="shared" ca="1" si="48"/>
        <v>0.42412001625314877</v>
      </c>
      <c r="CC13" s="52"/>
      <c r="CD13" s="306">
        <f t="shared" ca="1" si="94"/>
        <v>0</v>
      </c>
      <c r="CE13" s="15">
        <f t="shared" ca="1" si="49"/>
        <v>0</v>
      </c>
      <c r="CF13" s="15">
        <f t="shared" ca="1" si="50"/>
        <v>0</v>
      </c>
      <c r="CG13" s="286">
        <f t="shared" ca="1" si="51"/>
        <v>0</v>
      </c>
      <c r="CH13" s="15">
        <f t="shared" ca="1" si="52"/>
        <v>0</v>
      </c>
      <c r="CI13" s="288">
        <f t="shared" ca="1" si="53"/>
        <v>0</v>
      </c>
      <c r="CJ13" s="15">
        <f t="shared" ca="1" si="54"/>
        <v>0</v>
      </c>
      <c r="CK13" s="15">
        <f t="shared" ca="1" si="55"/>
        <v>0</v>
      </c>
      <c r="CL13" s="15">
        <f t="shared" ca="1" si="56"/>
        <v>0</v>
      </c>
      <c r="CM13" s="313">
        <f t="shared" ca="1" si="57"/>
        <v>1</v>
      </c>
      <c r="CO13" s="320">
        <f t="shared" ca="1" si="95"/>
        <v>2</v>
      </c>
      <c r="CP13" s="22">
        <f ca="1">COUNTIFS($C$10:$C12,"&lt;"&amp;$C13,$M$10:$M12,$D13&amp;"_"&amp;CP$9)</f>
        <v>0</v>
      </c>
      <c r="CQ13" s="7">
        <f ca="1">COUNTIFS($C$10:$C12,"&lt;"&amp;$C13,$M$10:$M12,$D13&amp;"_"&amp;CQ$9)</f>
        <v>0</v>
      </c>
      <c r="CR13" s="7">
        <f ca="1">COUNTIFS($C$10:$C12,"&lt;"&amp;$C13,$M$10:$M12,$D13&amp;"_"&amp;CR$9)</f>
        <v>0</v>
      </c>
      <c r="CS13" s="17">
        <f ca="1">COUNTIFS($C$10:$C12,"&lt;"&amp;$C13,$M$10:$M12,$D13&amp;"_"&amp;CS$9)</f>
        <v>0</v>
      </c>
      <c r="CT13" s="7">
        <f ca="1">COUNTIFS($C$10:$C12,"&lt;"&amp;$C13,$M$10:$M12,$D13&amp;"_"&amp;CT$9)</f>
        <v>0</v>
      </c>
      <c r="CU13" s="18">
        <f ca="1">COUNTIFS($C$10:$C12,"&lt;"&amp;$C13,$M$10:$M12,$D13&amp;"_"&amp;CU$9)</f>
        <v>0</v>
      </c>
      <c r="CV13" s="7">
        <f ca="1">COUNTIFS($C$10:$C12,"&lt;"&amp;$C13,$M$10:$M12,$D13&amp;"_"&amp;CV$9)</f>
        <v>0</v>
      </c>
      <c r="CW13" s="7">
        <f ca="1">COUNTIFS($C$10:$C12,"&lt;"&amp;$C13,$M$10:$M12,$D13&amp;"_"&amp;CW$9)</f>
        <v>0</v>
      </c>
      <c r="CX13" s="7">
        <f ca="1">COUNTIFS($C$10:$C12,"&lt;"&amp;$C13,$M$10:$M12,$D13&amp;"_"&amp;CX$9)</f>
        <v>0</v>
      </c>
      <c r="CY13" s="221">
        <f ca="1">COUNTIFS($C$10:$C12,"&lt;"&amp;$C13,$M$10:$M12,$D13&amp;"_"&amp;CY$9)</f>
        <v>2</v>
      </c>
      <c r="DA13" s="20"/>
      <c r="DB13" s="308">
        <f ca="1">IF(CP13=0,0,SUMIFS($P$10:$P12, $C$10:$C12,"&lt;"&amp;$C13, $M$10:$M12,$D13&amp;"_"&amp;DB$9)/CP13)</f>
        <v>0</v>
      </c>
      <c r="DC13" s="263">
        <f ca="1">IF(CQ13=0,0,SUMIFS($P$10:$P12, $C$10:$C12,"&lt;"&amp;$C13, $M$10:$M12,$D13&amp;"_"&amp;DC$9)/CQ13)</f>
        <v>0</v>
      </c>
      <c r="DD13" s="263">
        <f ca="1">IF(CR13=0,0,SUMIFS($P$10:$P12, $C$10:$C12,"&lt;"&amp;$C13, $M$10:$M12,$D13&amp;"_"&amp;DD$9)/CR13)</f>
        <v>0</v>
      </c>
      <c r="DE13" s="262">
        <f ca="1">IF(CS13=0,0,SUMIFS($P$10:$P12, $C$10:$C12,"&lt;"&amp;$C13, $M$10:$M12,$D13&amp;"_"&amp;DE$9)/CS13)</f>
        <v>0</v>
      </c>
      <c r="DF13" s="263">
        <f ca="1">IF(CT13=0,0,SUMIFS($P$10:$P12, $C$10:$C12,"&lt;"&amp;$C13, $M$10:$M12,$D13&amp;"_"&amp;DF$9)/CT13)</f>
        <v>0</v>
      </c>
      <c r="DG13" s="310">
        <f ca="1">IF(CU13=0,0,SUMIFS($P$10:$P12, $C$10:$C12,"&lt;"&amp;$C13, $M$10:$M12,$D13&amp;"_"&amp;DG$9)/CU13)</f>
        <v>0</v>
      </c>
      <c r="DH13" s="263">
        <f ca="1">IF(CV13=0,0,SUMIFS($P$10:$P12, $C$10:$C12,"&lt;"&amp;$C13, $M$10:$M12,$D13&amp;"_"&amp;DH$9)/CV13)</f>
        <v>0</v>
      </c>
      <c r="DI13" s="263">
        <f ca="1">IF(CW13=0,0,SUMIFS($P$10:$P12, $C$10:$C12,"&lt;"&amp;$C13, $M$10:$M12,$D13&amp;"_"&amp;DI$9)/CW13)</f>
        <v>0</v>
      </c>
      <c r="DJ13" s="264">
        <f ca="1">IF(CX13=0,0,SUMIFS($P$10:$P12, $C$10:$C12,"&lt;"&amp;$C13, $M$10:$M12,$D13&amp;"_"&amp;DJ$9)/CX13)</f>
        <v>0</v>
      </c>
      <c r="DK13" s="264">
        <f ca="1">IF(CY13=0,0,SUMIFS($P$10:$P12, $C$10:$C12,"&lt;"&amp;$C13, $M$10:$M12,$D13&amp;"_"&amp;DK$9)/CY13)</f>
        <v>-1</v>
      </c>
      <c r="DM13" s="104"/>
      <c r="DN13" s="306">
        <f t="shared" ca="1" si="96"/>
        <v>-9999</v>
      </c>
      <c r="DO13" s="15">
        <f t="shared" ca="1" si="58"/>
        <v>-9999</v>
      </c>
      <c r="DP13" s="15">
        <f t="shared" ca="1" si="59"/>
        <v>-9999</v>
      </c>
      <c r="DQ13" s="15">
        <f t="shared" ca="1" si="60"/>
        <v>-9999</v>
      </c>
      <c r="DR13" s="15">
        <f t="shared" ca="1" si="61"/>
        <v>-9999</v>
      </c>
      <c r="DS13" s="15">
        <f t="shared" ca="1" si="62"/>
        <v>-9999</v>
      </c>
      <c r="DT13" s="15">
        <f t="shared" ca="1" si="63"/>
        <v>-9999</v>
      </c>
      <c r="DU13" s="15">
        <f t="shared" ca="1" si="64"/>
        <v>-9999</v>
      </c>
      <c r="DV13" s="52">
        <f t="shared" ca="1" si="65"/>
        <v>-9999</v>
      </c>
      <c r="DW13" s="313">
        <f t="shared" ca="1" si="66"/>
        <v>-0.52859547920896821</v>
      </c>
      <c r="DX13" s="52"/>
      <c r="DY13" s="402">
        <f t="shared" ca="1" si="97"/>
        <v>9</v>
      </c>
      <c r="ED13" s="19">
        <f t="shared" ca="1" si="67"/>
        <v>-1</v>
      </c>
      <c r="EE13" s="1">
        <f t="shared" ca="1" si="68"/>
        <v>1</v>
      </c>
      <c r="EF13" s="1">
        <f t="shared" ca="1" si="69"/>
        <v>-1</v>
      </c>
      <c r="EG13" s="2">
        <f t="shared" ca="1" si="70"/>
        <v>1</v>
      </c>
      <c r="EH13" s="1">
        <f t="shared" ca="1" si="71"/>
        <v>-1</v>
      </c>
      <c r="EI13" s="3">
        <f t="shared" ca="1" si="72"/>
        <v>1</v>
      </c>
      <c r="EJ13" s="1">
        <f t="shared" ca="1" si="73"/>
        <v>0</v>
      </c>
      <c r="EK13" s="1">
        <f t="shared" ca="1" si="74"/>
        <v>0</v>
      </c>
      <c r="EL13" s="20">
        <f t="shared" ca="1" si="75"/>
        <v>-1</v>
      </c>
      <c r="EN13" s="86">
        <f ca="1">MAX(0, SUMPRODUCT($ED13:$EL13,OFFSET(DNN!$E$9:$M$9,EN$9,0)) + OFFSET(DNN!$D$9,EN$9,0))</f>
        <v>0</v>
      </c>
      <c r="EO13" s="84">
        <f ca="1">MAX(0, SUMPRODUCT($ED13:$EL13,OFFSET(DNN!$E$9:$M$9,EO$9,0)) + OFFSET(DNN!$D$9,EO$9,0))</f>
        <v>7.2346022384755949E-3</v>
      </c>
      <c r="EP13" s="84">
        <f ca="1">MAX(0, SUMPRODUCT($ED13:$EL13,OFFSET(DNN!$E$9:$M$9,EP$9,0)) + OFFSET(DNN!$D$9,EP$9,0))</f>
        <v>3.6951849750035152E-3</v>
      </c>
      <c r="EQ13" s="84">
        <f ca="1">MAX(0, SUMPRODUCT($ED13:$EL13,OFFSET(DNN!$E$9:$M$9,EQ$9,0)) + OFFSET(DNN!$D$9,EQ$9,0))</f>
        <v>0</v>
      </c>
      <c r="ER13" s="85">
        <f ca="1">MAX(0, SUMPRODUCT($ED13:$EL13,OFFSET(DNN!$E$9:$M$9,ER$9,0)) + OFFSET(DNN!$D$9,ER$9,0))</f>
        <v>0</v>
      </c>
      <c r="ET13" s="86">
        <f ca="1">MAX(0, SUMPRODUCT($EN13:$ER13,OFFSET(DNN!$Q$9:$U$9,ET$9,0)) + OFFSET(DNN!$P$9,ET$9,0))</f>
        <v>4.3954959453478351E-4</v>
      </c>
      <c r="EU13" s="84">
        <f ca="1">MAX(0, SUMPRODUCT($EN13:$ER13,OFFSET(DNN!$Q$9:$U$9,EU$9,0)) + OFFSET(DNN!$P$9,EU$9,0))</f>
        <v>0</v>
      </c>
      <c r="EV13" s="84">
        <f ca="1">MAX(0, SUMPRODUCT($EN13:$ER13,OFFSET(DNN!$Q$9:$U$9,EV$9,0)) + OFFSET(DNN!$P$9,EV$9,0))</f>
        <v>1.2810123361902579E-3</v>
      </c>
      <c r="EW13" s="84">
        <f ca="1">MAX(0, SUMPRODUCT($EN13:$ER13,OFFSET(DNN!$Q$9:$U$9,EW$9,0)) + OFFSET(DNN!$P$9,EW$9,0))</f>
        <v>7.8382123007882457E-4</v>
      </c>
      <c r="EX13" s="85">
        <f ca="1">MAX(0, SUMPRODUCT($EN13:$ER13,OFFSET(DNN!$Q$9:$U$9,EX$9,0)) + OFFSET(DNN!$P$9,EX$9,0))</f>
        <v>0</v>
      </c>
      <c r="EZ13" s="111">
        <f ca="1">SUMPRODUCT($ET13:$EX13,OFFSET(DNN!$Y$9:$AC$9,EZ$9,0)) + OFFSET(DNN!$X$9,EZ$9,0)</f>
        <v>0.43031618918982212</v>
      </c>
      <c r="FA13" s="97">
        <f ca="1">SUMPRODUCT($ET13:$EX13,OFFSET(DNN!$Y$9:$AC$9,FA$9,0)) + OFFSET(DNN!$X$9,FA$9,0)</f>
        <v>-1.2643439935754107E-5</v>
      </c>
      <c r="FB13" s="97">
        <f ca="1">SUMPRODUCT($ET13:$EX13,OFFSET(DNN!$Y$9:$AC$9,FB$9,0)) + OFFSET(DNN!$X$9,FB$9,0)</f>
        <v>1.5239793458415756E-2</v>
      </c>
      <c r="FC13" s="97">
        <f ca="1">SUMPRODUCT($ET13:$EX13,OFFSET(DNN!$Y$9:$AC$9,FC$9,0)) + OFFSET(DNN!$X$9,FC$9,0)</f>
        <v>-8.8749521084055777E-4</v>
      </c>
      <c r="FD13" s="97">
        <f ca="1">SUMPRODUCT($ET13:$EX13,OFFSET(DNN!$Y$9:$AC$9,FD$9,0)) + OFFSET(DNN!$X$9,FD$9,0)</f>
        <v>-4.235816470721872E-4</v>
      </c>
      <c r="FE13" s="97">
        <f ca="1">SUMPRODUCT($ET13:$EX13,OFFSET(DNN!$Y$9:$AC$9,FE$9,0)) + OFFSET(DNN!$X$9,FE$9,0)</f>
        <v>-1.574182761064886E-5</v>
      </c>
      <c r="FF13" s="97">
        <f ca="1">SUMPRODUCT($ET13:$EX13,OFFSET(DNN!$Y$9:$AC$9,FF$9,0)) + OFFSET(DNN!$X$9,FF$9,0)</f>
        <v>-1.3491460223194656E-3</v>
      </c>
      <c r="FG13" s="97">
        <f ca="1">SUMPRODUCT($ET13:$EX13,OFFSET(DNN!$Y$9:$AC$9,FG$9,0)) + OFFSET(DNN!$X$9,FG$9,0)</f>
        <v>-6.2604808096248285E-2</v>
      </c>
      <c r="FH13" s="97">
        <f ca="1">SUMPRODUCT($ET13:$EX13,OFFSET(DNN!$Y$9:$AC$9,FH$9,0)) + OFFSET(DNN!$X$9,FH$9,0)</f>
        <v>8.6810016937029894E-4</v>
      </c>
      <c r="FI13" s="108">
        <f ca="1">SUMPRODUCT($ET13:$EX13,OFFSET(DNN!$Y$9:$AC$9,FI$9,0)) + OFFSET(DNN!$X$9,FI$9,0)</f>
        <v>-1.3182687612562751</v>
      </c>
      <c r="FJ13" s="98">
        <f ca="1">SUMPRODUCT($ET13:$EX13,OFFSET(DNN!$Y$9:$AC$9,FJ$9,0)) + OFFSET(DNN!$X$9,FJ$9,0)</f>
        <v>-2.2535161745939301E-5</v>
      </c>
      <c r="FL13" s="415">
        <f t="shared" ca="1" si="98"/>
        <v>0.43031618918982212</v>
      </c>
      <c r="FM13" s="130">
        <f t="shared" ca="1" si="99"/>
        <v>1</v>
      </c>
      <c r="FN13" s="131">
        <f t="shared" ca="1" si="100"/>
        <v>0.65029522127322903</v>
      </c>
      <c r="FO13" s="131">
        <f t="shared" ca="1" si="101"/>
        <v>0.66028983545318687</v>
      </c>
      <c r="FP13" s="131">
        <f t="shared" ca="1" si="102"/>
        <v>0.64972655813153501</v>
      </c>
      <c r="FQ13" s="131">
        <f t="shared" ca="1" si="103"/>
        <v>0.65002804502111444</v>
      </c>
      <c r="FR13" s="131">
        <f t="shared" ca="1" si="104"/>
        <v>0.65029320640965171</v>
      </c>
      <c r="FS13" s="131">
        <f t="shared" ca="1" si="105"/>
        <v>0.64942668056342145</v>
      </c>
      <c r="FT13" s="131">
        <f t="shared" ca="1" si="106"/>
        <v>0.61083952513994022</v>
      </c>
      <c r="FU13" s="132">
        <f t="shared" ca="1" si="107"/>
        <v>0.6508682169276182</v>
      </c>
      <c r="FV13" s="131">
        <f t="shared" ca="1" si="108"/>
        <v>0.17402001625314881</v>
      </c>
      <c r="FW13" s="83">
        <f t="shared" ca="1" si="109"/>
        <v>-2.2535161742124597E-5</v>
      </c>
    </row>
    <row r="14" spans="1:179">
      <c r="A14" s="19">
        <f t="shared" si="110"/>
        <v>4</v>
      </c>
      <c r="B14" s="1">
        <f t="shared" ca="1" si="111"/>
        <v>0</v>
      </c>
      <c r="C14" s="20">
        <f t="shared" ca="1" si="112"/>
        <v>4</v>
      </c>
      <c r="D14" s="19" t="str">
        <f t="shared" ca="1" si="113"/>
        <v>〇×〇×〇×--〇</v>
      </c>
      <c r="E14" s="7">
        <f t="shared" ca="1" si="77"/>
        <v>9</v>
      </c>
      <c r="F14" s="7">
        <f t="shared" ca="1" si="78"/>
        <v>1</v>
      </c>
      <c r="G14" s="1" t="str">
        <f t="shared" ca="1" si="79"/>
        <v>〇×〇×〇×--〇</v>
      </c>
      <c r="H14" s="20" t="b">
        <f t="shared" ca="1" si="80"/>
        <v>1</v>
      </c>
      <c r="I14" s="22">
        <f t="shared" ca="1" si="114"/>
        <v>-1</v>
      </c>
      <c r="J14" s="1" t="b">
        <f ca="1">(1&lt;COUNTIF(D$10:D14,D14))</f>
        <v>1</v>
      </c>
      <c r="K14" s="1" t="b">
        <f t="shared" ca="1" si="81"/>
        <v>1</v>
      </c>
      <c r="L14" s="7">
        <f ca="1">MATCH(TRUE,K14:K$1048576,FALSE)-1</f>
        <v>0</v>
      </c>
      <c r="M14" s="24" t="str">
        <f t="shared" ca="1" si="13"/>
        <v>〇×〇×〇×--〇_9</v>
      </c>
      <c r="N14" s="25">
        <f t="shared" ca="1" si="82"/>
        <v>-2.2535161742124597E-5</v>
      </c>
      <c r="O14" s="26">
        <f t="shared" ca="1" si="83"/>
        <v>-1</v>
      </c>
      <c r="P14" s="27">
        <f t="shared" ca="1" si="84"/>
        <v>-1</v>
      </c>
      <c r="R14" s="41" t="str">
        <f ca="1">VLOOKUP(S14,cvt!$B$2:$C$4,2,FALSE)&amp;VLOOKUP(T14,cvt!$B$2:$C$4,2,FALSE)&amp;VLOOKUP(U14,cvt!$B$2:$C$4,2,FALSE)
&amp;VLOOKUP(V14,cvt!$B$2:$C$4,2,FALSE)&amp;VLOOKUP(W14,cvt!$B$2:$C$4,2,FALSE)&amp;VLOOKUP(X14,cvt!$B$2:$C$4,2,FALSE)
&amp;VLOOKUP(Y14,cvt!$B$2:$C$4,2,FALSE)&amp;VLOOKUP(Z14,cvt!$B$2:$C$4,2,FALSE)&amp;VLOOKUP(AA14,cvt!$B$2:$C$4,2,FALSE)</f>
        <v>〇×〇×〇×--〇</v>
      </c>
      <c r="S14" s="7">
        <f ca="1">VLOOKUP(MID($D14,S$9+1,1), cvt!$A$2:$B$4,2, FALSE)</f>
        <v>1</v>
      </c>
      <c r="T14" s="7">
        <f ca="1">VLOOKUP(MID($D14,T$9+1,1), cvt!$A$2:$B$4,2, FALSE)</f>
        <v>-1</v>
      </c>
      <c r="U14" s="7">
        <f ca="1">VLOOKUP(MID($D14,U$9+1,1), cvt!$A$2:$B$4,2, FALSE)</f>
        <v>1</v>
      </c>
      <c r="V14" s="17">
        <f ca="1">VLOOKUP(MID($D14,V$9+1,1), cvt!$A$2:$B$4,2, FALSE)</f>
        <v>-1</v>
      </c>
      <c r="W14" s="7">
        <f ca="1">VLOOKUP(MID($D14,W$9+1,1), cvt!$A$2:$B$4,2, FALSE)</f>
        <v>1</v>
      </c>
      <c r="X14" s="18">
        <f ca="1">VLOOKUP(MID($D14,X$9+1,1), cvt!$A$2:$B$4,2, FALSE)</f>
        <v>-1</v>
      </c>
      <c r="Y14" s="7">
        <f ca="1">VLOOKUP(MID($D14,Y$9+1,1), cvt!$A$2:$B$4,2, FALSE)</f>
        <v>0</v>
      </c>
      <c r="Z14" s="7">
        <f ca="1">VLOOKUP(MID($D14,Z$9+1,1), cvt!$A$2:$B$4,2, FALSE)</f>
        <v>0</v>
      </c>
      <c r="AA14" s="42">
        <f ca="1">VLOOKUP(MID($D14,AA$9+1,1), cvt!$A$2:$B$4,2, FALSE)</f>
        <v>1</v>
      </c>
      <c r="AB14" s="7">
        <f t="shared" ca="1" si="85"/>
        <v>1</v>
      </c>
      <c r="AC14" s="50" t="b">
        <f t="shared" ca="1" si="86"/>
        <v>1</v>
      </c>
      <c r="AE14" s="19" t="str">
        <f ca="1">VLOOKUP(AF14,cvt!$B$2:$C$4,2,FALSE)&amp;VLOOKUP(AG14,cvt!$B$2:$C$4,2,FALSE)&amp;VLOOKUP(AH14,cvt!$B$2:$C$4,2,FALSE)
&amp;VLOOKUP(AI14,cvt!$B$2:$C$4,2,FALSE)&amp;VLOOKUP(AJ14,cvt!$B$2:$C$4,2,FALSE)&amp;VLOOKUP(AK14,cvt!$B$2:$C$4,2,FALSE)
&amp;VLOOKUP(AL14,cvt!$B$2:$C$4,2,FALSE)&amp;VLOOKUP(AM14,cvt!$B$2:$C$4,2,FALSE)&amp;VLOOKUP(AN14,cvt!$B$2:$C$4,2,FALSE)</f>
        <v>〇×〇×〇×--〇</v>
      </c>
      <c r="AF14" s="17">
        <f t="shared" ca="1" si="14"/>
        <v>1</v>
      </c>
      <c r="AG14" s="7">
        <f t="shared" ca="1" si="15"/>
        <v>-1</v>
      </c>
      <c r="AH14" s="7">
        <f t="shared" ca="1" si="16"/>
        <v>1</v>
      </c>
      <c r="AI14" s="17">
        <f t="shared" ca="1" si="17"/>
        <v>-1</v>
      </c>
      <c r="AJ14" s="7">
        <f t="shared" ca="1" si="18"/>
        <v>1</v>
      </c>
      <c r="AK14" s="18">
        <f t="shared" ca="1" si="19"/>
        <v>-1</v>
      </c>
      <c r="AL14" s="7">
        <f t="shared" ca="1" si="20"/>
        <v>0</v>
      </c>
      <c r="AM14" s="7">
        <f t="shared" ca="1" si="21"/>
        <v>0</v>
      </c>
      <c r="AN14" s="18">
        <f t="shared" ca="1" si="22"/>
        <v>1</v>
      </c>
      <c r="AO14" s="7">
        <f t="shared" ca="1" si="115"/>
        <v>1</v>
      </c>
      <c r="AP14" s="50" t="b">
        <f t="shared" ca="1" si="87"/>
        <v>1</v>
      </c>
      <c r="AS14" s="22">
        <f t="shared" ca="1" si="88"/>
        <v>0</v>
      </c>
      <c r="AT14" s="7">
        <f t="shared" ca="1" si="23"/>
        <v>0</v>
      </c>
      <c r="AU14" s="7">
        <f t="shared" ca="1" si="24"/>
        <v>0</v>
      </c>
      <c r="AV14" s="7">
        <f t="shared" ca="1" si="25"/>
        <v>0</v>
      </c>
      <c r="AW14" s="7">
        <f t="shared" ca="1" si="26"/>
        <v>0</v>
      </c>
      <c r="AX14" s="7">
        <f t="shared" ca="1" si="27"/>
        <v>0</v>
      </c>
      <c r="AY14" s="7">
        <f t="shared" ca="1" si="28"/>
        <v>0</v>
      </c>
      <c r="AZ14" s="7">
        <f t="shared" ca="1" si="29"/>
        <v>0</v>
      </c>
      <c r="BA14" s="18">
        <f t="shared" ca="1" si="30"/>
        <v>0</v>
      </c>
      <c r="BB14" s="295">
        <f t="shared" ca="1" si="89"/>
        <v>1</v>
      </c>
      <c r="BD14" s="132"/>
      <c r="BE14" s="297">
        <f t="shared" ca="1" si="90"/>
        <v>1</v>
      </c>
      <c r="BF14" s="298">
        <f t="shared" ca="1" si="31"/>
        <v>0.65029522127322903</v>
      </c>
      <c r="BG14" s="298">
        <f t="shared" ca="1" si="32"/>
        <v>0.66028983545318687</v>
      </c>
      <c r="BH14" s="318">
        <f t="shared" ca="1" si="33"/>
        <v>0.64972655813153501</v>
      </c>
      <c r="BI14" s="298">
        <f t="shared" ca="1" si="34"/>
        <v>0.65002804502111444</v>
      </c>
      <c r="BJ14" s="299">
        <f t="shared" ca="1" si="35"/>
        <v>0.65029320640965171</v>
      </c>
      <c r="BK14" s="298">
        <f t="shared" ca="1" si="36"/>
        <v>0.64942668056342145</v>
      </c>
      <c r="BL14" s="298">
        <f t="shared" ca="1" si="37"/>
        <v>0.61083952513994022</v>
      </c>
      <c r="BM14" s="299">
        <f t="shared" ca="1" si="38"/>
        <v>0.6508682169276182</v>
      </c>
      <c r="BN14" s="295">
        <f t="shared" ca="1" si="39"/>
        <v>0.17402001625314881</v>
      </c>
      <c r="BO14" s="248">
        <f t="shared" ca="1" si="91"/>
        <v>-2.2535161742124597E-5</v>
      </c>
      <c r="BQ14" s="304">
        <f t="shared" ca="1" si="92"/>
        <v>0.1741200162531488</v>
      </c>
      <c r="BR14" s="297">
        <f t="shared" ca="1" si="93"/>
        <v>0</v>
      </c>
      <c r="BS14" s="298">
        <f t="shared" ca="1" si="40"/>
        <v>0</v>
      </c>
      <c r="BT14" s="298">
        <f t="shared" ca="1" si="41"/>
        <v>0</v>
      </c>
      <c r="BU14" s="318">
        <f t="shared" ca="1" si="42"/>
        <v>0</v>
      </c>
      <c r="BV14" s="298">
        <f t="shared" ca="1" si="43"/>
        <v>0</v>
      </c>
      <c r="BW14" s="299">
        <f t="shared" ca="1" si="44"/>
        <v>0</v>
      </c>
      <c r="BX14" s="298">
        <f t="shared" ca="1" si="45"/>
        <v>0</v>
      </c>
      <c r="BY14" s="298">
        <f t="shared" ca="1" si="46"/>
        <v>0</v>
      </c>
      <c r="BZ14" s="298">
        <f t="shared" ca="1" si="47"/>
        <v>0</v>
      </c>
      <c r="CA14" s="315">
        <f t="shared" ca="1" si="48"/>
        <v>0.1741200162531488</v>
      </c>
      <c r="CC14" s="52"/>
      <c r="CD14" s="306">
        <f t="shared" ca="1" si="94"/>
        <v>0</v>
      </c>
      <c r="CE14" s="15">
        <f t="shared" ca="1" si="49"/>
        <v>0</v>
      </c>
      <c r="CF14" s="15">
        <f t="shared" ca="1" si="50"/>
        <v>0</v>
      </c>
      <c r="CG14" s="286">
        <f t="shared" ca="1" si="51"/>
        <v>0</v>
      </c>
      <c r="CH14" s="15">
        <f t="shared" ca="1" si="52"/>
        <v>0</v>
      </c>
      <c r="CI14" s="288">
        <f t="shared" ca="1" si="53"/>
        <v>0</v>
      </c>
      <c r="CJ14" s="15">
        <f t="shared" ca="1" si="54"/>
        <v>0</v>
      </c>
      <c r="CK14" s="15">
        <f t="shared" ca="1" si="55"/>
        <v>0</v>
      </c>
      <c r="CL14" s="15">
        <f t="shared" ca="1" si="56"/>
        <v>0</v>
      </c>
      <c r="CM14" s="313">
        <f t="shared" ca="1" si="57"/>
        <v>1</v>
      </c>
      <c r="CO14" s="320">
        <f t="shared" ca="1" si="95"/>
        <v>3</v>
      </c>
      <c r="CP14" s="22">
        <f ca="1">COUNTIFS($C$10:$C13,"&lt;"&amp;$C14,$M$10:$M13,$D14&amp;"_"&amp;CP$9)</f>
        <v>0</v>
      </c>
      <c r="CQ14" s="7">
        <f ca="1">COUNTIFS($C$10:$C13,"&lt;"&amp;$C14,$M$10:$M13,$D14&amp;"_"&amp;CQ$9)</f>
        <v>0</v>
      </c>
      <c r="CR14" s="7">
        <f ca="1">COUNTIFS($C$10:$C13,"&lt;"&amp;$C14,$M$10:$M13,$D14&amp;"_"&amp;CR$9)</f>
        <v>0</v>
      </c>
      <c r="CS14" s="17">
        <f ca="1">COUNTIFS($C$10:$C13,"&lt;"&amp;$C14,$M$10:$M13,$D14&amp;"_"&amp;CS$9)</f>
        <v>0</v>
      </c>
      <c r="CT14" s="7">
        <f ca="1">COUNTIFS($C$10:$C13,"&lt;"&amp;$C14,$M$10:$M13,$D14&amp;"_"&amp;CT$9)</f>
        <v>0</v>
      </c>
      <c r="CU14" s="18">
        <f ca="1">COUNTIFS($C$10:$C13,"&lt;"&amp;$C14,$M$10:$M13,$D14&amp;"_"&amp;CU$9)</f>
        <v>0</v>
      </c>
      <c r="CV14" s="7">
        <f ca="1">COUNTIFS($C$10:$C13,"&lt;"&amp;$C14,$M$10:$M13,$D14&amp;"_"&amp;CV$9)</f>
        <v>0</v>
      </c>
      <c r="CW14" s="7">
        <f ca="1">COUNTIFS($C$10:$C13,"&lt;"&amp;$C14,$M$10:$M13,$D14&amp;"_"&amp;CW$9)</f>
        <v>0</v>
      </c>
      <c r="CX14" s="7">
        <f ca="1">COUNTIFS($C$10:$C13,"&lt;"&amp;$C14,$M$10:$M13,$D14&amp;"_"&amp;CX$9)</f>
        <v>0</v>
      </c>
      <c r="CY14" s="221">
        <f ca="1">COUNTIFS($C$10:$C13,"&lt;"&amp;$C14,$M$10:$M13,$D14&amp;"_"&amp;CY$9)</f>
        <v>3</v>
      </c>
      <c r="DA14" s="20"/>
      <c r="DB14" s="308">
        <f ca="1">IF(CP14=0,0,SUMIFS($P$10:$P13, $C$10:$C13,"&lt;"&amp;$C14, $M$10:$M13,$D14&amp;"_"&amp;DB$9)/CP14)</f>
        <v>0</v>
      </c>
      <c r="DC14" s="263">
        <f ca="1">IF(CQ14=0,0,SUMIFS($P$10:$P13, $C$10:$C13,"&lt;"&amp;$C14, $M$10:$M13,$D14&amp;"_"&amp;DC$9)/CQ14)</f>
        <v>0</v>
      </c>
      <c r="DD14" s="263">
        <f ca="1">IF(CR14=0,0,SUMIFS($P$10:$P13, $C$10:$C13,"&lt;"&amp;$C14, $M$10:$M13,$D14&amp;"_"&amp;DD$9)/CR14)</f>
        <v>0</v>
      </c>
      <c r="DE14" s="262">
        <f ca="1">IF(CS14=0,0,SUMIFS($P$10:$P13, $C$10:$C13,"&lt;"&amp;$C14, $M$10:$M13,$D14&amp;"_"&amp;DE$9)/CS14)</f>
        <v>0</v>
      </c>
      <c r="DF14" s="263">
        <f ca="1">IF(CT14=0,0,SUMIFS($P$10:$P13, $C$10:$C13,"&lt;"&amp;$C14, $M$10:$M13,$D14&amp;"_"&amp;DF$9)/CT14)</f>
        <v>0</v>
      </c>
      <c r="DG14" s="310">
        <f ca="1">IF(CU14=0,0,SUMIFS($P$10:$P13, $C$10:$C13,"&lt;"&amp;$C14, $M$10:$M13,$D14&amp;"_"&amp;DG$9)/CU14)</f>
        <v>0</v>
      </c>
      <c r="DH14" s="263">
        <f ca="1">IF(CV14=0,0,SUMIFS($P$10:$P13, $C$10:$C13,"&lt;"&amp;$C14, $M$10:$M13,$D14&amp;"_"&amp;DH$9)/CV14)</f>
        <v>0</v>
      </c>
      <c r="DI14" s="263">
        <f ca="1">IF(CW14=0,0,SUMIFS($P$10:$P13, $C$10:$C13,"&lt;"&amp;$C14, $M$10:$M13,$D14&amp;"_"&amp;DI$9)/CW14)</f>
        <v>0</v>
      </c>
      <c r="DJ14" s="264">
        <f ca="1">IF(CX14=0,0,SUMIFS($P$10:$P13, $C$10:$C13,"&lt;"&amp;$C14, $M$10:$M13,$D14&amp;"_"&amp;DJ$9)/CX14)</f>
        <v>0</v>
      </c>
      <c r="DK14" s="264">
        <f ca="1">IF(CY14=0,0,SUMIFS($P$10:$P13, $C$10:$C13,"&lt;"&amp;$C14, $M$10:$M13,$D14&amp;"_"&amp;DK$9)/CY14)</f>
        <v>-1</v>
      </c>
      <c r="DM14" s="104"/>
      <c r="DN14" s="306">
        <f t="shared" ca="1" si="96"/>
        <v>-9999</v>
      </c>
      <c r="DO14" s="15">
        <f t="shared" ca="1" si="58"/>
        <v>-9999</v>
      </c>
      <c r="DP14" s="15">
        <f t="shared" ca="1" si="59"/>
        <v>-9999</v>
      </c>
      <c r="DQ14" s="15">
        <f t="shared" ca="1" si="60"/>
        <v>-9999</v>
      </c>
      <c r="DR14" s="15">
        <f t="shared" ca="1" si="61"/>
        <v>-9999</v>
      </c>
      <c r="DS14" s="15">
        <f t="shared" ca="1" si="62"/>
        <v>-9999</v>
      </c>
      <c r="DT14" s="15">
        <f t="shared" ca="1" si="63"/>
        <v>-9999</v>
      </c>
      <c r="DU14" s="15">
        <f t="shared" ca="1" si="64"/>
        <v>-9999</v>
      </c>
      <c r="DV14" s="52">
        <f t="shared" ca="1" si="65"/>
        <v>-9999</v>
      </c>
      <c r="DW14" s="313">
        <f t="shared" ca="1" si="66"/>
        <v>-0.5669872981077807</v>
      </c>
      <c r="DX14" s="52"/>
      <c r="DY14" s="402">
        <f t="shared" ca="1" si="97"/>
        <v>9</v>
      </c>
      <c r="ED14" s="19">
        <f t="shared" ca="1" si="67"/>
        <v>-1</v>
      </c>
      <c r="EE14" s="1">
        <f t="shared" ca="1" si="68"/>
        <v>1</v>
      </c>
      <c r="EF14" s="1">
        <f t="shared" ca="1" si="69"/>
        <v>-1</v>
      </c>
      <c r="EG14" s="2">
        <f t="shared" ca="1" si="70"/>
        <v>1</v>
      </c>
      <c r="EH14" s="1">
        <f t="shared" ca="1" si="71"/>
        <v>-1</v>
      </c>
      <c r="EI14" s="3">
        <f t="shared" ca="1" si="72"/>
        <v>1</v>
      </c>
      <c r="EJ14" s="1">
        <f t="shared" ca="1" si="73"/>
        <v>0</v>
      </c>
      <c r="EK14" s="1">
        <f t="shared" ca="1" si="74"/>
        <v>0</v>
      </c>
      <c r="EL14" s="20">
        <f t="shared" ca="1" si="75"/>
        <v>-1</v>
      </c>
      <c r="EN14" s="86">
        <f ca="1">MAX(0, SUMPRODUCT($ED14:$EL14,OFFSET(DNN!$E$9:$M$9,EN$9,0)) + OFFSET(DNN!$D$9,EN$9,0))</f>
        <v>0</v>
      </c>
      <c r="EO14" s="84">
        <f ca="1">MAX(0, SUMPRODUCT($ED14:$EL14,OFFSET(DNN!$E$9:$M$9,EO$9,0)) + OFFSET(DNN!$D$9,EO$9,0))</f>
        <v>7.2346022384755949E-3</v>
      </c>
      <c r="EP14" s="84">
        <f ca="1">MAX(0, SUMPRODUCT($ED14:$EL14,OFFSET(DNN!$E$9:$M$9,EP$9,0)) + OFFSET(DNN!$D$9,EP$9,0))</f>
        <v>3.6951849750035152E-3</v>
      </c>
      <c r="EQ14" s="84">
        <f ca="1">MAX(0, SUMPRODUCT($ED14:$EL14,OFFSET(DNN!$E$9:$M$9,EQ$9,0)) + OFFSET(DNN!$D$9,EQ$9,0))</f>
        <v>0</v>
      </c>
      <c r="ER14" s="85">
        <f ca="1">MAX(0, SUMPRODUCT($ED14:$EL14,OFFSET(DNN!$E$9:$M$9,ER$9,0)) + OFFSET(DNN!$D$9,ER$9,0))</f>
        <v>0</v>
      </c>
      <c r="ET14" s="86">
        <f ca="1">MAX(0, SUMPRODUCT($EN14:$ER14,OFFSET(DNN!$Q$9:$U$9,ET$9,0)) + OFFSET(DNN!$P$9,ET$9,0))</f>
        <v>4.3954959453478351E-4</v>
      </c>
      <c r="EU14" s="84">
        <f ca="1">MAX(0, SUMPRODUCT($EN14:$ER14,OFFSET(DNN!$Q$9:$U$9,EU$9,0)) + OFFSET(DNN!$P$9,EU$9,0))</f>
        <v>0</v>
      </c>
      <c r="EV14" s="84">
        <f ca="1">MAX(0, SUMPRODUCT($EN14:$ER14,OFFSET(DNN!$Q$9:$U$9,EV$9,0)) + OFFSET(DNN!$P$9,EV$9,0))</f>
        <v>1.2810123361902579E-3</v>
      </c>
      <c r="EW14" s="84">
        <f ca="1">MAX(0, SUMPRODUCT($EN14:$ER14,OFFSET(DNN!$Q$9:$U$9,EW$9,0)) + OFFSET(DNN!$P$9,EW$9,0))</f>
        <v>7.8382123007882457E-4</v>
      </c>
      <c r="EX14" s="85">
        <f ca="1">MAX(0, SUMPRODUCT($EN14:$ER14,OFFSET(DNN!$Q$9:$U$9,EX$9,0)) + OFFSET(DNN!$P$9,EX$9,0))</f>
        <v>0</v>
      </c>
      <c r="EZ14" s="111">
        <f ca="1">SUMPRODUCT($ET14:$EX14,OFFSET(DNN!$Y$9:$AC$9,EZ$9,0)) + OFFSET(DNN!$X$9,EZ$9,0)</f>
        <v>0.43031618918982212</v>
      </c>
      <c r="FA14" s="97">
        <f ca="1">SUMPRODUCT($ET14:$EX14,OFFSET(DNN!$Y$9:$AC$9,FA$9,0)) + OFFSET(DNN!$X$9,FA$9,0)</f>
        <v>-1.2643439935754107E-5</v>
      </c>
      <c r="FB14" s="97">
        <f ca="1">SUMPRODUCT($ET14:$EX14,OFFSET(DNN!$Y$9:$AC$9,FB$9,0)) + OFFSET(DNN!$X$9,FB$9,0)</f>
        <v>1.5239793458415756E-2</v>
      </c>
      <c r="FC14" s="97">
        <f ca="1">SUMPRODUCT($ET14:$EX14,OFFSET(DNN!$Y$9:$AC$9,FC$9,0)) + OFFSET(DNN!$X$9,FC$9,0)</f>
        <v>-8.8749521084055777E-4</v>
      </c>
      <c r="FD14" s="97">
        <f ca="1">SUMPRODUCT($ET14:$EX14,OFFSET(DNN!$Y$9:$AC$9,FD$9,0)) + OFFSET(DNN!$X$9,FD$9,0)</f>
        <v>-4.235816470721872E-4</v>
      </c>
      <c r="FE14" s="97">
        <f ca="1">SUMPRODUCT($ET14:$EX14,OFFSET(DNN!$Y$9:$AC$9,FE$9,0)) + OFFSET(DNN!$X$9,FE$9,0)</f>
        <v>-1.574182761064886E-5</v>
      </c>
      <c r="FF14" s="97">
        <f ca="1">SUMPRODUCT($ET14:$EX14,OFFSET(DNN!$Y$9:$AC$9,FF$9,0)) + OFFSET(DNN!$X$9,FF$9,0)</f>
        <v>-1.3491460223194656E-3</v>
      </c>
      <c r="FG14" s="97">
        <f ca="1">SUMPRODUCT($ET14:$EX14,OFFSET(DNN!$Y$9:$AC$9,FG$9,0)) + OFFSET(DNN!$X$9,FG$9,0)</f>
        <v>-6.2604808096248285E-2</v>
      </c>
      <c r="FH14" s="97">
        <f ca="1">SUMPRODUCT($ET14:$EX14,OFFSET(DNN!$Y$9:$AC$9,FH$9,0)) + OFFSET(DNN!$X$9,FH$9,0)</f>
        <v>8.6810016937029894E-4</v>
      </c>
      <c r="FI14" s="108">
        <f ca="1">SUMPRODUCT($ET14:$EX14,OFFSET(DNN!$Y$9:$AC$9,FI$9,0)) + OFFSET(DNN!$X$9,FI$9,0)</f>
        <v>-1.3182687612562751</v>
      </c>
      <c r="FJ14" s="98">
        <f ca="1">SUMPRODUCT($ET14:$EX14,OFFSET(DNN!$Y$9:$AC$9,FJ$9,0)) + OFFSET(DNN!$X$9,FJ$9,0)</f>
        <v>-2.2535161745939301E-5</v>
      </c>
      <c r="FL14" s="415">
        <f t="shared" ca="1" si="98"/>
        <v>0.43031618918982212</v>
      </c>
      <c r="FM14" s="130">
        <f t="shared" ca="1" si="99"/>
        <v>1</v>
      </c>
      <c r="FN14" s="131">
        <f t="shared" ca="1" si="100"/>
        <v>0.65029522127322903</v>
      </c>
      <c r="FO14" s="131">
        <f t="shared" ca="1" si="101"/>
        <v>0.66028983545318687</v>
      </c>
      <c r="FP14" s="131">
        <f t="shared" ca="1" si="102"/>
        <v>0.64972655813153501</v>
      </c>
      <c r="FQ14" s="131">
        <f t="shared" ca="1" si="103"/>
        <v>0.65002804502111444</v>
      </c>
      <c r="FR14" s="131">
        <f t="shared" ca="1" si="104"/>
        <v>0.65029320640965171</v>
      </c>
      <c r="FS14" s="131">
        <f t="shared" ca="1" si="105"/>
        <v>0.64942668056342145</v>
      </c>
      <c r="FT14" s="131">
        <f t="shared" ca="1" si="106"/>
        <v>0.61083952513994022</v>
      </c>
      <c r="FU14" s="132">
        <f t="shared" ca="1" si="107"/>
        <v>0.6508682169276182</v>
      </c>
      <c r="FV14" s="131">
        <f t="shared" ca="1" si="108"/>
        <v>0.17402001625314881</v>
      </c>
      <c r="FW14" s="83">
        <f t="shared" ca="1" si="109"/>
        <v>-2.2535161742124597E-5</v>
      </c>
    </row>
    <row r="15" spans="1:179">
      <c r="A15" s="19">
        <f t="shared" si="110"/>
        <v>5</v>
      </c>
      <c r="B15" s="1">
        <f t="shared" ca="1" si="111"/>
        <v>0</v>
      </c>
      <c r="C15" s="20">
        <f t="shared" ca="1" si="112"/>
        <v>5</v>
      </c>
      <c r="D15" s="19" t="str">
        <f t="shared" ca="1" si="113"/>
        <v>〇×〇×〇×--〇</v>
      </c>
      <c r="E15" s="7">
        <f t="shared" ca="1" si="77"/>
        <v>9</v>
      </c>
      <c r="F15" s="7">
        <f t="shared" ca="1" si="78"/>
        <v>1</v>
      </c>
      <c r="G15" s="1" t="str">
        <f t="shared" ref="G15:G46" ca="1" si="116">AE15</f>
        <v>〇×〇×〇×--〇</v>
      </c>
      <c r="H15" s="20" t="b">
        <f t="shared" ca="1" si="80"/>
        <v>1</v>
      </c>
      <c r="I15" s="22">
        <f t="shared" ca="1" si="114"/>
        <v>-1</v>
      </c>
      <c r="J15" s="1" t="b">
        <f ca="1">(1&lt;COUNTIF(D$10:D15,D15))</f>
        <v>1</v>
      </c>
      <c r="K15" s="1" t="b">
        <f t="shared" ca="1" si="81"/>
        <v>1</v>
      </c>
      <c r="L15" s="7">
        <f ca="1">MATCH(TRUE,K15:K$1048576,FALSE)-1</f>
        <v>0</v>
      </c>
      <c r="M15" s="24" t="str">
        <f t="shared" ca="1" si="13"/>
        <v>〇×〇×〇×--〇_9</v>
      </c>
      <c r="N15" s="25">
        <f t="shared" ca="1" si="82"/>
        <v>-2.2535161742124597E-5</v>
      </c>
      <c r="O15" s="26">
        <f t="shared" ca="1" si="83"/>
        <v>-1</v>
      </c>
      <c r="P15" s="27">
        <f t="shared" ca="1" si="84"/>
        <v>-1</v>
      </c>
      <c r="R15" s="41" t="str">
        <f ca="1">VLOOKUP(S15,cvt!$B$2:$C$4,2,FALSE)&amp;VLOOKUP(T15,cvt!$B$2:$C$4,2,FALSE)&amp;VLOOKUP(U15,cvt!$B$2:$C$4,2,FALSE)
&amp;VLOOKUP(V15,cvt!$B$2:$C$4,2,FALSE)&amp;VLOOKUP(W15,cvt!$B$2:$C$4,2,FALSE)&amp;VLOOKUP(X15,cvt!$B$2:$C$4,2,FALSE)
&amp;VLOOKUP(Y15,cvt!$B$2:$C$4,2,FALSE)&amp;VLOOKUP(Z15,cvt!$B$2:$C$4,2,FALSE)&amp;VLOOKUP(AA15,cvt!$B$2:$C$4,2,FALSE)</f>
        <v>〇×〇×〇×--〇</v>
      </c>
      <c r="S15" s="7">
        <f ca="1">VLOOKUP(MID($D15,S$9+1,1), cvt!$A$2:$B$4,2, FALSE)</f>
        <v>1</v>
      </c>
      <c r="T15" s="7">
        <f ca="1">VLOOKUP(MID($D15,T$9+1,1), cvt!$A$2:$B$4,2, FALSE)</f>
        <v>-1</v>
      </c>
      <c r="U15" s="7">
        <f ca="1">VLOOKUP(MID($D15,U$9+1,1), cvt!$A$2:$B$4,2, FALSE)</f>
        <v>1</v>
      </c>
      <c r="V15" s="17">
        <f ca="1">VLOOKUP(MID($D15,V$9+1,1), cvt!$A$2:$B$4,2, FALSE)</f>
        <v>-1</v>
      </c>
      <c r="W15" s="7">
        <f ca="1">VLOOKUP(MID($D15,W$9+1,1), cvt!$A$2:$B$4,2, FALSE)</f>
        <v>1</v>
      </c>
      <c r="X15" s="18">
        <f ca="1">VLOOKUP(MID($D15,X$9+1,1), cvt!$A$2:$B$4,2, FALSE)</f>
        <v>-1</v>
      </c>
      <c r="Y15" s="7">
        <f ca="1">VLOOKUP(MID($D15,Y$9+1,1), cvt!$A$2:$B$4,2, FALSE)</f>
        <v>0</v>
      </c>
      <c r="Z15" s="7">
        <f ca="1">VLOOKUP(MID($D15,Z$9+1,1), cvt!$A$2:$B$4,2, FALSE)</f>
        <v>0</v>
      </c>
      <c r="AA15" s="42">
        <f ca="1">VLOOKUP(MID($D15,AA$9+1,1), cvt!$A$2:$B$4,2, FALSE)</f>
        <v>1</v>
      </c>
      <c r="AB15" s="7">
        <f t="shared" ca="1" si="85"/>
        <v>1</v>
      </c>
      <c r="AC15" s="50" t="b">
        <f t="shared" ca="1" si="86"/>
        <v>1</v>
      </c>
      <c r="AE15" s="19" t="str">
        <f ca="1">VLOOKUP(AF15,cvt!$B$2:$C$4,2,FALSE)&amp;VLOOKUP(AG15,cvt!$B$2:$C$4,2,FALSE)&amp;VLOOKUP(AH15,cvt!$B$2:$C$4,2,FALSE)
&amp;VLOOKUP(AI15,cvt!$B$2:$C$4,2,FALSE)&amp;VLOOKUP(AJ15,cvt!$B$2:$C$4,2,FALSE)&amp;VLOOKUP(AK15,cvt!$B$2:$C$4,2,FALSE)
&amp;VLOOKUP(AL15,cvt!$B$2:$C$4,2,FALSE)&amp;VLOOKUP(AM15,cvt!$B$2:$C$4,2,FALSE)&amp;VLOOKUP(AN15,cvt!$B$2:$C$4,2,FALSE)</f>
        <v>〇×〇×〇×--〇</v>
      </c>
      <c r="AF15" s="17">
        <f t="shared" ca="1" si="14"/>
        <v>1</v>
      </c>
      <c r="AG15" s="7">
        <f t="shared" ca="1" si="15"/>
        <v>-1</v>
      </c>
      <c r="AH15" s="7">
        <f t="shared" ca="1" si="16"/>
        <v>1</v>
      </c>
      <c r="AI15" s="17">
        <f t="shared" ca="1" si="17"/>
        <v>-1</v>
      </c>
      <c r="AJ15" s="7">
        <f t="shared" ca="1" si="18"/>
        <v>1</v>
      </c>
      <c r="AK15" s="18">
        <f t="shared" ca="1" si="19"/>
        <v>-1</v>
      </c>
      <c r="AL15" s="7">
        <f t="shared" ca="1" si="20"/>
        <v>0</v>
      </c>
      <c r="AM15" s="7">
        <f t="shared" ca="1" si="21"/>
        <v>0</v>
      </c>
      <c r="AN15" s="18">
        <f t="shared" ca="1" si="22"/>
        <v>1</v>
      </c>
      <c r="AO15" s="7">
        <f t="shared" ca="1" si="115"/>
        <v>1</v>
      </c>
      <c r="AP15" s="50" t="b">
        <f t="shared" ca="1" si="87"/>
        <v>1</v>
      </c>
      <c r="AS15" s="22">
        <f t="shared" ca="1" si="88"/>
        <v>0</v>
      </c>
      <c r="AT15" s="7">
        <f t="shared" ca="1" si="23"/>
        <v>0</v>
      </c>
      <c r="AU15" s="7">
        <f t="shared" ca="1" si="24"/>
        <v>0</v>
      </c>
      <c r="AV15" s="7">
        <f t="shared" ca="1" si="25"/>
        <v>0</v>
      </c>
      <c r="AW15" s="7">
        <f t="shared" ca="1" si="26"/>
        <v>0</v>
      </c>
      <c r="AX15" s="7">
        <f t="shared" ca="1" si="27"/>
        <v>0</v>
      </c>
      <c r="AY15" s="7">
        <f t="shared" ca="1" si="28"/>
        <v>0</v>
      </c>
      <c r="AZ15" s="7">
        <f t="shared" ca="1" si="29"/>
        <v>0</v>
      </c>
      <c r="BA15" s="18">
        <f t="shared" ca="1" si="30"/>
        <v>0</v>
      </c>
      <c r="BB15" s="295">
        <f t="shared" ca="1" si="89"/>
        <v>1</v>
      </c>
      <c r="BD15" s="132"/>
      <c r="BE15" s="297">
        <f t="shared" ca="1" si="90"/>
        <v>1</v>
      </c>
      <c r="BF15" s="298">
        <f t="shared" ca="1" si="31"/>
        <v>0.65029522127322903</v>
      </c>
      <c r="BG15" s="298">
        <f t="shared" ca="1" si="32"/>
        <v>0.66028983545318687</v>
      </c>
      <c r="BH15" s="318">
        <f t="shared" ca="1" si="33"/>
        <v>0.64972655813153501</v>
      </c>
      <c r="BI15" s="298">
        <f t="shared" ca="1" si="34"/>
        <v>0.65002804502111444</v>
      </c>
      <c r="BJ15" s="299">
        <f t="shared" ca="1" si="35"/>
        <v>0.65029320640965171</v>
      </c>
      <c r="BK15" s="298">
        <f t="shared" ca="1" si="36"/>
        <v>0.64942668056342145</v>
      </c>
      <c r="BL15" s="298">
        <f t="shared" ca="1" si="37"/>
        <v>0.61083952513994022</v>
      </c>
      <c r="BM15" s="299">
        <f t="shared" ca="1" si="38"/>
        <v>0.6508682169276182</v>
      </c>
      <c r="BN15" s="295">
        <f t="shared" ca="1" si="39"/>
        <v>0.17402001625314881</v>
      </c>
      <c r="BO15" s="248">
        <f t="shared" ca="1" si="91"/>
        <v>-2.2535161742124597E-5</v>
      </c>
      <c r="BQ15" s="304">
        <f t="shared" ca="1" si="92"/>
        <v>0.42412001625314877</v>
      </c>
      <c r="BR15" s="297">
        <f t="shared" ca="1" si="93"/>
        <v>0</v>
      </c>
      <c r="BS15" s="298">
        <f t="shared" ca="1" si="40"/>
        <v>0</v>
      </c>
      <c r="BT15" s="298">
        <f t="shared" ca="1" si="41"/>
        <v>0</v>
      </c>
      <c r="BU15" s="318">
        <f t="shared" ca="1" si="42"/>
        <v>0</v>
      </c>
      <c r="BV15" s="298">
        <f t="shared" ca="1" si="43"/>
        <v>0</v>
      </c>
      <c r="BW15" s="299">
        <f t="shared" ca="1" si="44"/>
        <v>0</v>
      </c>
      <c r="BX15" s="298">
        <f t="shared" ca="1" si="45"/>
        <v>0</v>
      </c>
      <c r="BY15" s="298">
        <f t="shared" ca="1" si="46"/>
        <v>0</v>
      </c>
      <c r="BZ15" s="298">
        <f t="shared" ca="1" si="47"/>
        <v>0</v>
      </c>
      <c r="CA15" s="315">
        <f t="shared" ca="1" si="48"/>
        <v>0.42412001625314877</v>
      </c>
      <c r="CC15" s="52"/>
      <c r="CD15" s="306">
        <f t="shared" ca="1" si="94"/>
        <v>0</v>
      </c>
      <c r="CE15" s="15">
        <f t="shared" ca="1" si="49"/>
        <v>0</v>
      </c>
      <c r="CF15" s="15">
        <f t="shared" ca="1" si="50"/>
        <v>0</v>
      </c>
      <c r="CG15" s="286">
        <f t="shared" ca="1" si="51"/>
        <v>0</v>
      </c>
      <c r="CH15" s="15">
        <f t="shared" ca="1" si="52"/>
        <v>0</v>
      </c>
      <c r="CI15" s="288">
        <f t="shared" ca="1" si="53"/>
        <v>0</v>
      </c>
      <c r="CJ15" s="15">
        <f t="shared" ca="1" si="54"/>
        <v>0</v>
      </c>
      <c r="CK15" s="15">
        <f t="shared" ca="1" si="55"/>
        <v>0</v>
      </c>
      <c r="CL15" s="15">
        <f t="shared" ca="1" si="56"/>
        <v>0</v>
      </c>
      <c r="CM15" s="313">
        <f t="shared" ca="1" si="57"/>
        <v>1</v>
      </c>
      <c r="CO15" s="320">
        <f t="shared" ca="1" si="95"/>
        <v>4</v>
      </c>
      <c r="CP15" s="22">
        <f ca="1">COUNTIFS($C$10:$C14,"&lt;"&amp;$C15,$M$10:$M14,$D15&amp;"_"&amp;CP$9)</f>
        <v>0</v>
      </c>
      <c r="CQ15" s="7">
        <f ca="1">COUNTIFS($C$10:$C14,"&lt;"&amp;$C15,$M$10:$M14,$D15&amp;"_"&amp;CQ$9)</f>
        <v>0</v>
      </c>
      <c r="CR15" s="7">
        <f ca="1">COUNTIFS($C$10:$C14,"&lt;"&amp;$C15,$M$10:$M14,$D15&amp;"_"&amp;CR$9)</f>
        <v>0</v>
      </c>
      <c r="CS15" s="17">
        <f ca="1">COUNTIFS($C$10:$C14,"&lt;"&amp;$C15,$M$10:$M14,$D15&amp;"_"&amp;CS$9)</f>
        <v>0</v>
      </c>
      <c r="CT15" s="7">
        <f ca="1">COUNTIFS($C$10:$C14,"&lt;"&amp;$C15,$M$10:$M14,$D15&amp;"_"&amp;CT$9)</f>
        <v>0</v>
      </c>
      <c r="CU15" s="18">
        <f ca="1">COUNTIFS($C$10:$C14,"&lt;"&amp;$C15,$M$10:$M14,$D15&amp;"_"&amp;CU$9)</f>
        <v>0</v>
      </c>
      <c r="CV15" s="7">
        <f ca="1">COUNTIFS($C$10:$C14,"&lt;"&amp;$C15,$M$10:$M14,$D15&amp;"_"&amp;CV$9)</f>
        <v>0</v>
      </c>
      <c r="CW15" s="7">
        <f ca="1">COUNTIFS($C$10:$C14,"&lt;"&amp;$C15,$M$10:$M14,$D15&amp;"_"&amp;CW$9)</f>
        <v>0</v>
      </c>
      <c r="CX15" s="7">
        <f ca="1">COUNTIFS($C$10:$C14,"&lt;"&amp;$C15,$M$10:$M14,$D15&amp;"_"&amp;CX$9)</f>
        <v>0</v>
      </c>
      <c r="CY15" s="221">
        <f ca="1">COUNTIFS($C$10:$C14,"&lt;"&amp;$C15,$M$10:$M14,$D15&amp;"_"&amp;CY$9)</f>
        <v>4</v>
      </c>
      <c r="DA15" s="20"/>
      <c r="DB15" s="308">
        <f ca="1">IF(CP15=0,0,SUMIFS($P$10:$P14, $C$10:$C14,"&lt;"&amp;$C15, $M$10:$M14,$D15&amp;"_"&amp;DB$9)/CP15)</f>
        <v>0</v>
      </c>
      <c r="DC15" s="263">
        <f ca="1">IF(CQ15=0,0,SUMIFS($P$10:$P14, $C$10:$C14,"&lt;"&amp;$C15, $M$10:$M14,$D15&amp;"_"&amp;DC$9)/CQ15)</f>
        <v>0</v>
      </c>
      <c r="DD15" s="263">
        <f ca="1">IF(CR15=0,0,SUMIFS($P$10:$P14, $C$10:$C14,"&lt;"&amp;$C15, $M$10:$M14,$D15&amp;"_"&amp;DD$9)/CR15)</f>
        <v>0</v>
      </c>
      <c r="DE15" s="262">
        <f ca="1">IF(CS15=0,0,SUMIFS($P$10:$P14, $C$10:$C14,"&lt;"&amp;$C15, $M$10:$M14,$D15&amp;"_"&amp;DE$9)/CS15)</f>
        <v>0</v>
      </c>
      <c r="DF15" s="263">
        <f ca="1">IF(CT15=0,0,SUMIFS($P$10:$P14, $C$10:$C14,"&lt;"&amp;$C15, $M$10:$M14,$D15&amp;"_"&amp;DF$9)/CT15)</f>
        <v>0</v>
      </c>
      <c r="DG15" s="310">
        <f ca="1">IF(CU15=0,0,SUMIFS($P$10:$P14, $C$10:$C14,"&lt;"&amp;$C15, $M$10:$M14,$D15&amp;"_"&amp;DG$9)/CU15)</f>
        <v>0</v>
      </c>
      <c r="DH15" s="263">
        <f ca="1">IF(CV15=0,0,SUMIFS($P$10:$P14, $C$10:$C14,"&lt;"&amp;$C15, $M$10:$M14,$D15&amp;"_"&amp;DH$9)/CV15)</f>
        <v>0</v>
      </c>
      <c r="DI15" s="263">
        <f ca="1">IF(CW15=0,0,SUMIFS($P$10:$P14, $C$10:$C14,"&lt;"&amp;$C15, $M$10:$M14,$D15&amp;"_"&amp;DI$9)/CW15)</f>
        <v>0</v>
      </c>
      <c r="DJ15" s="264">
        <f ca="1">IF(CX15=0,0,SUMIFS($P$10:$P14, $C$10:$C14,"&lt;"&amp;$C15, $M$10:$M14,$D15&amp;"_"&amp;DJ$9)/CX15)</f>
        <v>0</v>
      </c>
      <c r="DK15" s="264">
        <f ca="1">IF(CY15=0,0,SUMIFS($P$10:$P14, $C$10:$C14,"&lt;"&amp;$C15, $M$10:$M14,$D15&amp;"_"&amp;DK$9)/CY15)</f>
        <v>-1</v>
      </c>
      <c r="DM15" s="104"/>
      <c r="DN15" s="306">
        <f t="shared" ca="1" si="96"/>
        <v>-9999</v>
      </c>
      <c r="DO15" s="15">
        <f t="shared" ca="1" si="58"/>
        <v>-9999</v>
      </c>
      <c r="DP15" s="15">
        <f t="shared" ca="1" si="59"/>
        <v>-9999</v>
      </c>
      <c r="DQ15" s="15">
        <f t="shared" ca="1" si="60"/>
        <v>-9999</v>
      </c>
      <c r="DR15" s="15">
        <f t="shared" ca="1" si="61"/>
        <v>-9999</v>
      </c>
      <c r="DS15" s="15">
        <f t="shared" ca="1" si="62"/>
        <v>-9999</v>
      </c>
      <c r="DT15" s="15">
        <f t="shared" ca="1" si="63"/>
        <v>-9999</v>
      </c>
      <c r="DU15" s="15">
        <f t="shared" ca="1" si="64"/>
        <v>-9999</v>
      </c>
      <c r="DV15" s="52">
        <f t="shared" ca="1" si="65"/>
        <v>-9999</v>
      </c>
      <c r="DW15" s="313">
        <f t="shared" ca="1" si="66"/>
        <v>-0.6</v>
      </c>
      <c r="DX15" s="52"/>
      <c r="DY15" s="402">
        <f t="shared" ca="1" si="97"/>
        <v>9</v>
      </c>
      <c r="ED15" s="19">
        <f t="shared" ca="1" si="67"/>
        <v>-1</v>
      </c>
      <c r="EE15" s="1">
        <f t="shared" ca="1" si="68"/>
        <v>1</v>
      </c>
      <c r="EF15" s="1">
        <f t="shared" ca="1" si="69"/>
        <v>-1</v>
      </c>
      <c r="EG15" s="2">
        <f t="shared" ca="1" si="70"/>
        <v>1</v>
      </c>
      <c r="EH15" s="1">
        <f t="shared" ca="1" si="71"/>
        <v>-1</v>
      </c>
      <c r="EI15" s="3">
        <f t="shared" ca="1" si="72"/>
        <v>1</v>
      </c>
      <c r="EJ15" s="1">
        <f t="shared" ca="1" si="73"/>
        <v>0</v>
      </c>
      <c r="EK15" s="1">
        <f t="shared" ca="1" si="74"/>
        <v>0</v>
      </c>
      <c r="EL15" s="20">
        <f t="shared" ca="1" si="75"/>
        <v>-1</v>
      </c>
      <c r="EN15" s="86">
        <f ca="1">MAX(0, SUMPRODUCT($ED15:$EL15,OFFSET(DNN!$E$9:$M$9,EN$9,0)) + OFFSET(DNN!$D$9,EN$9,0))</f>
        <v>0</v>
      </c>
      <c r="EO15" s="84">
        <f ca="1">MAX(0, SUMPRODUCT($ED15:$EL15,OFFSET(DNN!$E$9:$M$9,EO$9,0)) + OFFSET(DNN!$D$9,EO$9,0))</f>
        <v>7.2346022384755949E-3</v>
      </c>
      <c r="EP15" s="84">
        <f ca="1">MAX(0, SUMPRODUCT($ED15:$EL15,OFFSET(DNN!$E$9:$M$9,EP$9,0)) + OFFSET(DNN!$D$9,EP$9,0))</f>
        <v>3.6951849750035152E-3</v>
      </c>
      <c r="EQ15" s="84">
        <f ca="1">MAX(0, SUMPRODUCT($ED15:$EL15,OFFSET(DNN!$E$9:$M$9,EQ$9,0)) + OFFSET(DNN!$D$9,EQ$9,0))</f>
        <v>0</v>
      </c>
      <c r="ER15" s="85">
        <f ca="1">MAX(0, SUMPRODUCT($ED15:$EL15,OFFSET(DNN!$E$9:$M$9,ER$9,0)) + OFFSET(DNN!$D$9,ER$9,0))</f>
        <v>0</v>
      </c>
      <c r="ET15" s="86">
        <f ca="1">MAX(0, SUMPRODUCT($EN15:$ER15,OFFSET(DNN!$Q$9:$U$9,ET$9,0)) + OFFSET(DNN!$P$9,ET$9,0))</f>
        <v>4.3954959453478351E-4</v>
      </c>
      <c r="EU15" s="84">
        <f ca="1">MAX(0, SUMPRODUCT($EN15:$ER15,OFFSET(DNN!$Q$9:$U$9,EU$9,0)) + OFFSET(DNN!$P$9,EU$9,0))</f>
        <v>0</v>
      </c>
      <c r="EV15" s="84">
        <f ca="1">MAX(0, SUMPRODUCT($EN15:$ER15,OFFSET(DNN!$Q$9:$U$9,EV$9,0)) + OFFSET(DNN!$P$9,EV$9,0))</f>
        <v>1.2810123361902579E-3</v>
      </c>
      <c r="EW15" s="84">
        <f ca="1">MAX(0, SUMPRODUCT($EN15:$ER15,OFFSET(DNN!$Q$9:$U$9,EW$9,0)) + OFFSET(DNN!$P$9,EW$9,0))</f>
        <v>7.8382123007882457E-4</v>
      </c>
      <c r="EX15" s="85">
        <f ca="1">MAX(0, SUMPRODUCT($EN15:$ER15,OFFSET(DNN!$Q$9:$U$9,EX$9,0)) + OFFSET(DNN!$P$9,EX$9,0))</f>
        <v>0</v>
      </c>
      <c r="EZ15" s="111">
        <f ca="1">SUMPRODUCT($ET15:$EX15,OFFSET(DNN!$Y$9:$AC$9,EZ$9,0)) + OFFSET(DNN!$X$9,EZ$9,0)</f>
        <v>0.43031618918982212</v>
      </c>
      <c r="FA15" s="97">
        <f ca="1">SUMPRODUCT($ET15:$EX15,OFFSET(DNN!$Y$9:$AC$9,FA$9,0)) + OFFSET(DNN!$X$9,FA$9,0)</f>
        <v>-1.2643439935754107E-5</v>
      </c>
      <c r="FB15" s="97">
        <f ca="1">SUMPRODUCT($ET15:$EX15,OFFSET(DNN!$Y$9:$AC$9,FB$9,0)) + OFFSET(DNN!$X$9,FB$9,0)</f>
        <v>1.5239793458415756E-2</v>
      </c>
      <c r="FC15" s="97">
        <f ca="1">SUMPRODUCT($ET15:$EX15,OFFSET(DNN!$Y$9:$AC$9,FC$9,0)) + OFFSET(DNN!$X$9,FC$9,0)</f>
        <v>-8.8749521084055777E-4</v>
      </c>
      <c r="FD15" s="97">
        <f ca="1">SUMPRODUCT($ET15:$EX15,OFFSET(DNN!$Y$9:$AC$9,FD$9,0)) + OFFSET(DNN!$X$9,FD$9,0)</f>
        <v>-4.235816470721872E-4</v>
      </c>
      <c r="FE15" s="97">
        <f ca="1">SUMPRODUCT($ET15:$EX15,OFFSET(DNN!$Y$9:$AC$9,FE$9,0)) + OFFSET(DNN!$X$9,FE$9,0)</f>
        <v>-1.574182761064886E-5</v>
      </c>
      <c r="FF15" s="97">
        <f ca="1">SUMPRODUCT($ET15:$EX15,OFFSET(DNN!$Y$9:$AC$9,FF$9,0)) + OFFSET(DNN!$X$9,FF$9,0)</f>
        <v>-1.3491460223194656E-3</v>
      </c>
      <c r="FG15" s="97">
        <f ca="1">SUMPRODUCT($ET15:$EX15,OFFSET(DNN!$Y$9:$AC$9,FG$9,0)) + OFFSET(DNN!$X$9,FG$9,0)</f>
        <v>-6.2604808096248285E-2</v>
      </c>
      <c r="FH15" s="97">
        <f ca="1">SUMPRODUCT($ET15:$EX15,OFFSET(DNN!$Y$9:$AC$9,FH$9,0)) + OFFSET(DNN!$X$9,FH$9,0)</f>
        <v>8.6810016937029894E-4</v>
      </c>
      <c r="FI15" s="108">
        <f ca="1">SUMPRODUCT($ET15:$EX15,OFFSET(DNN!$Y$9:$AC$9,FI$9,0)) + OFFSET(DNN!$X$9,FI$9,0)</f>
        <v>-1.3182687612562751</v>
      </c>
      <c r="FJ15" s="98">
        <f ca="1">SUMPRODUCT($ET15:$EX15,OFFSET(DNN!$Y$9:$AC$9,FJ$9,0)) + OFFSET(DNN!$X$9,FJ$9,0)</f>
        <v>-2.2535161745939301E-5</v>
      </c>
      <c r="FL15" s="415">
        <f t="shared" ca="1" si="98"/>
        <v>0.43031618918982212</v>
      </c>
      <c r="FM15" s="130">
        <f t="shared" ca="1" si="99"/>
        <v>1</v>
      </c>
      <c r="FN15" s="131">
        <f t="shared" ca="1" si="100"/>
        <v>0.65029522127322903</v>
      </c>
      <c r="FO15" s="131">
        <f t="shared" ca="1" si="101"/>
        <v>0.66028983545318687</v>
      </c>
      <c r="FP15" s="131">
        <f t="shared" ca="1" si="102"/>
        <v>0.64972655813153501</v>
      </c>
      <c r="FQ15" s="131">
        <f t="shared" ca="1" si="103"/>
        <v>0.65002804502111444</v>
      </c>
      <c r="FR15" s="131">
        <f t="shared" ca="1" si="104"/>
        <v>0.65029320640965171</v>
      </c>
      <c r="FS15" s="131">
        <f t="shared" ca="1" si="105"/>
        <v>0.64942668056342145</v>
      </c>
      <c r="FT15" s="131">
        <f t="shared" ca="1" si="106"/>
        <v>0.61083952513994022</v>
      </c>
      <c r="FU15" s="132">
        <f t="shared" ca="1" si="107"/>
        <v>0.6508682169276182</v>
      </c>
      <c r="FV15" s="131">
        <f t="shared" ca="1" si="108"/>
        <v>0.17402001625314881</v>
      </c>
      <c r="FW15" s="83">
        <f t="shared" ca="1" si="109"/>
        <v>-2.2535161742124597E-5</v>
      </c>
    </row>
    <row r="16" spans="1:179">
      <c r="A16" s="19">
        <f t="shared" si="110"/>
        <v>6</v>
      </c>
      <c r="B16" s="1">
        <f t="shared" ca="1" si="111"/>
        <v>0</v>
      </c>
      <c r="C16" s="20">
        <f t="shared" ca="1" si="112"/>
        <v>6</v>
      </c>
      <c r="D16" s="19" t="str">
        <f t="shared" ca="1" si="113"/>
        <v>〇×〇×〇×--〇</v>
      </c>
      <c r="E16" s="7">
        <f t="shared" ca="1" si="77"/>
        <v>9</v>
      </c>
      <c r="F16" s="7">
        <f t="shared" ca="1" si="78"/>
        <v>1</v>
      </c>
      <c r="G16" s="1" t="str">
        <f t="shared" ca="1" si="116"/>
        <v>〇×〇×〇×--〇</v>
      </c>
      <c r="H16" s="20" t="b">
        <f t="shared" ca="1" si="80"/>
        <v>1</v>
      </c>
      <c r="I16" s="22">
        <f t="shared" ca="1" si="114"/>
        <v>-1</v>
      </c>
      <c r="J16" s="1" t="b">
        <f ca="1">(1&lt;COUNTIF(D$10:D16,D16))</f>
        <v>1</v>
      </c>
      <c r="K16" s="1" t="b">
        <f t="shared" ca="1" si="81"/>
        <v>1</v>
      </c>
      <c r="L16" s="7">
        <f ca="1">MATCH(TRUE,K16:K$1048576,FALSE)-1</f>
        <v>0</v>
      </c>
      <c r="M16" s="24" t="str">
        <f t="shared" ca="1" si="13"/>
        <v>〇×〇×〇×--〇_9</v>
      </c>
      <c r="N16" s="25">
        <f t="shared" ca="1" si="82"/>
        <v>-2.2535161742124597E-5</v>
      </c>
      <c r="O16" s="26">
        <f t="shared" ca="1" si="83"/>
        <v>-1</v>
      </c>
      <c r="P16" s="27">
        <f t="shared" ca="1" si="84"/>
        <v>-1</v>
      </c>
      <c r="R16" s="41" t="str">
        <f ca="1">VLOOKUP(S16,cvt!$B$2:$C$4,2,FALSE)&amp;VLOOKUP(T16,cvt!$B$2:$C$4,2,FALSE)&amp;VLOOKUP(U16,cvt!$B$2:$C$4,2,FALSE)
&amp;VLOOKUP(V16,cvt!$B$2:$C$4,2,FALSE)&amp;VLOOKUP(W16,cvt!$B$2:$C$4,2,FALSE)&amp;VLOOKUP(X16,cvt!$B$2:$C$4,2,FALSE)
&amp;VLOOKUP(Y16,cvt!$B$2:$C$4,2,FALSE)&amp;VLOOKUP(Z16,cvt!$B$2:$C$4,2,FALSE)&amp;VLOOKUP(AA16,cvt!$B$2:$C$4,2,FALSE)</f>
        <v>〇×〇×〇×--〇</v>
      </c>
      <c r="S16" s="7">
        <f ca="1">VLOOKUP(MID($D16,S$9+1,1), cvt!$A$2:$B$4,2, FALSE)</f>
        <v>1</v>
      </c>
      <c r="T16" s="7">
        <f ca="1">VLOOKUP(MID($D16,T$9+1,1), cvt!$A$2:$B$4,2, FALSE)</f>
        <v>-1</v>
      </c>
      <c r="U16" s="7">
        <f ca="1">VLOOKUP(MID($D16,U$9+1,1), cvt!$A$2:$B$4,2, FALSE)</f>
        <v>1</v>
      </c>
      <c r="V16" s="17">
        <f ca="1">VLOOKUP(MID($D16,V$9+1,1), cvt!$A$2:$B$4,2, FALSE)</f>
        <v>-1</v>
      </c>
      <c r="W16" s="7">
        <f ca="1">VLOOKUP(MID($D16,W$9+1,1), cvt!$A$2:$B$4,2, FALSE)</f>
        <v>1</v>
      </c>
      <c r="X16" s="18">
        <f ca="1">VLOOKUP(MID($D16,X$9+1,1), cvt!$A$2:$B$4,2, FALSE)</f>
        <v>-1</v>
      </c>
      <c r="Y16" s="7">
        <f ca="1">VLOOKUP(MID($D16,Y$9+1,1), cvt!$A$2:$B$4,2, FALSE)</f>
        <v>0</v>
      </c>
      <c r="Z16" s="7">
        <f ca="1">VLOOKUP(MID($D16,Z$9+1,1), cvt!$A$2:$B$4,2, FALSE)</f>
        <v>0</v>
      </c>
      <c r="AA16" s="42">
        <f ca="1">VLOOKUP(MID($D16,AA$9+1,1), cvt!$A$2:$B$4,2, FALSE)</f>
        <v>1</v>
      </c>
      <c r="AB16" s="7">
        <f t="shared" ca="1" si="85"/>
        <v>1</v>
      </c>
      <c r="AC16" s="50" t="b">
        <f t="shared" ca="1" si="86"/>
        <v>1</v>
      </c>
      <c r="AE16" s="19" t="str">
        <f ca="1">VLOOKUP(AF16,cvt!$B$2:$C$4,2,FALSE)&amp;VLOOKUP(AG16,cvt!$B$2:$C$4,2,FALSE)&amp;VLOOKUP(AH16,cvt!$B$2:$C$4,2,FALSE)
&amp;VLOOKUP(AI16,cvt!$B$2:$C$4,2,FALSE)&amp;VLOOKUP(AJ16,cvt!$B$2:$C$4,2,FALSE)&amp;VLOOKUP(AK16,cvt!$B$2:$C$4,2,FALSE)
&amp;VLOOKUP(AL16,cvt!$B$2:$C$4,2,FALSE)&amp;VLOOKUP(AM16,cvt!$B$2:$C$4,2,FALSE)&amp;VLOOKUP(AN16,cvt!$B$2:$C$4,2,FALSE)</f>
        <v>〇×〇×〇×--〇</v>
      </c>
      <c r="AF16" s="17">
        <f t="shared" ca="1" si="14"/>
        <v>1</v>
      </c>
      <c r="AG16" s="7">
        <f t="shared" ca="1" si="15"/>
        <v>-1</v>
      </c>
      <c r="AH16" s="7">
        <f t="shared" ca="1" si="16"/>
        <v>1</v>
      </c>
      <c r="AI16" s="17">
        <f t="shared" ca="1" si="17"/>
        <v>-1</v>
      </c>
      <c r="AJ16" s="7">
        <f t="shared" ca="1" si="18"/>
        <v>1</v>
      </c>
      <c r="AK16" s="18">
        <f t="shared" ca="1" si="19"/>
        <v>-1</v>
      </c>
      <c r="AL16" s="7">
        <f t="shared" ca="1" si="20"/>
        <v>0</v>
      </c>
      <c r="AM16" s="7">
        <f t="shared" ca="1" si="21"/>
        <v>0</v>
      </c>
      <c r="AN16" s="18">
        <f t="shared" ca="1" si="22"/>
        <v>1</v>
      </c>
      <c r="AO16" s="7">
        <f t="shared" ca="1" si="115"/>
        <v>1</v>
      </c>
      <c r="AP16" s="50" t="b">
        <f t="shared" ca="1" si="87"/>
        <v>1</v>
      </c>
      <c r="AS16" s="22">
        <f t="shared" ca="1" si="88"/>
        <v>0</v>
      </c>
      <c r="AT16" s="7">
        <f t="shared" ca="1" si="23"/>
        <v>0</v>
      </c>
      <c r="AU16" s="7">
        <f t="shared" ca="1" si="24"/>
        <v>0</v>
      </c>
      <c r="AV16" s="7">
        <f t="shared" ca="1" si="25"/>
        <v>0</v>
      </c>
      <c r="AW16" s="7">
        <f t="shared" ca="1" si="26"/>
        <v>0</v>
      </c>
      <c r="AX16" s="7">
        <f t="shared" ca="1" si="27"/>
        <v>0</v>
      </c>
      <c r="AY16" s="7">
        <f t="shared" ca="1" si="28"/>
        <v>0</v>
      </c>
      <c r="AZ16" s="7">
        <f t="shared" ca="1" si="29"/>
        <v>0</v>
      </c>
      <c r="BA16" s="18">
        <f t="shared" ca="1" si="30"/>
        <v>0</v>
      </c>
      <c r="BB16" s="295">
        <f t="shared" ca="1" si="89"/>
        <v>1</v>
      </c>
      <c r="BD16" s="132"/>
      <c r="BE16" s="297">
        <f t="shared" ca="1" si="90"/>
        <v>1</v>
      </c>
      <c r="BF16" s="298">
        <f t="shared" ca="1" si="31"/>
        <v>0.65029522127322903</v>
      </c>
      <c r="BG16" s="298">
        <f t="shared" ca="1" si="32"/>
        <v>0.66028983545318687</v>
      </c>
      <c r="BH16" s="318">
        <f t="shared" ca="1" si="33"/>
        <v>0.64972655813153501</v>
      </c>
      <c r="BI16" s="298">
        <f t="shared" ca="1" si="34"/>
        <v>0.65002804502111444</v>
      </c>
      <c r="BJ16" s="299">
        <f t="shared" ca="1" si="35"/>
        <v>0.65029320640965171</v>
      </c>
      <c r="BK16" s="298">
        <f t="shared" ca="1" si="36"/>
        <v>0.64942668056342145</v>
      </c>
      <c r="BL16" s="298">
        <f t="shared" ca="1" si="37"/>
        <v>0.61083952513994022</v>
      </c>
      <c r="BM16" s="299">
        <f t="shared" ca="1" si="38"/>
        <v>0.6508682169276182</v>
      </c>
      <c r="BN16" s="295">
        <f t="shared" ca="1" si="39"/>
        <v>0.17402001625314881</v>
      </c>
      <c r="BO16" s="248">
        <f t="shared" ca="1" si="91"/>
        <v>-2.2535161742124597E-5</v>
      </c>
      <c r="BQ16" s="304">
        <f t="shared" ca="1" si="92"/>
        <v>0.1741200162531488</v>
      </c>
      <c r="BR16" s="297">
        <f t="shared" ca="1" si="93"/>
        <v>0</v>
      </c>
      <c r="BS16" s="298">
        <f t="shared" ca="1" si="40"/>
        <v>0</v>
      </c>
      <c r="BT16" s="298">
        <f t="shared" ca="1" si="41"/>
        <v>0</v>
      </c>
      <c r="BU16" s="318">
        <f t="shared" ca="1" si="42"/>
        <v>0</v>
      </c>
      <c r="BV16" s="298">
        <f t="shared" ca="1" si="43"/>
        <v>0</v>
      </c>
      <c r="BW16" s="299">
        <f t="shared" ca="1" si="44"/>
        <v>0</v>
      </c>
      <c r="BX16" s="298">
        <f t="shared" ca="1" si="45"/>
        <v>0</v>
      </c>
      <c r="BY16" s="298">
        <f t="shared" ca="1" si="46"/>
        <v>0</v>
      </c>
      <c r="BZ16" s="298">
        <f t="shared" ca="1" si="47"/>
        <v>0</v>
      </c>
      <c r="CA16" s="315">
        <f t="shared" ca="1" si="48"/>
        <v>0.1741200162531488</v>
      </c>
      <c r="CC16" s="52"/>
      <c r="CD16" s="306">
        <f t="shared" ca="1" si="94"/>
        <v>0</v>
      </c>
      <c r="CE16" s="15">
        <f t="shared" ca="1" si="49"/>
        <v>0</v>
      </c>
      <c r="CF16" s="15">
        <f t="shared" ca="1" si="50"/>
        <v>0</v>
      </c>
      <c r="CG16" s="286">
        <f t="shared" ca="1" si="51"/>
        <v>0</v>
      </c>
      <c r="CH16" s="15">
        <f t="shared" ca="1" si="52"/>
        <v>0</v>
      </c>
      <c r="CI16" s="288">
        <f t="shared" ca="1" si="53"/>
        <v>0</v>
      </c>
      <c r="CJ16" s="15">
        <f t="shared" ca="1" si="54"/>
        <v>0</v>
      </c>
      <c r="CK16" s="15">
        <f t="shared" ca="1" si="55"/>
        <v>0</v>
      </c>
      <c r="CL16" s="15">
        <f t="shared" ca="1" si="56"/>
        <v>0</v>
      </c>
      <c r="CM16" s="313">
        <f t="shared" ca="1" si="57"/>
        <v>1</v>
      </c>
      <c r="CO16" s="320">
        <f t="shared" ca="1" si="95"/>
        <v>5</v>
      </c>
      <c r="CP16" s="22">
        <f ca="1">COUNTIFS($C$10:$C15,"&lt;"&amp;$C16,$M$10:$M15,$D16&amp;"_"&amp;CP$9)</f>
        <v>0</v>
      </c>
      <c r="CQ16" s="7">
        <f ca="1">COUNTIFS($C$10:$C15,"&lt;"&amp;$C16,$M$10:$M15,$D16&amp;"_"&amp;CQ$9)</f>
        <v>0</v>
      </c>
      <c r="CR16" s="7">
        <f ca="1">COUNTIFS($C$10:$C15,"&lt;"&amp;$C16,$M$10:$M15,$D16&amp;"_"&amp;CR$9)</f>
        <v>0</v>
      </c>
      <c r="CS16" s="17">
        <f ca="1">COUNTIFS($C$10:$C15,"&lt;"&amp;$C16,$M$10:$M15,$D16&amp;"_"&amp;CS$9)</f>
        <v>0</v>
      </c>
      <c r="CT16" s="7">
        <f ca="1">COUNTIFS($C$10:$C15,"&lt;"&amp;$C16,$M$10:$M15,$D16&amp;"_"&amp;CT$9)</f>
        <v>0</v>
      </c>
      <c r="CU16" s="18">
        <f ca="1">COUNTIFS($C$10:$C15,"&lt;"&amp;$C16,$M$10:$M15,$D16&amp;"_"&amp;CU$9)</f>
        <v>0</v>
      </c>
      <c r="CV16" s="7">
        <f ca="1">COUNTIFS($C$10:$C15,"&lt;"&amp;$C16,$M$10:$M15,$D16&amp;"_"&amp;CV$9)</f>
        <v>0</v>
      </c>
      <c r="CW16" s="7">
        <f ca="1">COUNTIFS($C$10:$C15,"&lt;"&amp;$C16,$M$10:$M15,$D16&amp;"_"&amp;CW$9)</f>
        <v>0</v>
      </c>
      <c r="CX16" s="7">
        <f ca="1">COUNTIFS($C$10:$C15,"&lt;"&amp;$C16,$M$10:$M15,$D16&amp;"_"&amp;CX$9)</f>
        <v>0</v>
      </c>
      <c r="CY16" s="221">
        <f ca="1">COUNTIFS($C$10:$C15,"&lt;"&amp;$C16,$M$10:$M15,$D16&amp;"_"&amp;CY$9)</f>
        <v>5</v>
      </c>
      <c r="DA16" s="20"/>
      <c r="DB16" s="308">
        <f ca="1">IF(CP16=0,0,SUMIFS($P$10:$P15, $C$10:$C15,"&lt;"&amp;$C16, $M$10:$M15,$D16&amp;"_"&amp;DB$9)/CP16)</f>
        <v>0</v>
      </c>
      <c r="DC16" s="263">
        <f ca="1">IF(CQ16=0,0,SUMIFS($P$10:$P15, $C$10:$C15,"&lt;"&amp;$C16, $M$10:$M15,$D16&amp;"_"&amp;DC$9)/CQ16)</f>
        <v>0</v>
      </c>
      <c r="DD16" s="263">
        <f ca="1">IF(CR16=0,0,SUMIFS($P$10:$P15, $C$10:$C15,"&lt;"&amp;$C16, $M$10:$M15,$D16&amp;"_"&amp;DD$9)/CR16)</f>
        <v>0</v>
      </c>
      <c r="DE16" s="262">
        <f ca="1">IF(CS16=0,0,SUMIFS($P$10:$P15, $C$10:$C15,"&lt;"&amp;$C16, $M$10:$M15,$D16&amp;"_"&amp;DE$9)/CS16)</f>
        <v>0</v>
      </c>
      <c r="DF16" s="263">
        <f ca="1">IF(CT16=0,0,SUMIFS($P$10:$P15, $C$10:$C15,"&lt;"&amp;$C16, $M$10:$M15,$D16&amp;"_"&amp;DF$9)/CT16)</f>
        <v>0</v>
      </c>
      <c r="DG16" s="310">
        <f ca="1">IF(CU16=0,0,SUMIFS($P$10:$P15, $C$10:$C15,"&lt;"&amp;$C16, $M$10:$M15,$D16&amp;"_"&amp;DG$9)/CU16)</f>
        <v>0</v>
      </c>
      <c r="DH16" s="263">
        <f ca="1">IF(CV16=0,0,SUMIFS($P$10:$P15, $C$10:$C15,"&lt;"&amp;$C16, $M$10:$M15,$D16&amp;"_"&amp;DH$9)/CV16)</f>
        <v>0</v>
      </c>
      <c r="DI16" s="263">
        <f ca="1">IF(CW16=0,0,SUMIFS($P$10:$P15, $C$10:$C15,"&lt;"&amp;$C16, $M$10:$M15,$D16&amp;"_"&amp;DI$9)/CW16)</f>
        <v>0</v>
      </c>
      <c r="DJ16" s="264">
        <f ca="1">IF(CX16=0,0,SUMIFS($P$10:$P15, $C$10:$C15,"&lt;"&amp;$C16, $M$10:$M15,$D16&amp;"_"&amp;DJ$9)/CX16)</f>
        <v>0</v>
      </c>
      <c r="DK16" s="264">
        <f ca="1">IF(CY16=0,0,SUMIFS($P$10:$P15, $C$10:$C15,"&lt;"&amp;$C16, $M$10:$M15,$D16&amp;"_"&amp;DK$9)/CY16)</f>
        <v>-1</v>
      </c>
      <c r="DM16" s="104"/>
      <c r="DN16" s="306">
        <f t="shared" ca="1" si="96"/>
        <v>-9999</v>
      </c>
      <c r="DO16" s="15">
        <f t="shared" ca="1" si="58"/>
        <v>-9999</v>
      </c>
      <c r="DP16" s="15">
        <f t="shared" ca="1" si="59"/>
        <v>-9999</v>
      </c>
      <c r="DQ16" s="15">
        <f t="shared" ca="1" si="60"/>
        <v>-9999</v>
      </c>
      <c r="DR16" s="15">
        <f t="shared" ca="1" si="61"/>
        <v>-9999</v>
      </c>
      <c r="DS16" s="15">
        <f t="shared" ca="1" si="62"/>
        <v>-9999</v>
      </c>
      <c r="DT16" s="15">
        <f t="shared" ca="1" si="63"/>
        <v>-9999</v>
      </c>
      <c r="DU16" s="15">
        <f t="shared" ca="1" si="64"/>
        <v>-9999</v>
      </c>
      <c r="DV16" s="52">
        <f t="shared" ca="1" si="65"/>
        <v>-9999</v>
      </c>
      <c r="DW16" s="313">
        <f t="shared" ca="1" si="66"/>
        <v>-0.62732200375003511</v>
      </c>
      <c r="DX16" s="52"/>
      <c r="DY16" s="402">
        <f t="shared" ca="1" si="97"/>
        <v>9</v>
      </c>
      <c r="ED16" s="19">
        <f t="shared" ca="1" si="67"/>
        <v>-1</v>
      </c>
      <c r="EE16" s="1">
        <f t="shared" ca="1" si="68"/>
        <v>1</v>
      </c>
      <c r="EF16" s="1">
        <f t="shared" ca="1" si="69"/>
        <v>-1</v>
      </c>
      <c r="EG16" s="2">
        <f t="shared" ca="1" si="70"/>
        <v>1</v>
      </c>
      <c r="EH16" s="1">
        <f t="shared" ca="1" si="71"/>
        <v>-1</v>
      </c>
      <c r="EI16" s="3">
        <f t="shared" ca="1" si="72"/>
        <v>1</v>
      </c>
      <c r="EJ16" s="1">
        <f t="shared" ca="1" si="73"/>
        <v>0</v>
      </c>
      <c r="EK16" s="1">
        <f t="shared" ca="1" si="74"/>
        <v>0</v>
      </c>
      <c r="EL16" s="20">
        <f t="shared" ca="1" si="75"/>
        <v>-1</v>
      </c>
      <c r="EN16" s="86">
        <f ca="1">MAX(0, SUMPRODUCT($ED16:$EL16,OFFSET(DNN!$E$9:$M$9,EN$9,0)) + OFFSET(DNN!$D$9,EN$9,0))</f>
        <v>0</v>
      </c>
      <c r="EO16" s="84">
        <f ca="1">MAX(0, SUMPRODUCT($ED16:$EL16,OFFSET(DNN!$E$9:$M$9,EO$9,0)) + OFFSET(DNN!$D$9,EO$9,0))</f>
        <v>7.2346022384755949E-3</v>
      </c>
      <c r="EP16" s="84">
        <f ca="1">MAX(0, SUMPRODUCT($ED16:$EL16,OFFSET(DNN!$E$9:$M$9,EP$9,0)) + OFFSET(DNN!$D$9,EP$9,0))</f>
        <v>3.6951849750035152E-3</v>
      </c>
      <c r="EQ16" s="84">
        <f ca="1">MAX(0, SUMPRODUCT($ED16:$EL16,OFFSET(DNN!$E$9:$M$9,EQ$9,0)) + OFFSET(DNN!$D$9,EQ$9,0))</f>
        <v>0</v>
      </c>
      <c r="ER16" s="85">
        <f ca="1">MAX(0, SUMPRODUCT($ED16:$EL16,OFFSET(DNN!$E$9:$M$9,ER$9,0)) + OFFSET(DNN!$D$9,ER$9,0))</f>
        <v>0</v>
      </c>
      <c r="ET16" s="86">
        <f ca="1">MAX(0, SUMPRODUCT($EN16:$ER16,OFFSET(DNN!$Q$9:$U$9,ET$9,0)) + OFFSET(DNN!$P$9,ET$9,0))</f>
        <v>4.3954959453478351E-4</v>
      </c>
      <c r="EU16" s="84">
        <f ca="1">MAX(0, SUMPRODUCT($EN16:$ER16,OFFSET(DNN!$Q$9:$U$9,EU$9,0)) + OFFSET(DNN!$P$9,EU$9,0))</f>
        <v>0</v>
      </c>
      <c r="EV16" s="84">
        <f ca="1">MAX(0, SUMPRODUCT($EN16:$ER16,OFFSET(DNN!$Q$9:$U$9,EV$9,0)) + OFFSET(DNN!$P$9,EV$9,0))</f>
        <v>1.2810123361902579E-3</v>
      </c>
      <c r="EW16" s="84">
        <f ca="1">MAX(0, SUMPRODUCT($EN16:$ER16,OFFSET(DNN!$Q$9:$U$9,EW$9,0)) + OFFSET(DNN!$P$9,EW$9,0))</f>
        <v>7.8382123007882457E-4</v>
      </c>
      <c r="EX16" s="85">
        <f ca="1">MAX(0, SUMPRODUCT($EN16:$ER16,OFFSET(DNN!$Q$9:$U$9,EX$9,0)) + OFFSET(DNN!$P$9,EX$9,0))</f>
        <v>0</v>
      </c>
      <c r="EZ16" s="111">
        <f ca="1">SUMPRODUCT($ET16:$EX16,OFFSET(DNN!$Y$9:$AC$9,EZ$9,0)) + OFFSET(DNN!$X$9,EZ$9,0)</f>
        <v>0.43031618918982212</v>
      </c>
      <c r="FA16" s="97">
        <f ca="1">SUMPRODUCT($ET16:$EX16,OFFSET(DNN!$Y$9:$AC$9,FA$9,0)) + OFFSET(DNN!$X$9,FA$9,0)</f>
        <v>-1.2643439935754107E-5</v>
      </c>
      <c r="FB16" s="97">
        <f ca="1">SUMPRODUCT($ET16:$EX16,OFFSET(DNN!$Y$9:$AC$9,FB$9,0)) + OFFSET(DNN!$X$9,FB$9,0)</f>
        <v>1.5239793458415756E-2</v>
      </c>
      <c r="FC16" s="97">
        <f ca="1">SUMPRODUCT($ET16:$EX16,OFFSET(DNN!$Y$9:$AC$9,FC$9,0)) + OFFSET(DNN!$X$9,FC$9,0)</f>
        <v>-8.8749521084055777E-4</v>
      </c>
      <c r="FD16" s="97">
        <f ca="1">SUMPRODUCT($ET16:$EX16,OFFSET(DNN!$Y$9:$AC$9,FD$9,0)) + OFFSET(DNN!$X$9,FD$9,0)</f>
        <v>-4.235816470721872E-4</v>
      </c>
      <c r="FE16" s="97">
        <f ca="1">SUMPRODUCT($ET16:$EX16,OFFSET(DNN!$Y$9:$AC$9,FE$9,0)) + OFFSET(DNN!$X$9,FE$9,0)</f>
        <v>-1.574182761064886E-5</v>
      </c>
      <c r="FF16" s="97">
        <f ca="1">SUMPRODUCT($ET16:$EX16,OFFSET(DNN!$Y$9:$AC$9,FF$9,0)) + OFFSET(DNN!$X$9,FF$9,0)</f>
        <v>-1.3491460223194656E-3</v>
      </c>
      <c r="FG16" s="97">
        <f ca="1">SUMPRODUCT($ET16:$EX16,OFFSET(DNN!$Y$9:$AC$9,FG$9,0)) + OFFSET(DNN!$X$9,FG$9,0)</f>
        <v>-6.2604808096248285E-2</v>
      </c>
      <c r="FH16" s="97">
        <f ca="1">SUMPRODUCT($ET16:$EX16,OFFSET(DNN!$Y$9:$AC$9,FH$9,0)) + OFFSET(DNN!$X$9,FH$9,0)</f>
        <v>8.6810016937029894E-4</v>
      </c>
      <c r="FI16" s="108">
        <f ca="1">SUMPRODUCT($ET16:$EX16,OFFSET(DNN!$Y$9:$AC$9,FI$9,0)) + OFFSET(DNN!$X$9,FI$9,0)</f>
        <v>-1.3182687612562751</v>
      </c>
      <c r="FJ16" s="98">
        <f ca="1">SUMPRODUCT($ET16:$EX16,OFFSET(DNN!$Y$9:$AC$9,FJ$9,0)) + OFFSET(DNN!$X$9,FJ$9,0)</f>
        <v>-2.2535161745939301E-5</v>
      </c>
      <c r="FL16" s="415">
        <f t="shared" ca="1" si="98"/>
        <v>0.43031618918982212</v>
      </c>
      <c r="FM16" s="130">
        <f t="shared" ca="1" si="99"/>
        <v>1</v>
      </c>
      <c r="FN16" s="131">
        <f t="shared" ca="1" si="100"/>
        <v>0.65029522127322903</v>
      </c>
      <c r="FO16" s="131">
        <f t="shared" ca="1" si="101"/>
        <v>0.66028983545318687</v>
      </c>
      <c r="FP16" s="131">
        <f t="shared" ca="1" si="102"/>
        <v>0.64972655813153501</v>
      </c>
      <c r="FQ16" s="131">
        <f t="shared" ca="1" si="103"/>
        <v>0.65002804502111444</v>
      </c>
      <c r="FR16" s="131">
        <f t="shared" ca="1" si="104"/>
        <v>0.65029320640965171</v>
      </c>
      <c r="FS16" s="131">
        <f t="shared" ca="1" si="105"/>
        <v>0.64942668056342145</v>
      </c>
      <c r="FT16" s="131">
        <f t="shared" ca="1" si="106"/>
        <v>0.61083952513994022</v>
      </c>
      <c r="FU16" s="132">
        <f t="shared" ca="1" si="107"/>
        <v>0.6508682169276182</v>
      </c>
      <c r="FV16" s="131">
        <f t="shared" ca="1" si="108"/>
        <v>0.17402001625314881</v>
      </c>
      <c r="FW16" s="83">
        <f t="shared" ca="1" si="109"/>
        <v>-2.2535161742124597E-5</v>
      </c>
    </row>
    <row r="17" spans="1:179">
      <c r="A17" s="19">
        <f t="shared" si="110"/>
        <v>7</v>
      </c>
      <c r="B17" s="1">
        <f t="shared" ca="1" si="111"/>
        <v>0</v>
      </c>
      <c r="C17" s="20">
        <f t="shared" ca="1" si="112"/>
        <v>7</v>
      </c>
      <c r="D17" s="19" t="str">
        <f t="shared" ca="1" si="113"/>
        <v>〇×〇×〇×--〇</v>
      </c>
      <c r="E17" s="7">
        <f t="shared" ca="1" si="77"/>
        <v>9</v>
      </c>
      <c r="F17" s="7">
        <f t="shared" ca="1" si="78"/>
        <v>1</v>
      </c>
      <c r="G17" s="1" t="str">
        <f t="shared" ca="1" si="116"/>
        <v>〇×〇×〇×--〇</v>
      </c>
      <c r="H17" s="20" t="b">
        <f t="shared" ca="1" si="80"/>
        <v>1</v>
      </c>
      <c r="I17" s="22">
        <f t="shared" ca="1" si="114"/>
        <v>-1</v>
      </c>
      <c r="J17" s="1" t="b">
        <f ca="1">(1&lt;COUNTIF(D$10:D17,D17))</f>
        <v>1</v>
      </c>
      <c r="K17" s="1" t="b">
        <f t="shared" ca="1" si="81"/>
        <v>1</v>
      </c>
      <c r="L17" s="7">
        <f ca="1">MATCH(TRUE,K17:K$1048576,FALSE)-1</f>
        <v>0</v>
      </c>
      <c r="M17" s="24" t="str">
        <f t="shared" ca="1" si="13"/>
        <v>〇×〇×〇×--〇_9</v>
      </c>
      <c r="N17" s="25">
        <f t="shared" ca="1" si="82"/>
        <v>-2.2535161742124597E-5</v>
      </c>
      <c r="O17" s="26">
        <f t="shared" ca="1" si="83"/>
        <v>-1</v>
      </c>
      <c r="P17" s="27">
        <f t="shared" ca="1" si="84"/>
        <v>-1</v>
      </c>
      <c r="R17" s="41" t="str">
        <f ca="1">VLOOKUP(S17,cvt!$B$2:$C$4,2,FALSE)&amp;VLOOKUP(T17,cvt!$B$2:$C$4,2,FALSE)&amp;VLOOKUP(U17,cvt!$B$2:$C$4,2,FALSE)
&amp;VLOOKUP(V17,cvt!$B$2:$C$4,2,FALSE)&amp;VLOOKUP(W17,cvt!$B$2:$C$4,2,FALSE)&amp;VLOOKUP(X17,cvt!$B$2:$C$4,2,FALSE)
&amp;VLOOKUP(Y17,cvt!$B$2:$C$4,2,FALSE)&amp;VLOOKUP(Z17,cvt!$B$2:$C$4,2,FALSE)&amp;VLOOKUP(AA17,cvt!$B$2:$C$4,2,FALSE)</f>
        <v>〇×〇×〇×--〇</v>
      </c>
      <c r="S17" s="7">
        <f ca="1">VLOOKUP(MID($D17,S$9+1,1), cvt!$A$2:$B$4,2, FALSE)</f>
        <v>1</v>
      </c>
      <c r="T17" s="7">
        <f ca="1">VLOOKUP(MID($D17,T$9+1,1), cvt!$A$2:$B$4,2, FALSE)</f>
        <v>-1</v>
      </c>
      <c r="U17" s="7">
        <f ca="1">VLOOKUP(MID($D17,U$9+1,1), cvt!$A$2:$B$4,2, FALSE)</f>
        <v>1</v>
      </c>
      <c r="V17" s="17">
        <f ca="1">VLOOKUP(MID($D17,V$9+1,1), cvt!$A$2:$B$4,2, FALSE)</f>
        <v>-1</v>
      </c>
      <c r="W17" s="7">
        <f ca="1">VLOOKUP(MID($D17,W$9+1,1), cvt!$A$2:$B$4,2, FALSE)</f>
        <v>1</v>
      </c>
      <c r="X17" s="18">
        <f ca="1">VLOOKUP(MID($D17,X$9+1,1), cvt!$A$2:$B$4,2, FALSE)</f>
        <v>-1</v>
      </c>
      <c r="Y17" s="7">
        <f ca="1">VLOOKUP(MID($D17,Y$9+1,1), cvt!$A$2:$B$4,2, FALSE)</f>
        <v>0</v>
      </c>
      <c r="Z17" s="7">
        <f ca="1">VLOOKUP(MID($D17,Z$9+1,1), cvt!$A$2:$B$4,2, FALSE)</f>
        <v>0</v>
      </c>
      <c r="AA17" s="42">
        <f ca="1">VLOOKUP(MID($D17,AA$9+1,1), cvt!$A$2:$B$4,2, FALSE)</f>
        <v>1</v>
      </c>
      <c r="AB17" s="7">
        <f t="shared" ca="1" si="85"/>
        <v>1</v>
      </c>
      <c r="AC17" s="50" t="b">
        <f t="shared" ca="1" si="86"/>
        <v>1</v>
      </c>
      <c r="AE17" s="19" t="str">
        <f ca="1">VLOOKUP(AF17,cvt!$B$2:$C$4,2,FALSE)&amp;VLOOKUP(AG17,cvt!$B$2:$C$4,2,FALSE)&amp;VLOOKUP(AH17,cvt!$B$2:$C$4,2,FALSE)
&amp;VLOOKUP(AI17,cvt!$B$2:$C$4,2,FALSE)&amp;VLOOKUP(AJ17,cvt!$B$2:$C$4,2,FALSE)&amp;VLOOKUP(AK17,cvt!$B$2:$C$4,2,FALSE)
&amp;VLOOKUP(AL17,cvt!$B$2:$C$4,2,FALSE)&amp;VLOOKUP(AM17,cvt!$B$2:$C$4,2,FALSE)&amp;VLOOKUP(AN17,cvt!$B$2:$C$4,2,FALSE)</f>
        <v>〇×〇×〇×--〇</v>
      </c>
      <c r="AF17" s="17">
        <f t="shared" ca="1" si="14"/>
        <v>1</v>
      </c>
      <c r="AG17" s="7">
        <f t="shared" ca="1" si="15"/>
        <v>-1</v>
      </c>
      <c r="AH17" s="7">
        <f t="shared" ca="1" si="16"/>
        <v>1</v>
      </c>
      <c r="AI17" s="17">
        <f t="shared" ca="1" si="17"/>
        <v>-1</v>
      </c>
      <c r="AJ17" s="7">
        <f t="shared" ca="1" si="18"/>
        <v>1</v>
      </c>
      <c r="AK17" s="18">
        <f t="shared" ca="1" si="19"/>
        <v>-1</v>
      </c>
      <c r="AL17" s="7">
        <f t="shared" ca="1" si="20"/>
        <v>0</v>
      </c>
      <c r="AM17" s="7">
        <f t="shared" ca="1" si="21"/>
        <v>0</v>
      </c>
      <c r="AN17" s="18">
        <f t="shared" ca="1" si="22"/>
        <v>1</v>
      </c>
      <c r="AO17" s="7">
        <f t="shared" ca="1" si="115"/>
        <v>1</v>
      </c>
      <c r="AP17" s="50" t="b">
        <f t="shared" ca="1" si="87"/>
        <v>1</v>
      </c>
      <c r="AS17" s="22">
        <f t="shared" ca="1" si="88"/>
        <v>0</v>
      </c>
      <c r="AT17" s="7">
        <f t="shared" ca="1" si="23"/>
        <v>0</v>
      </c>
      <c r="AU17" s="7">
        <f t="shared" ca="1" si="24"/>
        <v>0</v>
      </c>
      <c r="AV17" s="7">
        <f t="shared" ca="1" si="25"/>
        <v>0</v>
      </c>
      <c r="AW17" s="7">
        <f t="shared" ca="1" si="26"/>
        <v>0</v>
      </c>
      <c r="AX17" s="7">
        <f t="shared" ca="1" si="27"/>
        <v>0</v>
      </c>
      <c r="AY17" s="7">
        <f t="shared" ca="1" si="28"/>
        <v>0</v>
      </c>
      <c r="AZ17" s="7">
        <f t="shared" ca="1" si="29"/>
        <v>0</v>
      </c>
      <c r="BA17" s="18">
        <f t="shared" ca="1" si="30"/>
        <v>0</v>
      </c>
      <c r="BB17" s="295">
        <f t="shared" ca="1" si="89"/>
        <v>1</v>
      </c>
      <c r="BD17" s="132"/>
      <c r="BE17" s="297">
        <f t="shared" ca="1" si="90"/>
        <v>1</v>
      </c>
      <c r="BF17" s="298">
        <f t="shared" ca="1" si="31"/>
        <v>0.65029522127322903</v>
      </c>
      <c r="BG17" s="298">
        <f t="shared" ca="1" si="32"/>
        <v>0.66028983545318687</v>
      </c>
      <c r="BH17" s="318">
        <f t="shared" ca="1" si="33"/>
        <v>0.64972655813153501</v>
      </c>
      <c r="BI17" s="298">
        <f t="shared" ca="1" si="34"/>
        <v>0.65002804502111444</v>
      </c>
      <c r="BJ17" s="299">
        <f t="shared" ca="1" si="35"/>
        <v>0.65029320640965171</v>
      </c>
      <c r="BK17" s="298">
        <f t="shared" ca="1" si="36"/>
        <v>0.64942668056342145</v>
      </c>
      <c r="BL17" s="298">
        <f t="shared" ca="1" si="37"/>
        <v>0.61083952513994022</v>
      </c>
      <c r="BM17" s="299">
        <f t="shared" ca="1" si="38"/>
        <v>0.6508682169276182</v>
      </c>
      <c r="BN17" s="295">
        <f t="shared" ca="1" si="39"/>
        <v>0.17402001625314881</v>
      </c>
      <c r="BO17" s="248">
        <f t="shared" ca="1" si="91"/>
        <v>-2.2535161742124597E-5</v>
      </c>
      <c r="BQ17" s="304">
        <f t="shared" ca="1" si="92"/>
        <v>0.1741200162531488</v>
      </c>
      <c r="BR17" s="297">
        <f t="shared" ca="1" si="93"/>
        <v>0</v>
      </c>
      <c r="BS17" s="298">
        <f t="shared" ca="1" si="40"/>
        <v>0</v>
      </c>
      <c r="BT17" s="298">
        <f t="shared" ca="1" si="41"/>
        <v>0</v>
      </c>
      <c r="BU17" s="318">
        <f t="shared" ca="1" si="42"/>
        <v>0</v>
      </c>
      <c r="BV17" s="298">
        <f t="shared" ca="1" si="43"/>
        <v>0</v>
      </c>
      <c r="BW17" s="299">
        <f t="shared" ca="1" si="44"/>
        <v>0</v>
      </c>
      <c r="BX17" s="298">
        <f t="shared" ca="1" si="45"/>
        <v>0</v>
      </c>
      <c r="BY17" s="298">
        <f t="shared" ca="1" si="46"/>
        <v>0</v>
      </c>
      <c r="BZ17" s="298">
        <f t="shared" ca="1" si="47"/>
        <v>0</v>
      </c>
      <c r="CA17" s="315">
        <f t="shared" ca="1" si="48"/>
        <v>0.1741200162531488</v>
      </c>
      <c r="CC17" s="52"/>
      <c r="CD17" s="306">
        <f t="shared" ca="1" si="94"/>
        <v>0</v>
      </c>
      <c r="CE17" s="15">
        <f t="shared" ca="1" si="49"/>
        <v>0</v>
      </c>
      <c r="CF17" s="15">
        <f t="shared" ca="1" si="50"/>
        <v>0</v>
      </c>
      <c r="CG17" s="286">
        <f t="shared" ca="1" si="51"/>
        <v>0</v>
      </c>
      <c r="CH17" s="15">
        <f t="shared" ca="1" si="52"/>
        <v>0</v>
      </c>
      <c r="CI17" s="288">
        <f t="shared" ca="1" si="53"/>
        <v>0</v>
      </c>
      <c r="CJ17" s="15">
        <f t="shared" ca="1" si="54"/>
        <v>0</v>
      </c>
      <c r="CK17" s="15">
        <f t="shared" ca="1" si="55"/>
        <v>0</v>
      </c>
      <c r="CL17" s="15">
        <f t="shared" ca="1" si="56"/>
        <v>0</v>
      </c>
      <c r="CM17" s="313">
        <f t="shared" ca="1" si="57"/>
        <v>1</v>
      </c>
      <c r="CO17" s="320">
        <f t="shared" ca="1" si="95"/>
        <v>6</v>
      </c>
      <c r="CP17" s="22">
        <f ca="1">COUNTIFS($C$10:$C16,"&lt;"&amp;$C17,$M$10:$M16,$D17&amp;"_"&amp;CP$9)</f>
        <v>0</v>
      </c>
      <c r="CQ17" s="7">
        <f ca="1">COUNTIFS($C$10:$C16,"&lt;"&amp;$C17,$M$10:$M16,$D17&amp;"_"&amp;CQ$9)</f>
        <v>0</v>
      </c>
      <c r="CR17" s="7">
        <f ca="1">COUNTIFS($C$10:$C16,"&lt;"&amp;$C17,$M$10:$M16,$D17&amp;"_"&amp;CR$9)</f>
        <v>0</v>
      </c>
      <c r="CS17" s="17">
        <f ca="1">COUNTIFS($C$10:$C16,"&lt;"&amp;$C17,$M$10:$M16,$D17&amp;"_"&amp;CS$9)</f>
        <v>0</v>
      </c>
      <c r="CT17" s="7">
        <f ca="1">COUNTIFS($C$10:$C16,"&lt;"&amp;$C17,$M$10:$M16,$D17&amp;"_"&amp;CT$9)</f>
        <v>0</v>
      </c>
      <c r="CU17" s="18">
        <f ca="1">COUNTIFS($C$10:$C16,"&lt;"&amp;$C17,$M$10:$M16,$D17&amp;"_"&amp;CU$9)</f>
        <v>0</v>
      </c>
      <c r="CV17" s="7">
        <f ca="1">COUNTIFS($C$10:$C16,"&lt;"&amp;$C17,$M$10:$M16,$D17&amp;"_"&amp;CV$9)</f>
        <v>0</v>
      </c>
      <c r="CW17" s="7">
        <f ca="1">COUNTIFS($C$10:$C16,"&lt;"&amp;$C17,$M$10:$M16,$D17&amp;"_"&amp;CW$9)</f>
        <v>0</v>
      </c>
      <c r="CX17" s="7">
        <f ca="1">COUNTIFS($C$10:$C16,"&lt;"&amp;$C17,$M$10:$M16,$D17&amp;"_"&amp;CX$9)</f>
        <v>0</v>
      </c>
      <c r="CY17" s="221">
        <f ca="1">COUNTIFS($C$10:$C16,"&lt;"&amp;$C17,$M$10:$M16,$D17&amp;"_"&amp;CY$9)</f>
        <v>6</v>
      </c>
      <c r="DA17" s="20"/>
      <c r="DB17" s="308">
        <f ca="1">IF(CP17=0,0,SUMIFS($P$10:$P16, $C$10:$C16,"&lt;"&amp;$C17, $M$10:$M16,$D17&amp;"_"&amp;DB$9)/CP17)</f>
        <v>0</v>
      </c>
      <c r="DC17" s="263">
        <f ca="1">IF(CQ17=0,0,SUMIFS($P$10:$P16, $C$10:$C16,"&lt;"&amp;$C17, $M$10:$M16,$D17&amp;"_"&amp;DC$9)/CQ17)</f>
        <v>0</v>
      </c>
      <c r="DD17" s="263">
        <f ca="1">IF(CR17=0,0,SUMIFS($P$10:$P16, $C$10:$C16,"&lt;"&amp;$C17, $M$10:$M16,$D17&amp;"_"&amp;DD$9)/CR17)</f>
        <v>0</v>
      </c>
      <c r="DE17" s="262">
        <f ca="1">IF(CS17=0,0,SUMIFS($P$10:$P16, $C$10:$C16,"&lt;"&amp;$C17, $M$10:$M16,$D17&amp;"_"&amp;DE$9)/CS17)</f>
        <v>0</v>
      </c>
      <c r="DF17" s="263">
        <f ca="1">IF(CT17=0,0,SUMIFS($P$10:$P16, $C$10:$C16,"&lt;"&amp;$C17, $M$10:$M16,$D17&amp;"_"&amp;DF$9)/CT17)</f>
        <v>0</v>
      </c>
      <c r="DG17" s="310">
        <f ca="1">IF(CU17=0,0,SUMIFS($P$10:$P16, $C$10:$C16,"&lt;"&amp;$C17, $M$10:$M16,$D17&amp;"_"&amp;DG$9)/CU17)</f>
        <v>0</v>
      </c>
      <c r="DH17" s="263">
        <f ca="1">IF(CV17=0,0,SUMIFS($P$10:$P16, $C$10:$C16,"&lt;"&amp;$C17, $M$10:$M16,$D17&amp;"_"&amp;DH$9)/CV17)</f>
        <v>0</v>
      </c>
      <c r="DI17" s="263">
        <f ca="1">IF(CW17=0,0,SUMIFS($P$10:$P16, $C$10:$C16,"&lt;"&amp;$C17, $M$10:$M16,$D17&amp;"_"&amp;DI$9)/CW17)</f>
        <v>0</v>
      </c>
      <c r="DJ17" s="264">
        <f ca="1">IF(CX17=0,0,SUMIFS($P$10:$P16, $C$10:$C16,"&lt;"&amp;$C17, $M$10:$M16,$D17&amp;"_"&amp;DJ$9)/CX17)</f>
        <v>0</v>
      </c>
      <c r="DK17" s="264">
        <f ca="1">IF(CY17=0,0,SUMIFS($P$10:$P16, $C$10:$C16,"&lt;"&amp;$C17, $M$10:$M16,$D17&amp;"_"&amp;DK$9)/CY17)</f>
        <v>-1</v>
      </c>
      <c r="DM17" s="104"/>
      <c r="DN17" s="306">
        <f t="shared" ca="1" si="96"/>
        <v>-9999</v>
      </c>
      <c r="DO17" s="15">
        <f t="shared" ca="1" si="58"/>
        <v>-9999</v>
      </c>
      <c r="DP17" s="15">
        <f t="shared" ca="1" si="59"/>
        <v>-9999</v>
      </c>
      <c r="DQ17" s="15">
        <f t="shared" ca="1" si="60"/>
        <v>-9999</v>
      </c>
      <c r="DR17" s="15">
        <f t="shared" ca="1" si="61"/>
        <v>-9999</v>
      </c>
      <c r="DS17" s="15">
        <f t="shared" ca="1" si="62"/>
        <v>-9999</v>
      </c>
      <c r="DT17" s="15">
        <f t="shared" ca="1" si="63"/>
        <v>-9999</v>
      </c>
      <c r="DU17" s="15">
        <f t="shared" ca="1" si="64"/>
        <v>-9999</v>
      </c>
      <c r="DV17" s="52">
        <f t="shared" ca="1" si="65"/>
        <v>-9999</v>
      </c>
      <c r="DW17" s="313">
        <f t="shared" ca="1" si="66"/>
        <v>-0.65007289388811751</v>
      </c>
      <c r="DX17" s="52"/>
      <c r="DY17" s="402">
        <f t="shared" ca="1" si="97"/>
        <v>9</v>
      </c>
      <c r="ED17" s="19">
        <f t="shared" ca="1" si="67"/>
        <v>-1</v>
      </c>
      <c r="EE17" s="1">
        <f t="shared" ca="1" si="68"/>
        <v>1</v>
      </c>
      <c r="EF17" s="1">
        <f t="shared" ca="1" si="69"/>
        <v>-1</v>
      </c>
      <c r="EG17" s="2">
        <f t="shared" ca="1" si="70"/>
        <v>1</v>
      </c>
      <c r="EH17" s="1">
        <f t="shared" ca="1" si="71"/>
        <v>-1</v>
      </c>
      <c r="EI17" s="3">
        <f t="shared" ca="1" si="72"/>
        <v>1</v>
      </c>
      <c r="EJ17" s="1">
        <f t="shared" ca="1" si="73"/>
        <v>0</v>
      </c>
      <c r="EK17" s="1">
        <f t="shared" ca="1" si="74"/>
        <v>0</v>
      </c>
      <c r="EL17" s="20">
        <f t="shared" ca="1" si="75"/>
        <v>-1</v>
      </c>
      <c r="EN17" s="86">
        <f ca="1">MAX(0, SUMPRODUCT($ED17:$EL17,OFFSET(DNN!$E$9:$M$9,EN$9,0)) + OFFSET(DNN!$D$9,EN$9,0))</f>
        <v>0</v>
      </c>
      <c r="EO17" s="84">
        <f ca="1">MAX(0, SUMPRODUCT($ED17:$EL17,OFFSET(DNN!$E$9:$M$9,EO$9,0)) + OFFSET(DNN!$D$9,EO$9,0))</f>
        <v>7.2346022384755949E-3</v>
      </c>
      <c r="EP17" s="84">
        <f ca="1">MAX(0, SUMPRODUCT($ED17:$EL17,OFFSET(DNN!$E$9:$M$9,EP$9,0)) + OFFSET(DNN!$D$9,EP$9,0))</f>
        <v>3.6951849750035152E-3</v>
      </c>
      <c r="EQ17" s="84">
        <f ca="1">MAX(0, SUMPRODUCT($ED17:$EL17,OFFSET(DNN!$E$9:$M$9,EQ$9,0)) + OFFSET(DNN!$D$9,EQ$9,0))</f>
        <v>0</v>
      </c>
      <c r="ER17" s="85">
        <f ca="1">MAX(0, SUMPRODUCT($ED17:$EL17,OFFSET(DNN!$E$9:$M$9,ER$9,0)) + OFFSET(DNN!$D$9,ER$9,0))</f>
        <v>0</v>
      </c>
      <c r="ET17" s="86">
        <f ca="1">MAX(0, SUMPRODUCT($EN17:$ER17,OFFSET(DNN!$Q$9:$U$9,ET$9,0)) + OFFSET(DNN!$P$9,ET$9,0))</f>
        <v>4.3954959453478351E-4</v>
      </c>
      <c r="EU17" s="84">
        <f ca="1">MAX(0, SUMPRODUCT($EN17:$ER17,OFFSET(DNN!$Q$9:$U$9,EU$9,0)) + OFFSET(DNN!$P$9,EU$9,0))</f>
        <v>0</v>
      </c>
      <c r="EV17" s="84">
        <f ca="1">MAX(0, SUMPRODUCT($EN17:$ER17,OFFSET(DNN!$Q$9:$U$9,EV$9,0)) + OFFSET(DNN!$P$9,EV$9,0))</f>
        <v>1.2810123361902579E-3</v>
      </c>
      <c r="EW17" s="84">
        <f ca="1">MAX(0, SUMPRODUCT($EN17:$ER17,OFFSET(DNN!$Q$9:$U$9,EW$9,0)) + OFFSET(DNN!$P$9,EW$9,0))</f>
        <v>7.8382123007882457E-4</v>
      </c>
      <c r="EX17" s="85">
        <f ca="1">MAX(0, SUMPRODUCT($EN17:$ER17,OFFSET(DNN!$Q$9:$U$9,EX$9,0)) + OFFSET(DNN!$P$9,EX$9,0))</f>
        <v>0</v>
      </c>
      <c r="EZ17" s="111">
        <f ca="1">SUMPRODUCT($ET17:$EX17,OFFSET(DNN!$Y$9:$AC$9,EZ$9,0)) + OFFSET(DNN!$X$9,EZ$9,0)</f>
        <v>0.43031618918982212</v>
      </c>
      <c r="FA17" s="97">
        <f ca="1">SUMPRODUCT($ET17:$EX17,OFFSET(DNN!$Y$9:$AC$9,FA$9,0)) + OFFSET(DNN!$X$9,FA$9,0)</f>
        <v>-1.2643439935754107E-5</v>
      </c>
      <c r="FB17" s="97">
        <f ca="1">SUMPRODUCT($ET17:$EX17,OFFSET(DNN!$Y$9:$AC$9,FB$9,0)) + OFFSET(DNN!$X$9,FB$9,0)</f>
        <v>1.5239793458415756E-2</v>
      </c>
      <c r="FC17" s="97">
        <f ca="1">SUMPRODUCT($ET17:$EX17,OFFSET(DNN!$Y$9:$AC$9,FC$9,0)) + OFFSET(DNN!$X$9,FC$9,0)</f>
        <v>-8.8749521084055777E-4</v>
      </c>
      <c r="FD17" s="97">
        <f ca="1">SUMPRODUCT($ET17:$EX17,OFFSET(DNN!$Y$9:$AC$9,FD$9,0)) + OFFSET(DNN!$X$9,FD$9,0)</f>
        <v>-4.235816470721872E-4</v>
      </c>
      <c r="FE17" s="97">
        <f ca="1">SUMPRODUCT($ET17:$EX17,OFFSET(DNN!$Y$9:$AC$9,FE$9,0)) + OFFSET(DNN!$X$9,FE$9,0)</f>
        <v>-1.574182761064886E-5</v>
      </c>
      <c r="FF17" s="97">
        <f ca="1">SUMPRODUCT($ET17:$EX17,OFFSET(DNN!$Y$9:$AC$9,FF$9,0)) + OFFSET(DNN!$X$9,FF$9,0)</f>
        <v>-1.3491460223194656E-3</v>
      </c>
      <c r="FG17" s="97">
        <f ca="1">SUMPRODUCT($ET17:$EX17,OFFSET(DNN!$Y$9:$AC$9,FG$9,0)) + OFFSET(DNN!$X$9,FG$9,0)</f>
        <v>-6.2604808096248285E-2</v>
      </c>
      <c r="FH17" s="97">
        <f ca="1">SUMPRODUCT($ET17:$EX17,OFFSET(DNN!$Y$9:$AC$9,FH$9,0)) + OFFSET(DNN!$X$9,FH$9,0)</f>
        <v>8.6810016937029894E-4</v>
      </c>
      <c r="FI17" s="108">
        <f ca="1">SUMPRODUCT($ET17:$EX17,OFFSET(DNN!$Y$9:$AC$9,FI$9,0)) + OFFSET(DNN!$X$9,FI$9,0)</f>
        <v>-1.3182687612562751</v>
      </c>
      <c r="FJ17" s="98">
        <f ca="1">SUMPRODUCT($ET17:$EX17,OFFSET(DNN!$Y$9:$AC$9,FJ$9,0)) + OFFSET(DNN!$X$9,FJ$9,0)</f>
        <v>-2.2535161745939301E-5</v>
      </c>
      <c r="FL17" s="415">
        <f t="shared" ca="1" si="98"/>
        <v>0.43031618918982212</v>
      </c>
      <c r="FM17" s="130">
        <f t="shared" ca="1" si="99"/>
        <v>1</v>
      </c>
      <c r="FN17" s="131">
        <f t="shared" ca="1" si="100"/>
        <v>0.65029522127322903</v>
      </c>
      <c r="FO17" s="131">
        <f t="shared" ca="1" si="101"/>
        <v>0.66028983545318687</v>
      </c>
      <c r="FP17" s="131">
        <f t="shared" ca="1" si="102"/>
        <v>0.64972655813153501</v>
      </c>
      <c r="FQ17" s="131">
        <f t="shared" ca="1" si="103"/>
        <v>0.65002804502111444</v>
      </c>
      <c r="FR17" s="131">
        <f t="shared" ca="1" si="104"/>
        <v>0.65029320640965171</v>
      </c>
      <c r="FS17" s="131">
        <f t="shared" ca="1" si="105"/>
        <v>0.64942668056342145</v>
      </c>
      <c r="FT17" s="131">
        <f t="shared" ca="1" si="106"/>
        <v>0.61083952513994022</v>
      </c>
      <c r="FU17" s="132">
        <f t="shared" ca="1" si="107"/>
        <v>0.6508682169276182</v>
      </c>
      <c r="FV17" s="131">
        <f t="shared" ca="1" si="108"/>
        <v>0.17402001625314881</v>
      </c>
      <c r="FW17" s="83">
        <f t="shared" ca="1" si="109"/>
        <v>-2.2535161742124597E-5</v>
      </c>
    </row>
    <row r="18" spans="1:179">
      <c r="A18" s="19">
        <f t="shared" si="110"/>
        <v>8</v>
      </c>
      <c r="B18" s="1">
        <f t="shared" ca="1" si="111"/>
        <v>0</v>
      </c>
      <c r="C18" s="20">
        <f t="shared" ca="1" si="112"/>
        <v>8</v>
      </c>
      <c r="D18" s="19" t="str">
        <f t="shared" ca="1" si="113"/>
        <v>〇×〇×〇×--〇</v>
      </c>
      <c r="E18" s="7">
        <f t="shared" ca="1" si="77"/>
        <v>9</v>
      </c>
      <c r="F18" s="7">
        <f t="shared" ca="1" si="78"/>
        <v>1</v>
      </c>
      <c r="G18" s="1" t="str">
        <f t="shared" ca="1" si="116"/>
        <v>〇×〇×〇×--〇</v>
      </c>
      <c r="H18" s="20" t="b">
        <f t="shared" ca="1" si="80"/>
        <v>1</v>
      </c>
      <c r="I18" s="22">
        <f t="shared" ca="1" si="114"/>
        <v>-1</v>
      </c>
      <c r="J18" s="1" t="b">
        <f ca="1">(1&lt;COUNTIF(D$10:D18,D18))</f>
        <v>1</v>
      </c>
      <c r="K18" s="1" t="b">
        <f t="shared" ca="1" si="81"/>
        <v>1</v>
      </c>
      <c r="L18" s="7">
        <f ca="1">MATCH(TRUE,K18:K$1048576,FALSE)-1</f>
        <v>0</v>
      </c>
      <c r="M18" s="24" t="str">
        <f t="shared" ca="1" si="13"/>
        <v>〇×〇×〇×--〇_9</v>
      </c>
      <c r="N18" s="25">
        <f t="shared" ca="1" si="82"/>
        <v>-2.2535161742124597E-5</v>
      </c>
      <c r="O18" s="26">
        <f t="shared" ca="1" si="83"/>
        <v>-1</v>
      </c>
      <c r="P18" s="27">
        <f t="shared" ca="1" si="84"/>
        <v>-1</v>
      </c>
      <c r="R18" s="41" t="str">
        <f ca="1">VLOOKUP(S18,cvt!$B$2:$C$4,2,FALSE)&amp;VLOOKUP(T18,cvt!$B$2:$C$4,2,FALSE)&amp;VLOOKUP(U18,cvt!$B$2:$C$4,2,FALSE)
&amp;VLOOKUP(V18,cvt!$B$2:$C$4,2,FALSE)&amp;VLOOKUP(W18,cvt!$B$2:$C$4,2,FALSE)&amp;VLOOKUP(X18,cvt!$B$2:$C$4,2,FALSE)
&amp;VLOOKUP(Y18,cvt!$B$2:$C$4,2,FALSE)&amp;VLOOKUP(Z18,cvt!$B$2:$C$4,2,FALSE)&amp;VLOOKUP(AA18,cvt!$B$2:$C$4,2,FALSE)</f>
        <v>〇×〇×〇×--〇</v>
      </c>
      <c r="S18" s="7">
        <f ca="1">VLOOKUP(MID($D18,S$9+1,1), cvt!$A$2:$B$4,2, FALSE)</f>
        <v>1</v>
      </c>
      <c r="T18" s="7">
        <f ca="1">VLOOKUP(MID($D18,T$9+1,1), cvt!$A$2:$B$4,2, FALSE)</f>
        <v>-1</v>
      </c>
      <c r="U18" s="7">
        <f ca="1">VLOOKUP(MID($D18,U$9+1,1), cvt!$A$2:$B$4,2, FALSE)</f>
        <v>1</v>
      </c>
      <c r="V18" s="17">
        <f ca="1">VLOOKUP(MID($D18,V$9+1,1), cvt!$A$2:$B$4,2, FALSE)</f>
        <v>-1</v>
      </c>
      <c r="W18" s="7">
        <f ca="1">VLOOKUP(MID($D18,W$9+1,1), cvt!$A$2:$B$4,2, FALSE)</f>
        <v>1</v>
      </c>
      <c r="X18" s="18">
        <f ca="1">VLOOKUP(MID($D18,X$9+1,1), cvt!$A$2:$B$4,2, FALSE)</f>
        <v>-1</v>
      </c>
      <c r="Y18" s="7">
        <f ca="1">VLOOKUP(MID($D18,Y$9+1,1), cvt!$A$2:$B$4,2, FALSE)</f>
        <v>0</v>
      </c>
      <c r="Z18" s="7">
        <f ca="1">VLOOKUP(MID($D18,Z$9+1,1), cvt!$A$2:$B$4,2, FALSE)</f>
        <v>0</v>
      </c>
      <c r="AA18" s="42">
        <f ca="1">VLOOKUP(MID($D18,AA$9+1,1), cvt!$A$2:$B$4,2, FALSE)</f>
        <v>1</v>
      </c>
      <c r="AB18" s="7">
        <f t="shared" ca="1" si="85"/>
        <v>1</v>
      </c>
      <c r="AC18" s="50" t="b">
        <f t="shared" ca="1" si="86"/>
        <v>1</v>
      </c>
      <c r="AE18" s="19" t="str">
        <f ca="1">VLOOKUP(AF18,cvt!$B$2:$C$4,2,FALSE)&amp;VLOOKUP(AG18,cvt!$B$2:$C$4,2,FALSE)&amp;VLOOKUP(AH18,cvt!$B$2:$C$4,2,FALSE)
&amp;VLOOKUP(AI18,cvt!$B$2:$C$4,2,FALSE)&amp;VLOOKUP(AJ18,cvt!$B$2:$C$4,2,FALSE)&amp;VLOOKUP(AK18,cvt!$B$2:$C$4,2,FALSE)
&amp;VLOOKUP(AL18,cvt!$B$2:$C$4,2,FALSE)&amp;VLOOKUP(AM18,cvt!$B$2:$C$4,2,FALSE)&amp;VLOOKUP(AN18,cvt!$B$2:$C$4,2,FALSE)</f>
        <v>〇×〇×〇×--〇</v>
      </c>
      <c r="AF18" s="17">
        <f t="shared" ca="1" si="14"/>
        <v>1</v>
      </c>
      <c r="AG18" s="7">
        <f t="shared" ca="1" si="15"/>
        <v>-1</v>
      </c>
      <c r="AH18" s="7">
        <f t="shared" ca="1" si="16"/>
        <v>1</v>
      </c>
      <c r="AI18" s="17">
        <f t="shared" ca="1" si="17"/>
        <v>-1</v>
      </c>
      <c r="AJ18" s="7">
        <f t="shared" ca="1" si="18"/>
        <v>1</v>
      </c>
      <c r="AK18" s="18">
        <f t="shared" ca="1" si="19"/>
        <v>-1</v>
      </c>
      <c r="AL18" s="7">
        <f t="shared" ca="1" si="20"/>
        <v>0</v>
      </c>
      <c r="AM18" s="7">
        <f t="shared" ca="1" si="21"/>
        <v>0</v>
      </c>
      <c r="AN18" s="18">
        <f t="shared" ca="1" si="22"/>
        <v>1</v>
      </c>
      <c r="AO18" s="7">
        <f t="shared" ca="1" si="115"/>
        <v>1</v>
      </c>
      <c r="AP18" s="50" t="b">
        <f t="shared" ca="1" si="87"/>
        <v>1</v>
      </c>
      <c r="AS18" s="22">
        <f t="shared" ca="1" si="88"/>
        <v>0</v>
      </c>
      <c r="AT18" s="7">
        <f t="shared" ca="1" si="23"/>
        <v>0</v>
      </c>
      <c r="AU18" s="7">
        <f t="shared" ca="1" si="24"/>
        <v>0</v>
      </c>
      <c r="AV18" s="7">
        <f t="shared" ca="1" si="25"/>
        <v>0</v>
      </c>
      <c r="AW18" s="7">
        <f t="shared" ca="1" si="26"/>
        <v>0</v>
      </c>
      <c r="AX18" s="7">
        <f t="shared" ca="1" si="27"/>
        <v>0</v>
      </c>
      <c r="AY18" s="7">
        <f t="shared" ca="1" si="28"/>
        <v>0</v>
      </c>
      <c r="AZ18" s="7">
        <f t="shared" ca="1" si="29"/>
        <v>0</v>
      </c>
      <c r="BA18" s="18">
        <f t="shared" ca="1" si="30"/>
        <v>0</v>
      </c>
      <c r="BB18" s="295">
        <f t="shared" ca="1" si="89"/>
        <v>1</v>
      </c>
      <c r="BD18" s="132"/>
      <c r="BE18" s="297">
        <f t="shared" ca="1" si="90"/>
        <v>1</v>
      </c>
      <c r="BF18" s="298">
        <f t="shared" ca="1" si="31"/>
        <v>0.65029522127322903</v>
      </c>
      <c r="BG18" s="298">
        <f t="shared" ca="1" si="32"/>
        <v>0.66028983545318687</v>
      </c>
      <c r="BH18" s="318">
        <f t="shared" ca="1" si="33"/>
        <v>0.64972655813153501</v>
      </c>
      <c r="BI18" s="298">
        <f t="shared" ca="1" si="34"/>
        <v>0.65002804502111444</v>
      </c>
      <c r="BJ18" s="299">
        <f t="shared" ca="1" si="35"/>
        <v>0.65029320640965171</v>
      </c>
      <c r="BK18" s="298">
        <f t="shared" ca="1" si="36"/>
        <v>0.64942668056342145</v>
      </c>
      <c r="BL18" s="298">
        <f t="shared" ca="1" si="37"/>
        <v>0.61083952513994022</v>
      </c>
      <c r="BM18" s="299">
        <f t="shared" ca="1" si="38"/>
        <v>0.6508682169276182</v>
      </c>
      <c r="BN18" s="295">
        <f t="shared" ca="1" si="39"/>
        <v>0.17402001625314881</v>
      </c>
      <c r="BO18" s="248">
        <f t="shared" ca="1" si="91"/>
        <v>-2.2535161742124597E-5</v>
      </c>
      <c r="BQ18" s="304">
        <f t="shared" ca="1" si="92"/>
        <v>0.42412001625314877</v>
      </c>
      <c r="BR18" s="297">
        <f t="shared" ca="1" si="93"/>
        <v>0</v>
      </c>
      <c r="BS18" s="298">
        <f t="shared" ca="1" si="40"/>
        <v>0</v>
      </c>
      <c r="BT18" s="298">
        <f t="shared" ca="1" si="41"/>
        <v>0</v>
      </c>
      <c r="BU18" s="318">
        <f t="shared" ca="1" si="42"/>
        <v>0</v>
      </c>
      <c r="BV18" s="298">
        <f t="shared" ca="1" si="43"/>
        <v>0</v>
      </c>
      <c r="BW18" s="299">
        <f t="shared" ca="1" si="44"/>
        <v>0</v>
      </c>
      <c r="BX18" s="298">
        <f t="shared" ca="1" si="45"/>
        <v>0</v>
      </c>
      <c r="BY18" s="298">
        <f t="shared" ca="1" si="46"/>
        <v>0</v>
      </c>
      <c r="BZ18" s="298">
        <f t="shared" ca="1" si="47"/>
        <v>0</v>
      </c>
      <c r="CA18" s="315">
        <f t="shared" ca="1" si="48"/>
        <v>0.42412001625314877</v>
      </c>
      <c r="CC18" s="52"/>
      <c r="CD18" s="306">
        <f t="shared" ca="1" si="94"/>
        <v>0</v>
      </c>
      <c r="CE18" s="15">
        <f t="shared" ca="1" si="49"/>
        <v>0</v>
      </c>
      <c r="CF18" s="15">
        <f t="shared" ca="1" si="50"/>
        <v>0</v>
      </c>
      <c r="CG18" s="286">
        <f t="shared" ca="1" si="51"/>
        <v>0</v>
      </c>
      <c r="CH18" s="15">
        <f t="shared" ca="1" si="52"/>
        <v>0</v>
      </c>
      <c r="CI18" s="288">
        <f t="shared" ca="1" si="53"/>
        <v>0</v>
      </c>
      <c r="CJ18" s="15">
        <f t="shared" ca="1" si="54"/>
        <v>0</v>
      </c>
      <c r="CK18" s="15">
        <f t="shared" ca="1" si="55"/>
        <v>0</v>
      </c>
      <c r="CL18" s="15">
        <f t="shared" ca="1" si="56"/>
        <v>0</v>
      </c>
      <c r="CM18" s="313">
        <f t="shared" ca="1" si="57"/>
        <v>1</v>
      </c>
      <c r="CO18" s="320">
        <f t="shared" ca="1" si="95"/>
        <v>7</v>
      </c>
      <c r="CP18" s="22">
        <f ca="1">COUNTIFS($C$10:$C17,"&lt;"&amp;$C18,$M$10:$M17,$D18&amp;"_"&amp;CP$9)</f>
        <v>0</v>
      </c>
      <c r="CQ18" s="7">
        <f ca="1">COUNTIFS($C$10:$C17,"&lt;"&amp;$C18,$M$10:$M17,$D18&amp;"_"&amp;CQ$9)</f>
        <v>0</v>
      </c>
      <c r="CR18" s="7">
        <f ca="1">COUNTIFS($C$10:$C17,"&lt;"&amp;$C18,$M$10:$M17,$D18&amp;"_"&amp;CR$9)</f>
        <v>0</v>
      </c>
      <c r="CS18" s="17">
        <f ca="1">COUNTIFS($C$10:$C17,"&lt;"&amp;$C18,$M$10:$M17,$D18&amp;"_"&amp;CS$9)</f>
        <v>0</v>
      </c>
      <c r="CT18" s="7">
        <f ca="1">COUNTIFS($C$10:$C17,"&lt;"&amp;$C18,$M$10:$M17,$D18&amp;"_"&amp;CT$9)</f>
        <v>0</v>
      </c>
      <c r="CU18" s="18">
        <f ca="1">COUNTIFS($C$10:$C17,"&lt;"&amp;$C18,$M$10:$M17,$D18&amp;"_"&amp;CU$9)</f>
        <v>0</v>
      </c>
      <c r="CV18" s="7">
        <f ca="1">COUNTIFS($C$10:$C17,"&lt;"&amp;$C18,$M$10:$M17,$D18&amp;"_"&amp;CV$9)</f>
        <v>0</v>
      </c>
      <c r="CW18" s="7">
        <f ca="1">COUNTIFS($C$10:$C17,"&lt;"&amp;$C18,$M$10:$M17,$D18&amp;"_"&amp;CW$9)</f>
        <v>0</v>
      </c>
      <c r="CX18" s="7">
        <f ca="1">COUNTIFS($C$10:$C17,"&lt;"&amp;$C18,$M$10:$M17,$D18&amp;"_"&amp;CX$9)</f>
        <v>0</v>
      </c>
      <c r="CY18" s="221">
        <f ca="1">COUNTIFS($C$10:$C17,"&lt;"&amp;$C18,$M$10:$M17,$D18&amp;"_"&amp;CY$9)</f>
        <v>7</v>
      </c>
      <c r="DA18" s="20"/>
      <c r="DB18" s="308">
        <f ca="1">IF(CP18=0,0,SUMIFS($P$10:$P17, $C$10:$C17,"&lt;"&amp;$C18, $M$10:$M17,$D18&amp;"_"&amp;DB$9)/CP18)</f>
        <v>0</v>
      </c>
      <c r="DC18" s="263">
        <f ca="1">IF(CQ18=0,0,SUMIFS($P$10:$P17, $C$10:$C17,"&lt;"&amp;$C18, $M$10:$M17,$D18&amp;"_"&amp;DC$9)/CQ18)</f>
        <v>0</v>
      </c>
      <c r="DD18" s="263">
        <f ca="1">IF(CR18=0,0,SUMIFS($P$10:$P17, $C$10:$C17,"&lt;"&amp;$C18, $M$10:$M17,$D18&amp;"_"&amp;DD$9)/CR18)</f>
        <v>0</v>
      </c>
      <c r="DE18" s="262">
        <f ca="1">IF(CS18=0,0,SUMIFS($P$10:$P17, $C$10:$C17,"&lt;"&amp;$C18, $M$10:$M17,$D18&amp;"_"&amp;DE$9)/CS18)</f>
        <v>0</v>
      </c>
      <c r="DF18" s="263">
        <f ca="1">IF(CT18=0,0,SUMIFS($P$10:$P17, $C$10:$C17,"&lt;"&amp;$C18, $M$10:$M17,$D18&amp;"_"&amp;DF$9)/CT18)</f>
        <v>0</v>
      </c>
      <c r="DG18" s="310">
        <f ca="1">IF(CU18=0,0,SUMIFS($P$10:$P17, $C$10:$C17,"&lt;"&amp;$C18, $M$10:$M17,$D18&amp;"_"&amp;DG$9)/CU18)</f>
        <v>0</v>
      </c>
      <c r="DH18" s="263">
        <f ca="1">IF(CV18=0,0,SUMIFS($P$10:$P17, $C$10:$C17,"&lt;"&amp;$C18, $M$10:$M17,$D18&amp;"_"&amp;DH$9)/CV18)</f>
        <v>0</v>
      </c>
      <c r="DI18" s="263">
        <f ca="1">IF(CW18=0,0,SUMIFS($P$10:$P17, $C$10:$C17,"&lt;"&amp;$C18, $M$10:$M17,$D18&amp;"_"&amp;DI$9)/CW18)</f>
        <v>0</v>
      </c>
      <c r="DJ18" s="264">
        <f ca="1">IF(CX18=0,0,SUMIFS($P$10:$P17, $C$10:$C17,"&lt;"&amp;$C18, $M$10:$M17,$D18&amp;"_"&amp;DJ$9)/CX18)</f>
        <v>0</v>
      </c>
      <c r="DK18" s="264">
        <f ca="1">IF(CY18=0,0,SUMIFS($P$10:$P17, $C$10:$C17,"&lt;"&amp;$C18, $M$10:$M17,$D18&amp;"_"&amp;DK$9)/CY18)</f>
        <v>-1</v>
      </c>
      <c r="DM18" s="104"/>
      <c r="DN18" s="306">
        <f t="shared" ca="1" si="96"/>
        <v>-9999</v>
      </c>
      <c r="DO18" s="15">
        <f t="shared" ca="1" si="58"/>
        <v>-9999</v>
      </c>
      <c r="DP18" s="15">
        <f t="shared" ca="1" si="59"/>
        <v>-9999</v>
      </c>
      <c r="DQ18" s="15">
        <f t="shared" ca="1" si="60"/>
        <v>-9999</v>
      </c>
      <c r="DR18" s="15">
        <f t="shared" ca="1" si="61"/>
        <v>-9999</v>
      </c>
      <c r="DS18" s="15">
        <f t="shared" ca="1" si="62"/>
        <v>-9999</v>
      </c>
      <c r="DT18" s="15">
        <f t="shared" ca="1" si="63"/>
        <v>-9999</v>
      </c>
      <c r="DU18" s="15">
        <f t="shared" ca="1" si="64"/>
        <v>-9999</v>
      </c>
      <c r="DV18" s="52">
        <f t="shared" ca="1" si="65"/>
        <v>-9999</v>
      </c>
      <c r="DW18" s="313">
        <f t="shared" ca="1" si="66"/>
        <v>-0.66928108611692616</v>
      </c>
      <c r="DX18" s="52"/>
      <c r="DY18" s="402">
        <f t="shared" ca="1" si="97"/>
        <v>9</v>
      </c>
      <c r="ED18" s="19">
        <f t="shared" ca="1" si="67"/>
        <v>-1</v>
      </c>
      <c r="EE18" s="1">
        <f t="shared" ca="1" si="68"/>
        <v>1</v>
      </c>
      <c r="EF18" s="1">
        <f t="shared" ca="1" si="69"/>
        <v>-1</v>
      </c>
      <c r="EG18" s="2">
        <f t="shared" ca="1" si="70"/>
        <v>1</v>
      </c>
      <c r="EH18" s="1">
        <f t="shared" ca="1" si="71"/>
        <v>-1</v>
      </c>
      <c r="EI18" s="3">
        <f t="shared" ca="1" si="72"/>
        <v>1</v>
      </c>
      <c r="EJ18" s="1">
        <f t="shared" ca="1" si="73"/>
        <v>0</v>
      </c>
      <c r="EK18" s="1">
        <f t="shared" ca="1" si="74"/>
        <v>0</v>
      </c>
      <c r="EL18" s="20">
        <f t="shared" ca="1" si="75"/>
        <v>-1</v>
      </c>
      <c r="EN18" s="86">
        <f ca="1">MAX(0, SUMPRODUCT($ED18:$EL18,OFFSET(DNN!$E$9:$M$9,EN$9,0)) + OFFSET(DNN!$D$9,EN$9,0))</f>
        <v>0</v>
      </c>
      <c r="EO18" s="84">
        <f ca="1">MAX(0, SUMPRODUCT($ED18:$EL18,OFFSET(DNN!$E$9:$M$9,EO$9,0)) + OFFSET(DNN!$D$9,EO$9,0))</f>
        <v>7.2346022384755949E-3</v>
      </c>
      <c r="EP18" s="84">
        <f ca="1">MAX(0, SUMPRODUCT($ED18:$EL18,OFFSET(DNN!$E$9:$M$9,EP$9,0)) + OFFSET(DNN!$D$9,EP$9,0))</f>
        <v>3.6951849750035152E-3</v>
      </c>
      <c r="EQ18" s="84">
        <f ca="1">MAX(0, SUMPRODUCT($ED18:$EL18,OFFSET(DNN!$E$9:$M$9,EQ$9,0)) + OFFSET(DNN!$D$9,EQ$9,0))</f>
        <v>0</v>
      </c>
      <c r="ER18" s="85">
        <f ca="1">MAX(0, SUMPRODUCT($ED18:$EL18,OFFSET(DNN!$E$9:$M$9,ER$9,0)) + OFFSET(DNN!$D$9,ER$9,0))</f>
        <v>0</v>
      </c>
      <c r="ET18" s="86">
        <f ca="1">MAX(0, SUMPRODUCT($EN18:$ER18,OFFSET(DNN!$Q$9:$U$9,ET$9,0)) + OFFSET(DNN!$P$9,ET$9,0))</f>
        <v>4.3954959453478351E-4</v>
      </c>
      <c r="EU18" s="84">
        <f ca="1">MAX(0, SUMPRODUCT($EN18:$ER18,OFFSET(DNN!$Q$9:$U$9,EU$9,0)) + OFFSET(DNN!$P$9,EU$9,0))</f>
        <v>0</v>
      </c>
      <c r="EV18" s="84">
        <f ca="1">MAX(0, SUMPRODUCT($EN18:$ER18,OFFSET(DNN!$Q$9:$U$9,EV$9,0)) + OFFSET(DNN!$P$9,EV$9,0))</f>
        <v>1.2810123361902579E-3</v>
      </c>
      <c r="EW18" s="84">
        <f ca="1">MAX(0, SUMPRODUCT($EN18:$ER18,OFFSET(DNN!$Q$9:$U$9,EW$9,0)) + OFFSET(DNN!$P$9,EW$9,0))</f>
        <v>7.8382123007882457E-4</v>
      </c>
      <c r="EX18" s="85">
        <f ca="1">MAX(0, SUMPRODUCT($EN18:$ER18,OFFSET(DNN!$Q$9:$U$9,EX$9,0)) + OFFSET(DNN!$P$9,EX$9,0))</f>
        <v>0</v>
      </c>
      <c r="EZ18" s="111">
        <f ca="1">SUMPRODUCT($ET18:$EX18,OFFSET(DNN!$Y$9:$AC$9,EZ$9,0)) + OFFSET(DNN!$X$9,EZ$9,0)</f>
        <v>0.43031618918982212</v>
      </c>
      <c r="FA18" s="97">
        <f ca="1">SUMPRODUCT($ET18:$EX18,OFFSET(DNN!$Y$9:$AC$9,FA$9,0)) + OFFSET(DNN!$X$9,FA$9,0)</f>
        <v>-1.2643439935754107E-5</v>
      </c>
      <c r="FB18" s="97">
        <f ca="1">SUMPRODUCT($ET18:$EX18,OFFSET(DNN!$Y$9:$AC$9,FB$9,0)) + OFFSET(DNN!$X$9,FB$9,0)</f>
        <v>1.5239793458415756E-2</v>
      </c>
      <c r="FC18" s="97">
        <f ca="1">SUMPRODUCT($ET18:$EX18,OFFSET(DNN!$Y$9:$AC$9,FC$9,0)) + OFFSET(DNN!$X$9,FC$9,0)</f>
        <v>-8.8749521084055777E-4</v>
      </c>
      <c r="FD18" s="97">
        <f ca="1">SUMPRODUCT($ET18:$EX18,OFFSET(DNN!$Y$9:$AC$9,FD$9,0)) + OFFSET(DNN!$X$9,FD$9,0)</f>
        <v>-4.235816470721872E-4</v>
      </c>
      <c r="FE18" s="97">
        <f ca="1">SUMPRODUCT($ET18:$EX18,OFFSET(DNN!$Y$9:$AC$9,FE$9,0)) + OFFSET(DNN!$X$9,FE$9,0)</f>
        <v>-1.574182761064886E-5</v>
      </c>
      <c r="FF18" s="97">
        <f ca="1">SUMPRODUCT($ET18:$EX18,OFFSET(DNN!$Y$9:$AC$9,FF$9,0)) + OFFSET(DNN!$X$9,FF$9,0)</f>
        <v>-1.3491460223194656E-3</v>
      </c>
      <c r="FG18" s="97">
        <f ca="1">SUMPRODUCT($ET18:$EX18,OFFSET(DNN!$Y$9:$AC$9,FG$9,0)) + OFFSET(DNN!$X$9,FG$9,0)</f>
        <v>-6.2604808096248285E-2</v>
      </c>
      <c r="FH18" s="97">
        <f ca="1">SUMPRODUCT($ET18:$EX18,OFFSET(DNN!$Y$9:$AC$9,FH$9,0)) + OFFSET(DNN!$X$9,FH$9,0)</f>
        <v>8.6810016937029894E-4</v>
      </c>
      <c r="FI18" s="108">
        <f ca="1">SUMPRODUCT($ET18:$EX18,OFFSET(DNN!$Y$9:$AC$9,FI$9,0)) + OFFSET(DNN!$X$9,FI$9,0)</f>
        <v>-1.3182687612562751</v>
      </c>
      <c r="FJ18" s="98">
        <f ca="1">SUMPRODUCT($ET18:$EX18,OFFSET(DNN!$Y$9:$AC$9,FJ$9,0)) + OFFSET(DNN!$X$9,FJ$9,0)</f>
        <v>-2.2535161745939301E-5</v>
      </c>
      <c r="FL18" s="415">
        <f t="shared" ca="1" si="98"/>
        <v>0.43031618918982212</v>
      </c>
      <c r="FM18" s="130">
        <f t="shared" ca="1" si="99"/>
        <v>1</v>
      </c>
      <c r="FN18" s="131">
        <f t="shared" ca="1" si="100"/>
        <v>0.65029522127322903</v>
      </c>
      <c r="FO18" s="131">
        <f t="shared" ca="1" si="101"/>
        <v>0.66028983545318687</v>
      </c>
      <c r="FP18" s="131">
        <f t="shared" ca="1" si="102"/>
        <v>0.64972655813153501</v>
      </c>
      <c r="FQ18" s="131">
        <f t="shared" ca="1" si="103"/>
        <v>0.65002804502111444</v>
      </c>
      <c r="FR18" s="131">
        <f t="shared" ca="1" si="104"/>
        <v>0.65029320640965171</v>
      </c>
      <c r="FS18" s="131">
        <f t="shared" ca="1" si="105"/>
        <v>0.64942668056342145</v>
      </c>
      <c r="FT18" s="131">
        <f t="shared" ca="1" si="106"/>
        <v>0.61083952513994022</v>
      </c>
      <c r="FU18" s="132">
        <f t="shared" ca="1" si="107"/>
        <v>0.6508682169276182</v>
      </c>
      <c r="FV18" s="131">
        <f t="shared" ca="1" si="108"/>
        <v>0.17402001625314881</v>
      </c>
      <c r="FW18" s="83">
        <f t="shared" ca="1" si="109"/>
        <v>-2.2535161742124597E-5</v>
      </c>
    </row>
    <row r="19" spans="1:179">
      <c r="A19" s="19">
        <f t="shared" ref="A19:A82" si="117">A18+1</f>
        <v>9</v>
      </c>
      <c r="B19" s="1">
        <f t="shared" ca="1" si="111"/>
        <v>0</v>
      </c>
      <c r="C19" s="20">
        <f t="shared" ca="1" si="112"/>
        <v>9</v>
      </c>
      <c r="D19" s="19" t="str">
        <f t="shared" ca="1" si="113"/>
        <v>〇×〇×〇×--〇</v>
      </c>
      <c r="E19" s="7">
        <f t="shared" ca="1" si="77"/>
        <v>9</v>
      </c>
      <c r="F19" s="7">
        <f t="shared" ca="1" si="78"/>
        <v>1</v>
      </c>
      <c r="G19" s="1" t="str">
        <f t="shared" ca="1" si="116"/>
        <v>〇×〇×〇×--〇</v>
      </c>
      <c r="H19" s="20" t="b">
        <f t="shared" ca="1" si="80"/>
        <v>1</v>
      </c>
      <c r="I19" s="22">
        <f t="shared" ca="1" si="114"/>
        <v>-1</v>
      </c>
      <c r="J19" s="1" t="b">
        <f ca="1">(1&lt;COUNTIF(D$10:D19,D19))</f>
        <v>1</v>
      </c>
      <c r="K19" s="1" t="b">
        <f t="shared" ca="1" si="81"/>
        <v>1</v>
      </c>
      <c r="L19" s="7">
        <f ca="1">MATCH(TRUE,K19:K$1048576,FALSE)-1</f>
        <v>0</v>
      </c>
      <c r="M19" s="24" t="str">
        <f t="shared" ca="1" si="13"/>
        <v>〇×〇×〇×--〇_9</v>
      </c>
      <c r="N19" s="25">
        <f t="shared" ca="1" si="82"/>
        <v>-2.2535161742124597E-5</v>
      </c>
      <c r="O19" s="26">
        <f t="shared" ca="1" si="83"/>
        <v>-1</v>
      </c>
      <c r="P19" s="27">
        <f t="shared" ca="1" si="84"/>
        <v>-1</v>
      </c>
      <c r="R19" s="41" t="str">
        <f ca="1">VLOOKUP(S19,cvt!$B$2:$C$4,2,FALSE)&amp;VLOOKUP(T19,cvt!$B$2:$C$4,2,FALSE)&amp;VLOOKUP(U19,cvt!$B$2:$C$4,2,FALSE)
&amp;VLOOKUP(V19,cvt!$B$2:$C$4,2,FALSE)&amp;VLOOKUP(W19,cvt!$B$2:$C$4,2,FALSE)&amp;VLOOKUP(X19,cvt!$B$2:$C$4,2,FALSE)
&amp;VLOOKUP(Y19,cvt!$B$2:$C$4,2,FALSE)&amp;VLOOKUP(Z19,cvt!$B$2:$C$4,2,FALSE)&amp;VLOOKUP(AA19,cvt!$B$2:$C$4,2,FALSE)</f>
        <v>〇×〇×〇×--〇</v>
      </c>
      <c r="S19" s="7">
        <f ca="1">VLOOKUP(MID($D19,S$9+1,1), cvt!$A$2:$B$4,2, FALSE)</f>
        <v>1</v>
      </c>
      <c r="T19" s="7">
        <f ca="1">VLOOKUP(MID($D19,T$9+1,1), cvt!$A$2:$B$4,2, FALSE)</f>
        <v>-1</v>
      </c>
      <c r="U19" s="7">
        <f ca="1">VLOOKUP(MID($D19,U$9+1,1), cvt!$A$2:$B$4,2, FALSE)</f>
        <v>1</v>
      </c>
      <c r="V19" s="17">
        <f ca="1">VLOOKUP(MID($D19,V$9+1,1), cvt!$A$2:$B$4,2, FALSE)</f>
        <v>-1</v>
      </c>
      <c r="W19" s="7">
        <f ca="1">VLOOKUP(MID($D19,W$9+1,1), cvt!$A$2:$B$4,2, FALSE)</f>
        <v>1</v>
      </c>
      <c r="X19" s="18">
        <f ca="1">VLOOKUP(MID($D19,X$9+1,1), cvt!$A$2:$B$4,2, FALSE)</f>
        <v>-1</v>
      </c>
      <c r="Y19" s="7">
        <f ca="1">VLOOKUP(MID($D19,Y$9+1,1), cvt!$A$2:$B$4,2, FALSE)</f>
        <v>0</v>
      </c>
      <c r="Z19" s="7">
        <f ca="1">VLOOKUP(MID($D19,Z$9+1,1), cvt!$A$2:$B$4,2, FALSE)</f>
        <v>0</v>
      </c>
      <c r="AA19" s="42">
        <f ca="1">VLOOKUP(MID($D19,AA$9+1,1), cvt!$A$2:$B$4,2, FALSE)</f>
        <v>1</v>
      </c>
      <c r="AB19" s="7">
        <f t="shared" ca="1" si="85"/>
        <v>1</v>
      </c>
      <c r="AC19" s="50" t="b">
        <f t="shared" ca="1" si="86"/>
        <v>1</v>
      </c>
      <c r="AE19" s="19" t="str">
        <f ca="1">VLOOKUP(AF19,cvt!$B$2:$C$4,2,FALSE)&amp;VLOOKUP(AG19,cvt!$B$2:$C$4,2,FALSE)&amp;VLOOKUP(AH19,cvt!$B$2:$C$4,2,FALSE)
&amp;VLOOKUP(AI19,cvt!$B$2:$C$4,2,FALSE)&amp;VLOOKUP(AJ19,cvt!$B$2:$C$4,2,FALSE)&amp;VLOOKUP(AK19,cvt!$B$2:$C$4,2,FALSE)
&amp;VLOOKUP(AL19,cvt!$B$2:$C$4,2,FALSE)&amp;VLOOKUP(AM19,cvt!$B$2:$C$4,2,FALSE)&amp;VLOOKUP(AN19,cvt!$B$2:$C$4,2,FALSE)</f>
        <v>〇×〇×〇×--〇</v>
      </c>
      <c r="AF19" s="17">
        <f t="shared" ca="1" si="14"/>
        <v>1</v>
      </c>
      <c r="AG19" s="7">
        <f t="shared" ca="1" si="15"/>
        <v>-1</v>
      </c>
      <c r="AH19" s="7">
        <f t="shared" ca="1" si="16"/>
        <v>1</v>
      </c>
      <c r="AI19" s="17">
        <f t="shared" ca="1" si="17"/>
        <v>-1</v>
      </c>
      <c r="AJ19" s="7">
        <f t="shared" ca="1" si="18"/>
        <v>1</v>
      </c>
      <c r="AK19" s="18">
        <f t="shared" ca="1" si="19"/>
        <v>-1</v>
      </c>
      <c r="AL19" s="7">
        <f t="shared" ca="1" si="20"/>
        <v>0</v>
      </c>
      <c r="AM19" s="7">
        <f t="shared" ca="1" si="21"/>
        <v>0</v>
      </c>
      <c r="AN19" s="18">
        <f t="shared" ca="1" si="22"/>
        <v>1</v>
      </c>
      <c r="AO19" s="7">
        <f t="shared" ca="1" si="115"/>
        <v>1</v>
      </c>
      <c r="AP19" s="50" t="b">
        <f t="shared" ca="1" si="87"/>
        <v>1</v>
      </c>
      <c r="AS19" s="22">
        <f t="shared" ca="1" si="88"/>
        <v>0</v>
      </c>
      <c r="AT19" s="7">
        <f t="shared" ca="1" si="23"/>
        <v>0</v>
      </c>
      <c r="AU19" s="7">
        <f t="shared" ca="1" si="24"/>
        <v>0</v>
      </c>
      <c r="AV19" s="7">
        <f t="shared" ca="1" si="25"/>
        <v>0</v>
      </c>
      <c r="AW19" s="7">
        <f t="shared" ca="1" si="26"/>
        <v>0</v>
      </c>
      <c r="AX19" s="7">
        <f t="shared" ca="1" si="27"/>
        <v>0</v>
      </c>
      <c r="AY19" s="7">
        <f t="shared" ca="1" si="28"/>
        <v>0</v>
      </c>
      <c r="AZ19" s="7">
        <f t="shared" ca="1" si="29"/>
        <v>0</v>
      </c>
      <c r="BA19" s="18">
        <f t="shared" ca="1" si="30"/>
        <v>0</v>
      </c>
      <c r="BB19" s="295">
        <f t="shared" ca="1" si="89"/>
        <v>1</v>
      </c>
      <c r="BD19" s="132"/>
      <c r="BE19" s="297">
        <f t="shared" ca="1" si="90"/>
        <v>1</v>
      </c>
      <c r="BF19" s="298">
        <f t="shared" ca="1" si="31"/>
        <v>0.65029522127322903</v>
      </c>
      <c r="BG19" s="298">
        <f t="shared" ca="1" si="32"/>
        <v>0.66028983545318687</v>
      </c>
      <c r="BH19" s="318">
        <f t="shared" ca="1" si="33"/>
        <v>0.64972655813153501</v>
      </c>
      <c r="BI19" s="298">
        <f t="shared" ca="1" si="34"/>
        <v>0.65002804502111444</v>
      </c>
      <c r="BJ19" s="299">
        <f t="shared" ca="1" si="35"/>
        <v>0.65029320640965171</v>
      </c>
      <c r="BK19" s="298">
        <f t="shared" ca="1" si="36"/>
        <v>0.64942668056342145</v>
      </c>
      <c r="BL19" s="298">
        <f t="shared" ca="1" si="37"/>
        <v>0.61083952513994022</v>
      </c>
      <c r="BM19" s="299">
        <f t="shared" ca="1" si="38"/>
        <v>0.6508682169276182</v>
      </c>
      <c r="BN19" s="295">
        <f t="shared" ca="1" si="39"/>
        <v>0.17402001625314881</v>
      </c>
      <c r="BO19" s="248">
        <f t="shared" ca="1" si="91"/>
        <v>-2.2535161742124597E-5</v>
      </c>
      <c r="BQ19" s="304">
        <f t="shared" ca="1" si="92"/>
        <v>0.1741200162531488</v>
      </c>
      <c r="BR19" s="297">
        <f t="shared" ca="1" si="93"/>
        <v>0</v>
      </c>
      <c r="BS19" s="298">
        <f t="shared" ca="1" si="40"/>
        <v>0</v>
      </c>
      <c r="BT19" s="298">
        <f t="shared" ca="1" si="41"/>
        <v>0</v>
      </c>
      <c r="BU19" s="318">
        <f t="shared" ca="1" si="42"/>
        <v>0</v>
      </c>
      <c r="BV19" s="298">
        <f t="shared" ca="1" si="43"/>
        <v>0</v>
      </c>
      <c r="BW19" s="299">
        <f t="shared" ca="1" si="44"/>
        <v>0</v>
      </c>
      <c r="BX19" s="298">
        <f t="shared" ca="1" si="45"/>
        <v>0</v>
      </c>
      <c r="BY19" s="298">
        <f t="shared" ca="1" si="46"/>
        <v>0</v>
      </c>
      <c r="BZ19" s="298">
        <f t="shared" ca="1" si="47"/>
        <v>0</v>
      </c>
      <c r="CA19" s="315">
        <f t="shared" ca="1" si="48"/>
        <v>0.1741200162531488</v>
      </c>
      <c r="CC19" s="52"/>
      <c r="CD19" s="306">
        <f t="shared" ca="1" si="94"/>
        <v>0</v>
      </c>
      <c r="CE19" s="15">
        <f t="shared" ca="1" si="49"/>
        <v>0</v>
      </c>
      <c r="CF19" s="15">
        <f t="shared" ca="1" si="50"/>
        <v>0</v>
      </c>
      <c r="CG19" s="286">
        <f t="shared" ca="1" si="51"/>
        <v>0</v>
      </c>
      <c r="CH19" s="15">
        <f t="shared" ca="1" si="52"/>
        <v>0</v>
      </c>
      <c r="CI19" s="288">
        <f t="shared" ca="1" si="53"/>
        <v>0</v>
      </c>
      <c r="CJ19" s="15">
        <f t="shared" ca="1" si="54"/>
        <v>0</v>
      </c>
      <c r="CK19" s="15">
        <f t="shared" ca="1" si="55"/>
        <v>0</v>
      </c>
      <c r="CL19" s="15">
        <f t="shared" ca="1" si="56"/>
        <v>0</v>
      </c>
      <c r="CM19" s="313">
        <f t="shared" ca="1" si="57"/>
        <v>1</v>
      </c>
      <c r="CO19" s="320">
        <f t="shared" ca="1" si="95"/>
        <v>8</v>
      </c>
      <c r="CP19" s="22">
        <f ca="1">COUNTIFS($C$10:$C18,"&lt;"&amp;$C19,$M$10:$M18,$D19&amp;"_"&amp;CP$9)</f>
        <v>0</v>
      </c>
      <c r="CQ19" s="7">
        <f ca="1">COUNTIFS($C$10:$C18,"&lt;"&amp;$C19,$M$10:$M18,$D19&amp;"_"&amp;CQ$9)</f>
        <v>0</v>
      </c>
      <c r="CR19" s="7">
        <f ca="1">COUNTIFS($C$10:$C18,"&lt;"&amp;$C19,$M$10:$M18,$D19&amp;"_"&amp;CR$9)</f>
        <v>0</v>
      </c>
      <c r="CS19" s="17">
        <f ca="1">COUNTIFS($C$10:$C18,"&lt;"&amp;$C19,$M$10:$M18,$D19&amp;"_"&amp;CS$9)</f>
        <v>0</v>
      </c>
      <c r="CT19" s="7">
        <f ca="1">COUNTIFS($C$10:$C18,"&lt;"&amp;$C19,$M$10:$M18,$D19&amp;"_"&amp;CT$9)</f>
        <v>0</v>
      </c>
      <c r="CU19" s="18">
        <f ca="1">COUNTIFS($C$10:$C18,"&lt;"&amp;$C19,$M$10:$M18,$D19&amp;"_"&amp;CU$9)</f>
        <v>0</v>
      </c>
      <c r="CV19" s="7">
        <f ca="1">COUNTIFS($C$10:$C18,"&lt;"&amp;$C19,$M$10:$M18,$D19&amp;"_"&amp;CV$9)</f>
        <v>0</v>
      </c>
      <c r="CW19" s="7">
        <f ca="1">COUNTIFS($C$10:$C18,"&lt;"&amp;$C19,$M$10:$M18,$D19&amp;"_"&amp;CW$9)</f>
        <v>0</v>
      </c>
      <c r="CX19" s="7">
        <f ca="1">COUNTIFS($C$10:$C18,"&lt;"&amp;$C19,$M$10:$M18,$D19&amp;"_"&amp;CX$9)</f>
        <v>0</v>
      </c>
      <c r="CY19" s="221">
        <f ca="1">COUNTIFS($C$10:$C18,"&lt;"&amp;$C19,$M$10:$M18,$D19&amp;"_"&amp;CY$9)</f>
        <v>8</v>
      </c>
      <c r="DA19" s="20"/>
      <c r="DB19" s="308">
        <f ca="1">IF(CP19=0,0,SUMIFS($P$10:$P18, $C$10:$C18,"&lt;"&amp;$C19, $M$10:$M18,$D19&amp;"_"&amp;DB$9)/CP19)</f>
        <v>0</v>
      </c>
      <c r="DC19" s="263">
        <f ca="1">IF(CQ19=0,0,SUMIFS($P$10:$P18, $C$10:$C18,"&lt;"&amp;$C19, $M$10:$M18,$D19&amp;"_"&amp;DC$9)/CQ19)</f>
        <v>0</v>
      </c>
      <c r="DD19" s="263">
        <f ca="1">IF(CR19=0,0,SUMIFS($P$10:$P18, $C$10:$C18,"&lt;"&amp;$C19, $M$10:$M18,$D19&amp;"_"&amp;DD$9)/CR19)</f>
        <v>0</v>
      </c>
      <c r="DE19" s="262">
        <f ca="1">IF(CS19=0,0,SUMIFS($P$10:$P18, $C$10:$C18,"&lt;"&amp;$C19, $M$10:$M18,$D19&amp;"_"&amp;DE$9)/CS19)</f>
        <v>0</v>
      </c>
      <c r="DF19" s="263">
        <f ca="1">IF(CT19=0,0,SUMIFS($P$10:$P18, $C$10:$C18,"&lt;"&amp;$C19, $M$10:$M18,$D19&amp;"_"&amp;DF$9)/CT19)</f>
        <v>0</v>
      </c>
      <c r="DG19" s="310">
        <f ca="1">IF(CU19=0,0,SUMIFS($P$10:$P18, $C$10:$C18,"&lt;"&amp;$C19, $M$10:$M18,$D19&amp;"_"&amp;DG$9)/CU19)</f>
        <v>0</v>
      </c>
      <c r="DH19" s="263">
        <f ca="1">IF(CV19=0,0,SUMIFS($P$10:$P18, $C$10:$C18,"&lt;"&amp;$C19, $M$10:$M18,$D19&amp;"_"&amp;DH$9)/CV19)</f>
        <v>0</v>
      </c>
      <c r="DI19" s="263">
        <f ca="1">IF(CW19=0,0,SUMIFS($P$10:$P18, $C$10:$C18,"&lt;"&amp;$C19, $M$10:$M18,$D19&amp;"_"&amp;DI$9)/CW19)</f>
        <v>0</v>
      </c>
      <c r="DJ19" s="264">
        <f ca="1">IF(CX19=0,0,SUMIFS($P$10:$P18, $C$10:$C18,"&lt;"&amp;$C19, $M$10:$M18,$D19&amp;"_"&amp;DJ$9)/CX19)</f>
        <v>0</v>
      </c>
      <c r="DK19" s="264">
        <f ca="1">IF(CY19=0,0,SUMIFS($P$10:$P18, $C$10:$C18,"&lt;"&amp;$C19, $M$10:$M18,$D19&amp;"_"&amp;DK$9)/CY19)</f>
        <v>-1</v>
      </c>
      <c r="DM19" s="104"/>
      <c r="DN19" s="306">
        <f t="shared" ca="1" si="96"/>
        <v>-9999</v>
      </c>
      <c r="DO19" s="15">
        <f t="shared" ca="1" si="58"/>
        <v>-9999</v>
      </c>
      <c r="DP19" s="15">
        <f t="shared" ca="1" si="59"/>
        <v>-9999</v>
      </c>
      <c r="DQ19" s="15">
        <f t="shared" ca="1" si="60"/>
        <v>-9999</v>
      </c>
      <c r="DR19" s="15">
        <f t="shared" ca="1" si="61"/>
        <v>-9999</v>
      </c>
      <c r="DS19" s="15">
        <f t="shared" ca="1" si="62"/>
        <v>-9999</v>
      </c>
      <c r="DT19" s="15">
        <f t="shared" ca="1" si="63"/>
        <v>-9999</v>
      </c>
      <c r="DU19" s="15">
        <f t="shared" ca="1" si="64"/>
        <v>-9999</v>
      </c>
      <c r="DV19" s="52">
        <f t="shared" ca="1" si="65"/>
        <v>-9999</v>
      </c>
      <c r="DW19" s="313">
        <f t="shared" ca="1" si="66"/>
        <v>-0.68573031947264551</v>
      </c>
      <c r="DX19" s="52"/>
      <c r="DY19" s="402">
        <f t="shared" ca="1" si="97"/>
        <v>9</v>
      </c>
      <c r="ED19" s="19">
        <f t="shared" ca="1" si="67"/>
        <v>-1</v>
      </c>
      <c r="EE19" s="1">
        <f t="shared" ca="1" si="68"/>
        <v>1</v>
      </c>
      <c r="EF19" s="1">
        <f t="shared" ca="1" si="69"/>
        <v>-1</v>
      </c>
      <c r="EG19" s="2">
        <f t="shared" ca="1" si="70"/>
        <v>1</v>
      </c>
      <c r="EH19" s="1">
        <f t="shared" ca="1" si="71"/>
        <v>-1</v>
      </c>
      <c r="EI19" s="3">
        <f t="shared" ca="1" si="72"/>
        <v>1</v>
      </c>
      <c r="EJ19" s="1">
        <f t="shared" ca="1" si="73"/>
        <v>0</v>
      </c>
      <c r="EK19" s="1">
        <f t="shared" ca="1" si="74"/>
        <v>0</v>
      </c>
      <c r="EL19" s="20">
        <f t="shared" ca="1" si="75"/>
        <v>-1</v>
      </c>
      <c r="EN19" s="86">
        <f ca="1">MAX(0, SUMPRODUCT($ED19:$EL19,OFFSET(DNN!$E$9:$M$9,EN$9,0)) + OFFSET(DNN!$D$9,EN$9,0))</f>
        <v>0</v>
      </c>
      <c r="EO19" s="84">
        <f ca="1">MAX(0, SUMPRODUCT($ED19:$EL19,OFFSET(DNN!$E$9:$M$9,EO$9,0)) + OFFSET(DNN!$D$9,EO$9,0))</f>
        <v>7.2346022384755949E-3</v>
      </c>
      <c r="EP19" s="84">
        <f ca="1">MAX(0, SUMPRODUCT($ED19:$EL19,OFFSET(DNN!$E$9:$M$9,EP$9,0)) + OFFSET(DNN!$D$9,EP$9,0))</f>
        <v>3.6951849750035152E-3</v>
      </c>
      <c r="EQ19" s="84">
        <f ca="1">MAX(0, SUMPRODUCT($ED19:$EL19,OFFSET(DNN!$E$9:$M$9,EQ$9,0)) + OFFSET(DNN!$D$9,EQ$9,0))</f>
        <v>0</v>
      </c>
      <c r="ER19" s="85">
        <f ca="1">MAX(0, SUMPRODUCT($ED19:$EL19,OFFSET(DNN!$E$9:$M$9,ER$9,0)) + OFFSET(DNN!$D$9,ER$9,0))</f>
        <v>0</v>
      </c>
      <c r="ET19" s="86">
        <f ca="1">MAX(0, SUMPRODUCT($EN19:$ER19,OFFSET(DNN!$Q$9:$U$9,ET$9,0)) + OFFSET(DNN!$P$9,ET$9,0))</f>
        <v>4.3954959453478351E-4</v>
      </c>
      <c r="EU19" s="84">
        <f ca="1">MAX(0, SUMPRODUCT($EN19:$ER19,OFFSET(DNN!$Q$9:$U$9,EU$9,0)) + OFFSET(DNN!$P$9,EU$9,0))</f>
        <v>0</v>
      </c>
      <c r="EV19" s="84">
        <f ca="1">MAX(0, SUMPRODUCT($EN19:$ER19,OFFSET(DNN!$Q$9:$U$9,EV$9,0)) + OFFSET(DNN!$P$9,EV$9,0))</f>
        <v>1.2810123361902579E-3</v>
      </c>
      <c r="EW19" s="84">
        <f ca="1">MAX(0, SUMPRODUCT($EN19:$ER19,OFFSET(DNN!$Q$9:$U$9,EW$9,0)) + OFFSET(DNN!$P$9,EW$9,0))</f>
        <v>7.8382123007882457E-4</v>
      </c>
      <c r="EX19" s="85">
        <f ca="1">MAX(0, SUMPRODUCT($EN19:$ER19,OFFSET(DNN!$Q$9:$U$9,EX$9,0)) + OFFSET(DNN!$P$9,EX$9,0))</f>
        <v>0</v>
      </c>
      <c r="EZ19" s="111">
        <f ca="1">SUMPRODUCT($ET19:$EX19,OFFSET(DNN!$Y$9:$AC$9,EZ$9,0)) + OFFSET(DNN!$X$9,EZ$9,0)</f>
        <v>0.43031618918982212</v>
      </c>
      <c r="FA19" s="97">
        <f ca="1">SUMPRODUCT($ET19:$EX19,OFFSET(DNN!$Y$9:$AC$9,FA$9,0)) + OFFSET(DNN!$X$9,FA$9,0)</f>
        <v>-1.2643439935754107E-5</v>
      </c>
      <c r="FB19" s="97">
        <f ca="1">SUMPRODUCT($ET19:$EX19,OFFSET(DNN!$Y$9:$AC$9,FB$9,0)) + OFFSET(DNN!$X$9,FB$9,0)</f>
        <v>1.5239793458415756E-2</v>
      </c>
      <c r="FC19" s="97">
        <f ca="1">SUMPRODUCT($ET19:$EX19,OFFSET(DNN!$Y$9:$AC$9,FC$9,0)) + OFFSET(DNN!$X$9,FC$9,0)</f>
        <v>-8.8749521084055777E-4</v>
      </c>
      <c r="FD19" s="97">
        <f ca="1">SUMPRODUCT($ET19:$EX19,OFFSET(DNN!$Y$9:$AC$9,FD$9,0)) + OFFSET(DNN!$X$9,FD$9,0)</f>
        <v>-4.235816470721872E-4</v>
      </c>
      <c r="FE19" s="97">
        <f ca="1">SUMPRODUCT($ET19:$EX19,OFFSET(DNN!$Y$9:$AC$9,FE$9,0)) + OFFSET(DNN!$X$9,FE$9,0)</f>
        <v>-1.574182761064886E-5</v>
      </c>
      <c r="FF19" s="97">
        <f ca="1">SUMPRODUCT($ET19:$EX19,OFFSET(DNN!$Y$9:$AC$9,FF$9,0)) + OFFSET(DNN!$X$9,FF$9,0)</f>
        <v>-1.3491460223194656E-3</v>
      </c>
      <c r="FG19" s="97">
        <f ca="1">SUMPRODUCT($ET19:$EX19,OFFSET(DNN!$Y$9:$AC$9,FG$9,0)) + OFFSET(DNN!$X$9,FG$9,0)</f>
        <v>-6.2604808096248285E-2</v>
      </c>
      <c r="FH19" s="97">
        <f ca="1">SUMPRODUCT($ET19:$EX19,OFFSET(DNN!$Y$9:$AC$9,FH$9,0)) + OFFSET(DNN!$X$9,FH$9,0)</f>
        <v>8.6810016937029894E-4</v>
      </c>
      <c r="FI19" s="108">
        <f ca="1">SUMPRODUCT($ET19:$EX19,OFFSET(DNN!$Y$9:$AC$9,FI$9,0)) + OFFSET(DNN!$X$9,FI$9,0)</f>
        <v>-1.3182687612562751</v>
      </c>
      <c r="FJ19" s="98">
        <f ca="1">SUMPRODUCT($ET19:$EX19,OFFSET(DNN!$Y$9:$AC$9,FJ$9,0)) + OFFSET(DNN!$X$9,FJ$9,0)</f>
        <v>-2.2535161745939301E-5</v>
      </c>
      <c r="FL19" s="415">
        <f t="shared" ca="1" si="98"/>
        <v>0.43031618918982212</v>
      </c>
      <c r="FM19" s="130">
        <f t="shared" ca="1" si="99"/>
        <v>1</v>
      </c>
      <c r="FN19" s="131">
        <f t="shared" ca="1" si="100"/>
        <v>0.65029522127322903</v>
      </c>
      <c r="FO19" s="131">
        <f t="shared" ca="1" si="101"/>
        <v>0.66028983545318687</v>
      </c>
      <c r="FP19" s="131">
        <f t="shared" ca="1" si="102"/>
        <v>0.64972655813153501</v>
      </c>
      <c r="FQ19" s="131">
        <f t="shared" ca="1" si="103"/>
        <v>0.65002804502111444</v>
      </c>
      <c r="FR19" s="131">
        <f t="shared" ca="1" si="104"/>
        <v>0.65029320640965171</v>
      </c>
      <c r="FS19" s="131">
        <f t="shared" ca="1" si="105"/>
        <v>0.64942668056342145</v>
      </c>
      <c r="FT19" s="131">
        <f t="shared" ca="1" si="106"/>
        <v>0.61083952513994022</v>
      </c>
      <c r="FU19" s="132">
        <f t="shared" ca="1" si="107"/>
        <v>0.6508682169276182</v>
      </c>
      <c r="FV19" s="131">
        <f t="shared" ca="1" si="108"/>
        <v>0.17402001625314881</v>
      </c>
      <c r="FW19" s="83">
        <f t="shared" ca="1" si="109"/>
        <v>-2.2535161742124597E-5</v>
      </c>
    </row>
    <row r="20" spans="1:179">
      <c r="A20" s="19">
        <f t="shared" si="117"/>
        <v>10</v>
      </c>
      <c r="B20" s="1">
        <f t="shared" ca="1" si="111"/>
        <v>0</v>
      </c>
      <c r="C20" s="20">
        <f t="shared" ca="1" si="112"/>
        <v>10</v>
      </c>
      <c r="D20" s="19" t="str">
        <f t="shared" ca="1" si="113"/>
        <v>〇×〇×〇×--〇</v>
      </c>
      <c r="E20" s="7">
        <f t="shared" ca="1" si="77"/>
        <v>9</v>
      </c>
      <c r="F20" s="7">
        <f t="shared" ca="1" si="78"/>
        <v>1</v>
      </c>
      <c r="G20" s="1" t="str">
        <f t="shared" ca="1" si="116"/>
        <v>〇×〇×〇×--〇</v>
      </c>
      <c r="H20" s="20" t="b">
        <f t="shared" ca="1" si="80"/>
        <v>1</v>
      </c>
      <c r="I20" s="22">
        <f t="shared" ca="1" si="114"/>
        <v>-1</v>
      </c>
      <c r="J20" s="1" t="b">
        <f ca="1">(1&lt;COUNTIF(D$10:D20,D20))</f>
        <v>1</v>
      </c>
      <c r="K20" s="1" t="b">
        <f t="shared" ca="1" si="81"/>
        <v>1</v>
      </c>
      <c r="L20" s="7">
        <f ca="1">MATCH(TRUE,K20:K$1048576,FALSE)-1</f>
        <v>0</v>
      </c>
      <c r="M20" s="24" t="str">
        <f t="shared" ca="1" si="13"/>
        <v>〇×〇×〇×--〇_9</v>
      </c>
      <c r="N20" s="25">
        <f t="shared" ca="1" si="82"/>
        <v>-2.2535161742124597E-5</v>
      </c>
      <c r="O20" s="26">
        <f t="shared" ca="1" si="83"/>
        <v>-1</v>
      </c>
      <c r="P20" s="27">
        <f t="shared" ca="1" si="84"/>
        <v>-1</v>
      </c>
      <c r="R20" s="41" t="str">
        <f ca="1">VLOOKUP(S20,cvt!$B$2:$C$4,2,FALSE)&amp;VLOOKUP(T20,cvt!$B$2:$C$4,2,FALSE)&amp;VLOOKUP(U20,cvt!$B$2:$C$4,2,FALSE)
&amp;VLOOKUP(V20,cvt!$B$2:$C$4,2,FALSE)&amp;VLOOKUP(W20,cvt!$B$2:$C$4,2,FALSE)&amp;VLOOKUP(X20,cvt!$B$2:$C$4,2,FALSE)
&amp;VLOOKUP(Y20,cvt!$B$2:$C$4,2,FALSE)&amp;VLOOKUP(Z20,cvt!$B$2:$C$4,2,FALSE)&amp;VLOOKUP(AA20,cvt!$B$2:$C$4,2,FALSE)</f>
        <v>〇×〇×〇×--〇</v>
      </c>
      <c r="S20" s="7">
        <f ca="1">VLOOKUP(MID($D20,S$9+1,1), cvt!$A$2:$B$4,2, FALSE)</f>
        <v>1</v>
      </c>
      <c r="T20" s="7">
        <f ca="1">VLOOKUP(MID($D20,T$9+1,1), cvt!$A$2:$B$4,2, FALSE)</f>
        <v>-1</v>
      </c>
      <c r="U20" s="7">
        <f ca="1">VLOOKUP(MID($D20,U$9+1,1), cvt!$A$2:$B$4,2, FALSE)</f>
        <v>1</v>
      </c>
      <c r="V20" s="17">
        <f ca="1">VLOOKUP(MID($D20,V$9+1,1), cvt!$A$2:$B$4,2, FALSE)</f>
        <v>-1</v>
      </c>
      <c r="W20" s="7">
        <f ca="1">VLOOKUP(MID($D20,W$9+1,1), cvt!$A$2:$B$4,2, FALSE)</f>
        <v>1</v>
      </c>
      <c r="X20" s="18">
        <f ca="1">VLOOKUP(MID($D20,X$9+1,1), cvt!$A$2:$B$4,2, FALSE)</f>
        <v>-1</v>
      </c>
      <c r="Y20" s="7">
        <f ca="1">VLOOKUP(MID($D20,Y$9+1,1), cvt!$A$2:$B$4,2, FALSE)</f>
        <v>0</v>
      </c>
      <c r="Z20" s="7">
        <f ca="1">VLOOKUP(MID($D20,Z$9+1,1), cvt!$A$2:$B$4,2, FALSE)</f>
        <v>0</v>
      </c>
      <c r="AA20" s="42">
        <f ca="1">VLOOKUP(MID($D20,AA$9+1,1), cvt!$A$2:$B$4,2, FALSE)</f>
        <v>1</v>
      </c>
      <c r="AB20" s="7">
        <f t="shared" ca="1" si="85"/>
        <v>1</v>
      </c>
      <c r="AC20" s="50" t="b">
        <f t="shared" ca="1" si="86"/>
        <v>1</v>
      </c>
      <c r="AE20" s="19" t="str">
        <f ca="1">VLOOKUP(AF20,cvt!$B$2:$C$4,2,FALSE)&amp;VLOOKUP(AG20,cvt!$B$2:$C$4,2,FALSE)&amp;VLOOKUP(AH20,cvt!$B$2:$C$4,2,FALSE)
&amp;VLOOKUP(AI20,cvt!$B$2:$C$4,2,FALSE)&amp;VLOOKUP(AJ20,cvt!$B$2:$C$4,2,FALSE)&amp;VLOOKUP(AK20,cvt!$B$2:$C$4,2,FALSE)
&amp;VLOOKUP(AL20,cvt!$B$2:$C$4,2,FALSE)&amp;VLOOKUP(AM20,cvt!$B$2:$C$4,2,FALSE)&amp;VLOOKUP(AN20,cvt!$B$2:$C$4,2,FALSE)</f>
        <v>〇×〇×〇×--〇</v>
      </c>
      <c r="AF20" s="17">
        <f t="shared" ca="1" si="14"/>
        <v>1</v>
      </c>
      <c r="AG20" s="7">
        <f t="shared" ca="1" si="15"/>
        <v>-1</v>
      </c>
      <c r="AH20" s="7">
        <f t="shared" ca="1" si="16"/>
        <v>1</v>
      </c>
      <c r="AI20" s="17">
        <f t="shared" ca="1" si="17"/>
        <v>-1</v>
      </c>
      <c r="AJ20" s="7">
        <f t="shared" ca="1" si="18"/>
        <v>1</v>
      </c>
      <c r="AK20" s="18">
        <f t="shared" ca="1" si="19"/>
        <v>-1</v>
      </c>
      <c r="AL20" s="7">
        <f t="shared" ca="1" si="20"/>
        <v>0</v>
      </c>
      <c r="AM20" s="7">
        <f t="shared" ca="1" si="21"/>
        <v>0</v>
      </c>
      <c r="AN20" s="18">
        <f t="shared" ca="1" si="22"/>
        <v>1</v>
      </c>
      <c r="AO20" s="7">
        <f t="shared" ca="1" si="115"/>
        <v>1</v>
      </c>
      <c r="AP20" s="50" t="b">
        <f t="shared" ca="1" si="87"/>
        <v>1</v>
      </c>
      <c r="AS20" s="22">
        <f t="shared" ca="1" si="88"/>
        <v>0</v>
      </c>
      <c r="AT20" s="7">
        <f t="shared" ca="1" si="23"/>
        <v>0</v>
      </c>
      <c r="AU20" s="7">
        <f t="shared" ca="1" si="24"/>
        <v>0</v>
      </c>
      <c r="AV20" s="7">
        <f t="shared" ca="1" si="25"/>
        <v>0</v>
      </c>
      <c r="AW20" s="7">
        <f t="shared" ca="1" si="26"/>
        <v>0</v>
      </c>
      <c r="AX20" s="7">
        <f t="shared" ca="1" si="27"/>
        <v>0</v>
      </c>
      <c r="AY20" s="7">
        <f t="shared" ca="1" si="28"/>
        <v>0</v>
      </c>
      <c r="AZ20" s="7">
        <f t="shared" ca="1" si="29"/>
        <v>0</v>
      </c>
      <c r="BA20" s="18">
        <f t="shared" ca="1" si="30"/>
        <v>0</v>
      </c>
      <c r="BB20" s="295">
        <f t="shared" ca="1" si="89"/>
        <v>1</v>
      </c>
      <c r="BD20" s="132"/>
      <c r="BE20" s="297">
        <f t="shared" ca="1" si="90"/>
        <v>1</v>
      </c>
      <c r="BF20" s="298">
        <f t="shared" ca="1" si="31"/>
        <v>0.65029522127322903</v>
      </c>
      <c r="BG20" s="298">
        <f t="shared" ca="1" si="32"/>
        <v>0.66028983545318687</v>
      </c>
      <c r="BH20" s="318">
        <f t="shared" ca="1" si="33"/>
        <v>0.64972655813153501</v>
      </c>
      <c r="BI20" s="298">
        <f t="shared" ca="1" si="34"/>
        <v>0.65002804502111444</v>
      </c>
      <c r="BJ20" s="299">
        <f t="shared" ca="1" si="35"/>
        <v>0.65029320640965171</v>
      </c>
      <c r="BK20" s="298">
        <f t="shared" ca="1" si="36"/>
        <v>0.64942668056342145</v>
      </c>
      <c r="BL20" s="298">
        <f t="shared" ca="1" si="37"/>
        <v>0.61083952513994022</v>
      </c>
      <c r="BM20" s="299">
        <f t="shared" ca="1" si="38"/>
        <v>0.6508682169276182</v>
      </c>
      <c r="BN20" s="295">
        <f t="shared" ca="1" si="39"/>
        <v>0.17402001625314881</v>
      </c>
      <c r="BO20" s="248">
        <f t="shared" ca="1" si="91"/>
        <v>-2.2535161742124597E-5</v>
      </c>
      <c r="BQ20" s="304">
        <f t="shared" ca="1" si="92"/>
        <v>0.42412001625314877</v>
      </c>
      <c r="BR20" s="297">
        <f t="shared" ca="1" si="93"/>
        <v>0</v>
      </c>
      <c r="BS20" s="298">
        <f t="shared" ca="1" si="40"/>
        <v>0</v>
      </c>
      <c r="BT20" s="298">
        <f t="shared" ca="1" si="41"/>
        <v>0</v>
      </c>
      <c r="BU20" s="318">
        <f t="shared" ca="1" si="42"/>
        <v>0</v>
      </c>
      <c r="BV20" s="298">
        <f t="shared" ca="1" si="43"/>
        <v>0</v>
      </c>
      <c r="BW20" s="299">
        <f t="shared" ca="1" si="44"/>
        <v>0</v>
      </c>
      <c r="BX20" s="298">
        <f t="shared" ca="1" si="45"/>
        <v>0</v>
      </c>
      <c r="BY20" s="298">
        <f t="shared" ca="1" si="46"/>
        <v>0</v>
      </c>
      <c r="BZ20" s="298">
        <f t="shared" ca="1" si="47"/>
        <v>0</v>
      </c>
      <c r="CA20" s="315">
        <f t="shared" ca="1" si="48"/>
        <v>0.42412001625314877</v>
      </c>
      <c r="CC20" s="52"/>
      <c r="CD20" s="306">
        <f t="shared" ca="1" si="94"/>
        <v>0</v>
      </c>
      <c r="CE20" s="15">
        <f t="shared" ca="1" si="49"/>
        <v>0</v>
      </c>
      <c r="CF20" s="15">
        <f t="shared" ca="1" si="50"/>
        <v>0</v>
      </c>
      <c r="CG20" s="286">
        <f t="shared" ca="1" si="51"/>
        <v>0</v>
      </c>
      <c r="CH20" s="15">
        <f t="shared" ca="1" si="52"/>
        <v>0</v>
      </c>
      <c r="CI20" s="288">
        <f t="shared" ca="1" si="53"/>
        <v>0</v>
      </c>
      <c r="CJ20" s="15">
        <f t="shared" ca="1" si="54"/>
        <v>0</v>
      </c>
      <c r="CK20" s="15">
        <f t="shared" ca="1" si="55"/>
        <v>0</v>
      </c>
      <c r="CL20" s="15">
        <f t="shared" ca="1" si="56"/>
        <v>0</v>
      </c>
      <c r="CM20" s="313">
        <f t="shared" ca="1" si="57"/>
        <v>1</v>
      </c>
      <c r="CO20" s="320">
        <f t="shared" ca="1" si="95"/>
        <v>9</v>
      </c>
      <c r="CP20" s="22">
        <f ca="1">COUNTIFS($C$10:$C19,"&lt;"&amp;$C20,$M$10:$M19,$D20&amp;"_"&amp;CP$9)</f>
        <v>0</v>
      </c>
      <c r="CQ20" s="7">
        <f ca="1">COUNTIFS($C$10:$C19,"&lt;"&amp;$C20,$M$10:$M19,$D20&amp;"_"&amp;CQ$9)</f>
        <v>0</v>
      </c>
      <c r="CR20" s="7">
        <f ca="1">COUNTIFS($C$10:$C19,"&lt;"&amp;$C20,$M$10:$M19,$D20&amp;"_"&amp;CR$9)</f>
        <v>0</v>
      </c>
      <c r="CS20" s="17">
        <f ca="1">COUNTIFS($C$10:$C19,"&lt;"&amp;$C20,$M$10:$M19,$D20&amp;"_"&amp;CS$9)</f>
        <v>0</v>
      </c>
      <c r="CT20" s="7">
        <f ca="1">COUNTIFS($C$10:$C19,"&lt;"&amp;$C20,$M$10:$M19,$D20&amp;"_"&amp;CT$9)</f>
        <v>0</v>
      </c>
      <c r="CU20" s="18">
        <f ca="1">COUNTIFS($C$10:$C19,"&lt;"&amp;$C20,$M$10:$M19,$D20&amp;"_"&amp;CU$9)</f>
        <v>0</v>
      </c>
      <c r="CV20" s="7">
        <f ca="1">COUNTIFS($C$10:$C19,"&lt;"&amp;$C20,$M$10:$M19,$D20&amp;"_"&amp;CV$9)</f>
        <v>0</v>
      </c>
      <c r="CW20" s="7">
        <f ca="1">COUNTIFS($C$10:$C19,"&lt;"&amp;$C20,$M$10:$M19,$D20&amp;"_"&amp;CW$9)</f>
        <v>0</v>
      </c>
      <c r="CX20" s="7">
        <f ca="1">COUNTIFS($C$10:$C19,"&lt;"&amp;$C20,$M$10:$M19,$D20&amp;"_"&amp;CX$9)</f>
        <v>0</v>
      </c>
      <c r="CY20" s="221">
        <f ca="1">COUNTIFS($C$10:$C19,"&lt;"&amp;$C20,$M$10:$M19,$D20&amp;"_"&amp;CY$9)</f>
        <v>9</v>
      </c>
      <c r="DA20" s="20"/>
      <c r="DB20" s="308">
        <f ca="1">IF(CP20=0,0,SUMIFS($P$10:$P19, $C$10:$C19,"&lt;"&amp;$C20, $M$10:$M19,$D20&amp;"_"&amp;DB$9)/CP20)</f>
        <v>0</v>
      </c>
      <c r="DC20" s="263">
        <f ca="1">IF(CQ20=0,0,SUMIFS($P$10:$P19, $C$10:$C19,"&lt;"&amp;$C20, $M$10:$M19,$D20&amp;"_"&amp;DC$9)/CQ20)</f>
        <v>0</v>
      </c>
      <c r="DD20" s="263">
        <f ca="1">IF(CR20=0,0,SUMIFS($P$10:$P19, $C$10:$C19,"&lt;"&amp;$C20, $M$10:$M19,$D20&amp;"_"&amp;DD$9)/CR20)</f>
        <v>0</v>
      </c>
      <c r="DE20" s="262">
        <f ca="1">IF(CS20=0,0,SUMIFS($P$10:$P19, $C$10:$C19,"&lt;"&amp;$C20, $M$10:$M19,$D20&amp;"_"&amp;DE$9)/CS20)</f>
        <v>0</v>
      </c>
      <c r="DF20" s="263">
        <f ca="1">IF(CT20=0,0,SUMIFS($P$10:$P19, $C$10:$C19,"&lt;"&amp;$C20, $M$10:$M19,$D20&amp;"_"&amp;DF$9)/CT20)</f>
        <v>0</v>
      </c>
      <c r="DG20" s="310">
        <f ca="1">IF(CU20=0,0,SUMIFS($P$10:$P19, $C$10:$C19,"&lt;"&amp;$C20, $M$10:$M19,$D20&amp;"_"&amp;DG$9)/CU20)</f>
        <v>0</v>
      </c>
      <c r="DH20" s="263">
        <f ca="1">IF(CV20=0,0,SUMIFS($P$10:$P19, $C$10:$C19,"&lt;"&amp;$C20, $M$10:$M19,$D20&amp;"_"&amp;DH$9)/CV20)</f>
        <v>0</v>
      </c>
      <c r="DI20" s="263">
        <f ca="1">IF(CW20=0,0,SUMIFS($P$10:$P19, $C$10:$C19,"&lt;"&amp;$C20, $M$10:$M19,$D20&amp;"_"&amp;DI$9)/CW20)</f>
        <v>0</v>
      </c>
      <c r="DJ20" s="264">
        <f ca="1">IF(CX20=0,0,SUMIFS($P$10:$P19, $C$10:$C19,"&lt;"&amp;$C20, $M$10:$M19,$D20&amp;"_"&amp;DJ$9)/CX20)</f>
        <v>0</v>
      </c>
      <c r="DK20" s="264">
        <f ca="1">IF(CY20=0,0,SUMIFS($P$10:$P19, $C$10:$C19,"&lt;"&amp;$C20, $M$10:$M19,$D20&amp;"_"&amp;DK$9)/CY20)</f>
        <v>-1</v>
      </c>
      <c r="DM20" s="104"/>
      <c r="DN20" s="306">
        <f t="shared" ca="1" si="96"/>
        <v>-9999</v>
      </c>
      <c r="DO20" s="15">
        <f t="shared" ca="1" si="58"/>
        <v>-9999</v>
      </c>
      <c r="DP20" s="15">
        <f t="shared" ca="1" si="59"/>
        <v>-9999</v>
      </c>
      <c r="DQ20" s="15">
        <f t="shared" ca="1" si="60"/>
        <v>-9999</v>
      </c>
      <c r="DR20" s="15">
        <f t="shared" ca="1" si="61"/>
        <v>-9999</v>
      </c>
      <c r="DS20" s="15">
        <f t="shared" ca="1" si="62"/>
        <v>-9999</v>
      </c>
      <c r="DT20" s="15">
        <f t="shared" ca="1" si="63"/>
        <v>-9999</v>
      </c>
      <c r="DU20" s="15">
        <f t="shared" ca="1" si="64"/>
        <v>-9999</v>
      </c>
      <c r="DV20" s="52">
        <f t="shared" ca="1" si="65"/>
        <v>-9999</v>
      </c>
      <c r="DW20" s="313">
        <f t="shared" ca="1" si="66"/>
        <v>-0.7</v>
      </c>
      <c r="DX20" s="52"/>
      <c r="DY20" s="402">
        <f t="shared" ca="1" si="97"/>
        <v>9</v>
      </c>
      <c r="ED20" s="19">
        <f t="shared" ca="1" si="67"/>
        <v>-1</v>
      </c>
      <c r="EE20" s="1">
        <f t="shared" ca="1" si="68"/>
        <v>1</v>
      </c>
      <c r="EF20" s="1">
        <f t="shared" ca="1" si="69"/>
        <v>-1</v>
      </c>
      <c r="EG20" s="2">
        <f t="shared" ca="1" si="70"/>
        <v>1</v>
      </c>
      <c r="EH20" s="1">
        <f t="shared" ca="1" si="71"/>
        <v>-1</v>
      </c>
      <c r="EI20" s="3">
        <f t="shared" ca="1" si="72"/>
        <v>1</v>
      </c>
      <c r="EJ20" s="1">
        <f t="shared" ca="1" si="73"/>
        <v>0</v>
      </c>
      <c r="EK20" s="1">
        <f t="shared" ca="1" si="74"/>
        <v>0</v>
      </c>
      <c r="EL20" s="20">
        <f t="shared" ca="1" si="75"/>
        <v>-1</v>
      </c>
      <c r="EN20" s="86">
        <f ca="1">MAX(0, SUMPRODUCT($ED20:$EL20,OFFSET(DNN!$E$9:$M$9,EN$9,0)) + OFFSET(DNN!$D$9,EN$9,0))</f>
        <v>0</v>
      </c>
      <c r="EO20" s="84">
        <f ca="1">MAX(0, SUMPRODUCT($ED20:$EL20,OFFSET(DNN!$E$9:$M$9,EO$9,0)) + OFFSET(DNN!$D$9,EO$9,0))</f>
        <v>7.2346022384755949E-3</v>
      </c>
      <c r="EP20" s="84">
        <f ca="1">MAX(0, SUMPRODUCT($ED20:$EL20,OFFSET(DNN!$E$9:$M$9,EP$9,0)) + OFFSET(DNN!$D$9,EP$9,0))</f>
        <v>3.6951849750035152E-3</v>
      </c>
      <c r="EQ20" s="84">
        <f ca="1">MAX(0, SUMPRODUCT($ED20:$EL20,OFFSET(DNN!$E$9:$M$9,EQ$9,0)) + OFFSET(DNN!$D$9,EQ$9,0))</f>
        <v>0</v>
      </c>
      <c r="ER20" s="85">
        <f ca="1">MAX(0, SUMPRODUCT($ED20:$EL20,OFFSET(DNN!$E$9:$M$9,ER$9,0)) + OFFSET(DNN!$D$9,ER$9,0))</f>
        <v>0</v>
      </c>
      <c r="ET20" s="86">
        <f ca="1">MAX(0, SUMPRODUCT($EN20:$ER20,OFFSET(DNN!$Q$9:$U$9,ET$9,0)) + OFFSET(DNN!$P$9,ET$9,0))</f>
        <v>4.3954959453478351E-4</v>
      </c>
      <c r="EU20" s="84">
        <f ca="1">MAX(0, SUMPRODUCT($EN20:$ER20,OFFSET(DNN!$Q$9:$U$9,EU$9,0)) + OFFSET(DNN!$P$9,EU$9,0))</f>
        <v>0</v>
      </c>
      <c r="EV20" s="84">
        <f ca="1">MAX(0, SUMPRODUCT($EN20:$ER20,OFFSET(DNN!$Q$9:$U$9,EV$9,0)) + OFFSET(DNN!$P$9,EV$9,0))</f>
        <v>1.2810123361902579E-3</v>
      </c>
      <c r="EW20" s="84">
        <f ca="1">MAX(0, SUMPRODUCT($EN20:$ER20,OFFSET(DNN!$Q$9:$U$9,EW$9,0)) + OFFSET(DNN!$P$9,EW$9,0))</f>
        <v>7.8382123007882457E-4</v>
      </c>
      <c r="EX20" s="85">
        <f ca="1">MAX(0, SUMPRODUCT($EN20:$ER20,OFFSET(DNN!$Q$9:$U$9,EX$9,0)) + OFFSET(DNN!$P$9,EX$9,0))</f>
        <v>0</v>
      </c>
      <c r="EZ20" s="111">
        <f ca="1">SUMPRODUCT($ET20:$EX20,OFFSET(DNN!$Y$9:$AC$9,EZ$9,0)) + OFFSET(DNN!$X$9,EZ$9,0)</f>
        <v>0.43031618918982212</v>
      </c>
      <c r="FA20" s="97">
        <f ca="1">SUMPRODUCT($ET20:$EX20,OFFSET(DNN!$Y$9:$AC$9,FA$9,0)) + OFFSET(DNN!$X$9,FA$9,0)</f>
        <v>-1.2643439935754107E-5</v>
      </c>
      <c r="FB20" s="97">
        <f ca="1">SUMPRODUCT($ET20:$EX20,OFFSET(DNN!$Y$9:$AC$9,FB$9,0)) + OFFSET(DNN!$X$9,FB$9,0)</f>
        <v>1.5239793458415756E-2</v>
      </c>
      <c r="FC20" s="97">
        <f ca="1">SUMPRODUCT($ET20:$EX20,OFFSET(DNN!$Y$9:$AC$9,FC$9,0)) + OFFSET(DNN!$X$9,FC$9,0)</f>
        <v>-8.8749521084055777E-4</v>
      </c>
      <c r="FD20" s="97">
        <f ca="1">SUMPRODUCT($ET20:$EX20,OFFSET(DNN!$Y$9:$AC$9,FD$9,0)) + OFFSET(DNN!$X$9,FD$9,0)</f>
        <v>-4.235816470721872E-4</v>
      </c>
      <c r="FE20" s="97">
        <f ca="1">SUMPRODUCT($ET20:$EX20,OFFSET(DNN!$Y$9:$AC$9,FE$9,0)) + OFFSET(DNN!$X$9,FE$9,0)</f>
        <v>-1.574182761064886E-5</v>
      </c>
      <c r="FF20" s="97">
        <f ca="1">SUMPRODUCT($ET20:$EX20,OFFSET(DNN!$Y$9:$AC$9,FF$9,0)) + OFFSET(DNN!$X$9,FF$9,0)</f>
        <v>-1.3491460223194656E-3</v>
      </c>
      <c r="FG20" s="97">
        <f ca="1">SUMPRODUCT($ET20:$EX20,OFFSET(DNN!$Y$9:$AC$9,FG$9,0)) + OFFSET(DNN!$X$9,FG$9,0)</f>
        <v>-6.2604808096248285E-2</v>
      </c>
      <c r="FH20" s="97">
        <f ca="1">SUMPRODUCT($ET20:$EX20,OFFSET(DNN!$Y$9:$AC$9,FH$9,0)) + OFFSET(DNN!$X$9,FH$9,0)</f>
        <v>8.6810016937029894E-4</v>
      </c>
      <c r="FI20" s="108">
        <f ca="1">SUMPRODUCT($ET20:$EX20,OFFSET(DNN!$Y$9:$AC$9,FI$9,0)) + OFFSET(DNN!$X$9,FI$9,0)</f>
        <v>-1.3182687612562751</v>
      </c>
      <c r="FJ20" s="98">
        <f ca="1">SUMPRODUCT($ET20:$EX20,OFFSET(DNN!$Y$9:$AC$9,FJ$9,0)) + OFFSET(DNN!$X$9,FJ$9,0)</f>
        <v>-2.2535161745939301E-5</v>
      </c>
      <c r="FL20" s="415">
        <f t="shared" ca="1" si="98"/>
        <v>0.43031618918982212</v>
      </c>
      <c r="FM20" s="130">
        <f t="shared" ca="1" si="99"/>
        <v>1</v>
      </c>
      <c r="FN20" s="131">
        <f t="shared" ca="1" si="100"/>
        <v>0.65029522127322903</v>
      </c>
      <c r="FO20" s="131">
        <f t="shared" ca="1" si="101"/>
        <v>0.66028983545318687</v>
      </c>
      <c r="FP20" s="131">
        <f t="shared" ca="1" si="102"/>
        <v>0.64972655813153501</v>
      </c>
      <c r="FQ20" s="131">
        <f t="shared" ca="1" si="103"/>
        <v>0.65002804502111444</v>
      </c>
      <c r="FR20" s="131">
        <f t="shared" ca="1" si="104"/>
        <v>0.65029320640965171</v>
      </c>
      <c r="FS20" s="131">
        <f t="shared" ca="1" si="105"/>
        <v>0.64942668056342145</v>
      </c>
      <c r="FT20" s="131">
        <f t="shared" ca="1" si="106"/>
        <v>0.61083952513994022</v>
      </c>
      <c r="FU20" s="132">
        <f t="shared" ca="1" si="107"/>
        <v>0.6508682169276182</v>
      </c>
      <c r="FV20" s="131">
        <f t="shared" ca="1" si="108"/>
        <v>0.17402001625314881</v>
      </c>
      <c r="FW20" s="83">
        <f t="shared" ca="1" si="109"/>
        <v>-2.2535161742124597E-5</v>
      </c>
    </row>
    <row r="21" spans="1:179">
      <c r="A21" s="19">
        <f t="shared" si="117"/>
        <v>11</v>
      </c>
      <c r="B21" s="1">
        <f t="shared" ca="1" si="111"/>
        <v>0</v>
      </c>
      <c r="C21" s="20">
        <f t="shared" ca="1" si="112"/>
        <v>11</v>
      </c>
      <c r="D21" s="19" t="str">
        <f t="shared" ca="1" si="113"/>
        <v>〇×〇×〇×--〇</v>
      </c>
      <c r="E21" s="7">
        <f t="shared" ca="1" si="77"/>
        <v>9</v>
      </c>
      <c r="F21" s="7">
        <f t="shared" ca="1" si="78"/>
        <v>1</v>
      </c>
      <c r="G21" s="1" t="str">
        <f t="shared" ca="1" si="116"/>
        <v>〇×〇×〇×--〇</v>
      </c>
      <c r="H21" s="20" t="b">
        <f t="shared" ca="1" si="80"/>
        <v>1</v>
      </c>
      <c r="I21" s="22">
        <f t="shared" ca="1" si="114"/>
        <v>-1</v>
      </c>
      <c r="J21" s="1" t="b">
        <f ca="1">(1&lt;COUNTIF(D$10:D21,D21))</f>
        <v>1</v>
      </c>
      <c r="K21" s="1" t="b">
        <f t="shared" ca="1" si="81"/>
        <v>1</v>
      </c>
      <c r="L21" s="7">
        <f ca="1">MATCH(TRUE,K21:K$1048576,FALSE)-1</f>
        <v>0</v>
      </c>
      <c r="M21" s="24" t="str">
        <f t="shared" ca="1" si="13"/>
        <v>〇×〇×〇×--〇_9</v>
      </c>
      <c r="N21" s="25">
        <f t="shared" ca="1" si="82"/>
        <v>-2.2535161742124597E-5</v>
      </c>
      <c r="O21" s="26">
        <f t="shared" ca="1" si="83"/>
        <v>-1</v>
      </c>
      <c r="P21" s="27">
        <f t="shared" ca="1" si="84"/>
        <v>-1</v>
      </c>
      <c r="R21" s="41" t="str">
        <f ca="1">VLOOKUP(S21,cvt!$B$2:$C$4,2,FALSE)&amp;VLOOKUP(T21,cvt!$B$2:$C$4,2,FALSE)&amp;VLOOKUP(U21,cvt!$B$2:$C$4,2,FALSE)
&amp;VLOOKUP(V21,cvt!$B$2:$C$4,2,FALSE)&amp;VLOOKUP(W21,cvt!$B$2:$C$4,2,FALSE)&amp;VLOOKUP(X21,cvt!$B$2:$C$4,2,FALSE)
&amp;VLOOKUP(Y21,cvt!$B$2:$C$4,2,FALSE)&amp;VLOOKUP(Z21,cvt!$B$2:$C$4,2,FALSE)&amp;VLOOKUP(AA21,cvt!$B$2:$C$4,2,FALSE)</f>
        <v>〇×〇×〇×--〇</v>
      </c>
      <c r="S21" s="7">
        <f ca="1">VLOOKUP(MID($D21,S$9+1,1), cvt!$A$2:$B$4,2, FALSE)</f>
        <v>1</v>
      </c>
      <c r="T21" s="7">
        <f ca="1">VLOOKUP(MID($D21,T$9+1,1), cvt!$A$2:$B$4,2, FALSE)</f>
        <v>-1</v>
      </c>
      <c r="U21" s="7">
        <f ca="1">VLOOKUP(MID($D21,U$9+1,1), cvt!$A$2:$B$4,2, FALSE)</f>
        <v>1</v>
      </c>
      <c r="V21" s="17">
        <f ca="1">VLOOKUP(MID($D21,V$9+1,1), cvt!$A$2:$B$4,2, FALSE)</f>
        <v>-1</v>
      </c>
      <c r="W21" s="7">
        <f ca="1">VLOOKUP(MID($D21,W$9+1,1), cvt!$A$2:$B$4,2, FALSE)</f>
        <v>1</v>
      </c>
      <c r="X21" s="18">
        <f ca="1">VLOOKUP(MID($D21,X$9+1,1), cvt!$A$2:$B$4,2, FALSE)</f>
        <v>-1</v>
      </c>
      <c r="Y21" s="7">
        <f ca="1">VLOOKUP(MID($D21,Y$9+1,1), cvt!$A$2:$B$4,2, FALSE)</f>
        <v>0</v>
      </c>
      <c r="Z21" s="7">
        <f ca="1">VLOOKUP(MID($D21,Z$9+1,1), cvt!$A$2:$B$4,2, FALSE)</f>
        <v>0</v>
      </c>
      <c r="AA21" s="42">
        <f ca="1">VLOOKUP(MID($D21,AA$9+1,1), cvt!$A$2:$B$4,2, FALSE)</f>
        <v>1</v>
      </c>
      <c r="AB21" s="7">
        <f t="shared" ca="1" si="85"/>
        <v>1</v>
      </c>
      <c r="AC21" s="50" t="b">
        <f t="shared" ca="1" si="86"/>
        <v>1</v>
      </c>
      <c r="AE21" s="19" t="str">
        <f ca="1">VLOOKUP(AF21,cvt!$B$2:$C$4,2,FALSE)&amp;VLOOKUP(AG21,cvt!$B$2:$C$4,2,FALSE)&amp;VLOOKUP(AH21,cvt!$B$2:$C$4,2,FALSE)
&amp;VLOOKUP(AI21,cvt!$B$2:$C$4,2,FALSE)&amp;VLOOKUP(AJ21,cvt!$B$2:$C$4,2,FALSE)&amp;VLOOKUP(AK21,cvt!$B$2:$C$4,2,FALSE)
&amp;VLOOKUP(AL21,cvt!$B$2:$C$4,2,FALSE)&amp;VLOOKUP(AM21,cvt!$B$2:$C$4,2,FALSE)&amp;VLOOKUP(AN21,cvt!$B$2:$C$4,2,FALSE)</f>
        <v>〇×〇×〇×--〇</v>
      </c>
      <c r="AF21" s="17">
        <f t="shared" ca="1" si="14"/>
        <v>1</v>
      </c>
      <c r="AG21" s="7">
        <f t="shared" ca="1" si="15"/>
        <v>-1</v>
      </c>
      <c r="AH21" s="7">
        <f t="shared" ca="1" si="16"/>
        <v>1</v>
      </c>
      <c r="AI21" s="17">
        <f t="shared" ca="1" si="17"/>
        <v>-1</v>
      </c>
      <c r="AJ21" s="7">
        <f t="shared" ca="1" si="18"/>
        <v>1</v>
      </c>
      <c r="AK21" s="18">
        <f t="shared" ca="1" si="19"/>
        <v>-1</v>
      </c>
      <c r="AL21" s="7">
        <f t="shared" ca="1" si="20"/>
        <v>0</v>
      </c>
      <c r="AM21" s="7">
        <f t="shared" ca="1" si="21"/>
        <v>0</v>
      </c>
      <c r="AN21" s="18">
        <f t="shared" ca="1" si="22"/>
        <v>1</v>
      </c>
      <c r="AO21" s="7">
        <f t="shared" ca="1" si="115"/>
        <v>1</v>
      </c>
      <c r="AP21" s="50" t="b">
        <f t="shared" ca="1" si="87"/>
        <v>1</v>
      </c>
      <c r="AS21" s="22">
        <f t="shared" ca="1" si="88"/>
        <v>0</v>
      </c>
      <c r="AT21" s="7">
        <f t="shared" ca="1" si="23"/>
        <v>0</v>
      </c>
      <c r="AU21" s="7">
        <f t="shared" ca="1" si="24"/>
        <v>0</v>
      </c>
      <c r="AV21" s="7">
        <f t="shared" ca="1" si="25"/>
        <v>0</v>
      </c>
      <c r="AW21" s="7">
        <f t="shared" ca="1" si="26"/>
        <v>0</v>
      </c>
      <c r="AX21" s="7">
        <f t="shared" ca="1" si="27"/>
        <v>0</v>
      </c>
      <c r="AY21" s="7">
        <f t="shared" ca="1" si="28"/>
        <v>0</v>
      </c>
      <c r="AZ21" s="7">
        <f t="shared" ca="1" si="29"/>
        <v>0</v>
      </c>
      <c r="BA21" s="18">
        <f t="shared" ca="1" si="30"/>
        <v>0</v>
      </c>
      <c r="BB21" s="295">
        <f t="shared" ca="1" si="89"/>
        <v>1</v>
      </c>
      <c r="BD21" s="132"/>
      <c r="BE21" s="297">
        <f t="shared" ca="1" si="90"/>
        <v>1</v>
      </c>
      <c r="BF21" s="298">
        <f t="shared" ca="1" si="31"/>
        <v>0.65029522127322903</v>
      </c>
      <c r="BG21" s="298">
        <f t="shared" ca="1" si="32"/>
        <v>0.66028983545318687</v>
      </c>
      <c r="BH21" s="318">
        <f t="shared" ca="1" si="33"/>
        <v>0.64972655813153501</v>
      </c>
      <c r="BI21" s="298">
        <f t="shared" ca="1" si="34"/>
        <v>0.65002804502111444</v>
      </c>
      <c r="BJ21" s="299">
        <f t="shared" ca="1" si="35"/>
        <v>0.65029320640965171</v>
      </c>
      <c r="BK21" s="298">
        <f t="shared" ca="1" si="36"/>
        <v>0.64942668056342145</v>
      </c>
      <c r="BL21" s="298">
        <f t="shared" ca="1" si="37"/>
        <v>0.61083952513994022</v>
      </c>
      <c r="BM21" s="299">
        <f t="shared" ca="1" si="38"/>
        <v>0.6508682169276182</v>
      </c>
      <c r="BN21" s="295">
        <f t="shared" ca="1" si="39"/>
        <v>0.17402001625314881</v>
      </c>
      <c r="BO21" s="248">
        <f t="shared" ca="1" si="91"/>
        <v>-2.2535161742124597E-5</v>
      </c>
      <c r="BQ21" s="304">
        <f t="shared" ca="1" si="92"/>
        <v>0.1741200162531488</v>
      </c>
      <c r="BR21" s="297">
        <f t="shared" ca="1" si="93"/>
        <v>0</v>
      </c>
      <c r="BS21" s="298">
        <f t="shared" ca="1" si="40"/>
        <v>0</v>
      </c>
      <c r="BT21" s="298">
        <f t="shared" ca="1" si="41"/>
        <v>0</v>
      </c>
      <c r="BU21" s="318">
        <f t="shared" ca="1" si="42"/>
        <v>0</v>
      </c>
      <c r="BV21" s="298">
        <f t="shared" ca="1" si="43"/>
        <v>0</v>
      </c>
      <c r="BW21" s="299">
        <f t="shared" ca="1" si="44"/>
        <v>0</v>
      </c>
      <c r="BX21" s="298">
        <f t="shared" ca="1" si="45"/>
        <v>0</v>
      </c>
      <c r="BY21" s="298">
        <f t="shared" ca="1" si="46"/>
        <v>0</v>
      </c>
      <c r="BZ21" s="298">
        <f t="shared" ca="1" si="47"/>
        <v>0</v>
      </c>
      <c r="CA21" s="315">
        <f t="shared" ca="1" si="48"/>
        <v>0.1741200162531488</v>
      </c>
      <c r="CC21" s="52"/>
      <c r="CD21" s="306">
        <f t="shared" ca="1" si="94"/>
        <v>0</v>
      </c>
      <c r="CE21" s="15">
        <f t="shared" ca="1" si="49"/>
        <v>0</v>
      </c>
      <c r="CF21" s="15">
        <f t="shared" ca="1" si="50"/>
        <v>0</v>
      </c>
      <c r="CG21" s="286">
        <f t="shared" ca="1" si="51"/>
        <v>0</v>
      </c>
      <c r="CH21" s="15">
        <f t="shared" ca="1" si="52"/>
        <v>0</v>
      </c>
      <c r="CI21" s="288">
        <f t="shared" ca="1" si="53"/>
        <v>0</v>
      </c>
      <c r="CJ21" s="15">
        <f t="shared" ca="1" si="54"/>
        <v>0</v>
      </c>
      <c r="CK21" s="15">
        <f t="shared" ca="1" si="55"/>
        <v>0</v>
      </c>
      <c r="CL21" s="15">
        <f t="shared" ca="1" si="56"/>
        <v>0</v>
      </c>
      <c r="CM21" s="313">
        <f t="shared" ca="1" si="57"/>
        <v>1</v>
      </c>
      <c r="CO21" s="320">
        <f t="shared" ca="1" si="95"/>
        <v>10</v>
      </c>
      <c r="CP21" s="22">
        <f ca="1">COUNTIFS($C$10:$C20,"&lt;"&amp;$C21,$M$10:$M20,$D21&amp;"_"&amp;CP$9)</f>
        <v>0</v>
      </c>
      <c r="CQ21" s="7">
        <f ca="1">COUNTIFS($C$10:$C20,"&lt;"&amp;$C21,$M$10:$M20,$D21&amp;"_"&amp;CQ$9)</f>
        <v>0</v>
      </c>
      <c r="CR21" s="7">
        <f ca="1">COUNTIFS($C$10:$C20,"&lt;"&amp;$C21,$M$10:$M20,$D21&amp;"_"&amp;CR$9)</f>
        <v>0</v>
      </c>
      <c r="CS21" s="17">
        <f ca="1">COUNTIFS($C$10:$C20,"&lt;"&amp;$C21,$M$10:$M20,$D21&amp;"_"&amp;CS$9)</f>
        <v>0</v>
      </c>
      <c r="CT21" s="7">
        <f ca="1">COUNTIFS($C$10:$C20,"&lt;"&amp;$C21,$M$10:$M20,$D21&amp;"_"&amp;CT$9)</f>
        <v>0</v>
      </c>
      <c r="CU21" s="18">
        <f ca="1">COUNTIFS($C$10:$C20,"&lt;"&amp;$C21,$M$10:$M20,$D21&amp;"_"&amp;CU$9)</f>
        <v>0</v>
      </c>
      <c r="CV21" s="7">
        <f ca="1">COUNTIFS($C$10:$C20,"&lt;"&amp;$C21,$M$10:$M20,$D21&amp;"_"&amp;CV$9)</f>
        <v>0</v>
      </c>
      <c r="CW21" s="7">
        <f ca="1">COUNTIFS($C$10:$C20,"&lt;"&amp;$C21,$M$10:$M20,$D21&amp;"_"&amp;CW$9)</f>
        <v>0</v>
      </c>
      <c r="CX21" s="7">
        <f ca="1">COUNTIFS($C$10:$C20,"&lt;"&amp;$C21,$M$10:$M20,$D21&amp;"_"&amp;CX$9)</f>
        <v>0</v>
      </c>
      <c r="CY21" s="221">
        <f ca="1">COUNTIFS($C$10:$C20,"&lt;"&amp;$C21,$M$10:$M20,$D21&amp;"_"&amp;CY$9)</f>
        <v>10</v>
      </c>
      <c r="DA21" s="20"/>
      <c r="DB21" s="308">
        <f ca="1">IF(CP21=0,0,SUMIFS($P$10:$P20, $C$10:$C20,"&lt;"&amp;$C21, $M$10:$M20,$D21&amp;"_"&amp;DB$9)/CP21)</f>
        <v>0</v>
      </c>
      <c r="DC21" s="263">
        <f ca="1">IF(CQ21=0,0,SUMIFS($P$10:$P20, $C$10:$C20,"&lt;"&amp;$C21, $M$10:$M20,$D21&amp;"_"&amp;DC$9)/CQ21)</f>
        <v>0</v>
      </c>
      <c r="DD21" s="263">
        <f ca="1">IF(CR21=0,0,SUMIFS($P$10:$P20, $C$10:$C20,"&lt;"&amp;$C21, $M$10:$M20,$D21&amp;"_"&amp;DD$9)/CR21)</f>
        <v>0</v>
      </c>
      <c r="DE21" s="262">
        <f ca="1">IF(CS21=0,0,SUMIFS($P$10:$P20, $C$10:$C20,"&lt;"&amp;$C21, $M$10:$M20,$D21&amp;"_"&amp;DE$9)/CS21)</f>
        <v>0</v>
      </c>
      <c r="DF21" s="263">
        <f ca="1">IF(CT21=0,0,SUMIFS($P$10:$P20, $C$10:$C20,"&lt;"&amp;$C21, $M$10:$M20,$D21&amp;"_"&amp;DF$9)/CT21)</f>
        <v>0</v>
      </c>
      <c r="DG21" s="310">
        <f ca="1">IF(CU21=0,0,SUMIFS($P$10:$P20, $C$10:$C20,"&lt;"&amp;$C21, $M$10:$M20,$D21&amp;"_"&amp;DG$9)/CU21)</f>
        <v>0</v>
      </c>
      <c r="DH21" s="263">
        <f ca="1">IF(CV21=0,0,SUMIFS($P$10:$P20, $C$10:$C20,"&lt;"&amp;$C21, $M$10:$M20,$D21&amp;"_"&amp;DH$9)/CV21)</f>
        <v>0</v>
      </c>
      <c r="DI21" s="263">
        <f ca="1">IF(CW21=0,0,SUMIFS($P$10:$P20, $C$10:$C20,"&lt;"&amp;$C21, $M$10:$M20,$D21&amp;"_"&amp;DI$9)/CW21)</f>
        <v>0</v>
      </c>
      <c r="DJ21" s="264">
        <f ca="1">IF(CX21=0,0,SUMIFS($P$10:$P20, $C$10:$C20,"&lt;"&amp;$C21, $M$10:$M20,$D21&amp;"_"&amp;DJ$9)/CX21)</f>
        <v>0</v>
      </c>
      <c r="DK21" s="264">
        <f ca="1">IF(CY21=0,0,SUMIFS($P$10:$P20, $C$10:$C20,"&lt;"&amp;$C21, $M$10:$M20,$D21&amp;"_"&amp;DK$9)/CY21)</f>
        <v>-1</v>
      </c>
      <c r="DM21" s="104"/>
      <c r="DN21" s="306">
        <f t="shared" ca="1" si="96"/>
        <v>-9999</v>
      </c>
      <c r="DO21" s="15">
        <f t="shared" ca="1" si="58"/>
        <v>-9999</v>
      </c>
      <c r="DP21" s="15">
        <f t="shared" ca="1" si="59"/>
        <v>-9999</v>
      </c>
      <c r="DQ21" s="15">
        <f t="shared" ca="1" si="60"/>
        <v>-9999</v>
      </c>
      <c r="DR21" s="15">
        <f t="shared" ca="1" si="61"/>
        <v>-9999</v>
      </c>
      <c r="DS21" s="15">
        <f t="shared" ca="1" si="62"/>
        <v>-9999</v>
      </c>
      <c r="DT21" s="15">
        <f t="shared" ca="1" si="63"/>
        <v>-9999</v>
      </c>
      <c r="DU21" s="15">
        <f t="shared" ca="1" si="64"/>
        <v>-9999</v>
      </c>
      <c r="DV21" s="52">
        <f t="shared" ca="1" si="65"/>
        <v>-9999</v>
      </c>
      <c r="DW21" s="313">
        <f t="shared" ca="1" si="66"/>
        <v>-0.71252021271196542</v>
      </c>
      <c r="DX21" s="52"/>
      <c r="DY21" s="402">
        <f t="shared" ca="1" si="97"/>
        <v>9</v>
      </c>
      <c r="ED21" s="19">
        <f t="shared" ca="1" si="67"/>
        <v>-1</v>
      </c>
      <c r="EE21" s="1">
        <f t="shared" ca="1" si="68"/>
        <v>1</v>
      </c>
      <c r="EF21" s="1">
        <f t="shared" ca="1" si="69"/>
        <v>-1</v>
      </c>
      <c r="EG21" s="2">
        <f t="shared" ca="1" si="70"/>
        <v>1</v>
      </c>
      <c r="EH21" s="1">
        <f t="shared" ca="1" si="71"/>
        <v>-1</v>
      </c>
      <c r="EI21" s="3">
        <f t="shared" ca="1" si="72"/>
        <v>1</v>
      </c>
      <c r="EJ21" s="1">
        <f t="shared" ca="1" si="73"/>
        <v>0</v>
      </c>
      <c r="EK21" s="1">
        <f t="shared" ca="1" si="74"/>
        <v>0</v>
      </c>
      <c r="EL21" s="20">
        <f t="shared" ca="1" si="75"/>
        <v>-1</v>
      </c>
      <c r="EN21" s="86">
        <f ca="1">MAX(0, SUMPRODUCT($ED21:$EL21,OFFSET(DNN!$E$9:$M$9,EN$9,0)) + OFFSET(DNN!$D$9,EN$9,0))</f>
        <v>0</v>
      </c>
      <c r="EO21" s="84">
        <f ca="1">MAX(0, SUMPRODUCT($ED21:$EL21,OFFSET(DNN!$E$9:$M$9,EO$9,0)) + OFFSET(DNN!$D$9,EO$9,0))</f>
        <v>7.2346022384755949E-3</v>
      </c>
      <c r="EP21" s="84">
        <f ca="1">MAX(0, SUMPRODUCT($ED21:$EL21,OFFSET(DNN!$E$9:$M$9,EP$9,0)) + OFFSET(DNN!$D$9,EP$9,0))</f>
        <v>3.6951849750035152E-3</v>
      </c>
      <c r="EQ21" s="84">
        <f ca="1">MAX(0, SUMPRODUCT($ED21:$EL21,OFFSET(DNN!$E$9:$M$9,EQ$9,0)) + OFFSET(DNN!$D$9,EQ$9,0))</f>
        <v>0</v>
      </c>
      <c r="ER21" s="85">
        <f ca="1">MAX(0, SUMPRODUCT($ED21:$EL21,OFFSET(DNN!$E$9:$M$9,ER$9,0)) + OFFSET(DNN!$D$9,ER$9,0))</f>
        <v>0</v>
      </c>
      <c r="ET21" s="86">
        <f ca="1">MAX(0, SUMPRODUCT($EN21:$ER21,OFFSET(DNN!$Q$9:$U$9,ET$9,0)) + OFFSET(DNN!$P$9,ET$9,0))</f>
        <v>4.3954959453478351E-4</v>
      </c>
      <c r="EU21" s="84">
        <f ca="1">MAX(0, SUMPRODUCT($EN21:$ER21,OFFSET(DNN!$Q$9:$U$9,EU$9,0)) + OFFSET(DNN!$P$9,EU$9,0))</f>
        <v>0</v>
      </c>
      <c r="EV21" s="84">
        <f ca="1">MAX(0, SUMPRODUCT($EN21:$ER21,OFFSET(DNN!$Q$9:$U$9,EV$9,0)) + OFFSET(DNN!$P$9,EV$9,0))</f>
        <v>1.2810123361902579E-3</v>
      </c>
      <c r="EW21" s="84">
        <f ca="1">MAX(0, SUMPRODUCT($EN21:$ER21,OFFSET(DNN!$Q$9:$U$9,EW$9,0)) + OFFSET(DNN!$P$9,EW$9,0))</f>
        <v>7.8382123007882457E-4</v>
      </c>
      <c r="EX21" s="85">
        <f ca="1">MAX(0, SUMPRODUCT($EN21:$ER21,OFFSET(DNN!$Q$9:$U$9,EX$9,0)) + OFFSET(DNN!$P$9,EX$9,0))</f>
        <v>0</v>
      </c>
      <c r="EZ21" s="111">
        <f ca="1">SUMPRODUCT($ET21:$EX21,OFFSET(DNN!$Y$9:$AC$9,EZ$9,0)) + OFFSET(DNN!$X$9,EZ$9,0)</f>
        <v>0.43031618918982212</v>
      </c>
      <c r="FA21" s="97">
        <f ca="1">SUMPRODUCT($ET21:$EX21,OFFSET(DNN!$Y$9:$AC$9,FA$9,0)) + OFFSET(DNN!$X$9,FA$9,0)</f>
        <v>-1.2643439935754107E-5</v>
      </c>
      <c r="FB21" s="97">
        <f ca="1">SUMPRODUCT($ET21:$EX21,OFFSET(DNN!$Y$9:$AC$9,FB$9,0)) + OFFSET(DNN!$X$9,FB$9,0)</f>
        <v>1.5239793458415756E-2</v>
      </c>
      <c r="FC21" s="97">
        <f ca="1">SUMPRODUCT($ET21:$EX21,OFFSET(DNN!$Y$9:$AC$9,FC$9,0)) + OFFSET(DNN!$X$9,FC$9,0)</f>
        <v>-8.8749521084055777E-4</v>
      </c>
      <c r="FD21" s="97">
        <f ca="1">SUMPRODUCT($ET21:$EX21,OFFSET(DNN!$Y$9:$AC$9,FD$9,0)) + OFFSET(DNN!$X$9,FD$9,0)</f>
        <v>-4.235816470721872E-4</v>
      </c>
      <c r="FE21" s="97">
        <f ca="1">SUMPRODUCT($ET21:$EX21,OFFSET(DNN!$Y$9:$AC$9,FE$9,0)) + OFFSET(DNN!$X$9,FE$9,0)</f>
        <v>-1.574182761064886E-5</v>
      </c>
      <c r="FF21" s="97">
        <f ca="1">SUMPRODUCT($ET21:$EX21,OFFSET(DNN!$Y$9:$AC$9,FF$9,0)) + OFFSET(DNN!$X$9,FF$9,0)</f>
        <v>-1.3491460223194656E-3</v>
      </c>
      <c r="FG21" s="97">
        <f ca="1">SUMPRODUCT($ET21:$EX21,OFFSET(DNN!$Y$9:$AC$9,FG$9,0)) + OFFSET(DNN!$X$9,FG$9,0)</f>
        <v>-6.2604808096248285E-2</v>
      </c>
      <c r="FH21" s="97">
        <f ca="1">SUMPRODUCT($ET21:$EX21,OFFSET(DNN!$Y$9:$AC$9,FH$9,0)) + OFFSET(DNN!$X$9,FH$9,0)</f>
        <v>8.6810016937029894E-4</v>
      </c>
      <c r="FI21" s="108">
        <f ca="1">SUMPRODUCT($ET21:$EX21,OFFSET(DNN!$Y$9:$AC$9,FI$9,0)) + OFFSET(DNN!$X$9,FI$9,0)</f>
        <v>-1.3182687612562751</v>
      </c>
      <c r="FJ21" s="98">
        <f ca="1">SUMPRODUCT($ET21:$EX21,OFFSET(DNN!$Y$9:$AC$9,FJ$9,0)) + OFFSET(DNN!$X$9,FJ$9,0)</f>
        <v>-2.2535161745939301E-5</v>
      </c>
      <c r="FL21" s="415">
        <f t="shared" ca="1" si="98"/>
        <v>0.43031618918982212</v>
      </c>
      <c r="FM21" s="130">
        <f t="shared" ca="1" si="99"/>
        <v>1</v>
      </c>
      <c r="FN21" s="131">
        <f t="shared" ca="1" si="100"/>
        <v>0.65029522127322903</v>
      </c>
      <c r="FO21" s="131">
        <f t="shared" ca="1" si="101"/>
        <v>0.66028983545318687</v>
      </c>
      <c r="FP21" s="131">
        <f t="shared" ca="1" si="102"/>
        <v>0.64972655813153501</v>
      </c>
      <c r="FQ21" s="131">
        <f t="shared" ca="1" si="103"/>
        <v>0.65002804502111444</v>
      </c>
      <c r="FR21" s="131">
        <f t="shared" ca="1" si="104"/>
        <v>0.65029320640965171</v>
      </c>
      <c r="FS21" s="131">
        <f t="shared" ca="1" si="105"/>
        <v>0.64942668056342145</v>
      </c>
      <c r="FT21" s="131">
        <f t="shared" ca="1" si="106"/>
        <v>0.61083952513994022</v>
      </c>
      <c r="FU21" s="132">
        <f t="shared" ca="1" si="107"/>
        <v>0.6508682169276182</v>
      </c>
      <c r="FV21" s="131">
        <f t="shared" ca="1" si="108"/>
        <v>0.17402001625314881</v>
      </c>
      <c r="FW21" s="83">
        <f t="shared" ca="1" si="109"/>
        <v>-2.2535161742124597E-5</v>
      </c>
    </row>
    <row r="22" spans="1:179">
      <c r="A22" s="19">
        <f t="shared" si="117"/>
        <v>12</v>
      </c>
      <c r="B22" s="1">
        <f t="shared" ca="1" si="111"/>
        <v>0</v>
      </c>
      <c r="C22" s="20">
        <f t="shared" ca="1" si="112"/>
        <v>12</v>
      </c>
      <c r="D22" s="19" t="str">
        <f t="shared" ca="1" si="113"/>
        <v>〇×〇×〇×--〇</v>
      </c>
      <c r="E22" s="7">
        <f t="shared" ca="1" si="77"/>
        <v>9</v>
      </c>
      <c r="F22" s="7">
        <f t="shared" ca="1" si="78"/>
        <v>1</v>
      </c>
      <c r="G22" s="1" t="str">
        <f t="shared" ca="1" si="116"/>
        <v>〇×〇×〇×--〇</v>
      </c>
      <c r="H22" s="20" t="b">
        <f t="shared" ca="1" si="80"/>
        <v>1</v>
      </c>
      <c r="I22" s="22">
        <f t="shared" ca="1" si="114"/>
        <v>-1</v>
      </c>
      <c r="J22" s="1" t="b">
        <f ca="1">(1&lt;COUNTIF(D$10:D22,D22))</f>
        <v>1</v>
      </c>
      <c r="K22" s="1" t="b">
        <f t="shared" ca="1" si="81"/>
        <v>1</v>
      </c>
      <c r="L22" s="7">
        <f ca="1">MATCH(TRUE,K22:K$1048576,FALSE)-1</f>
        <v>0</v>
      </c>
      <c r="M22" s="24" t="str">
        <f t="shared" ca="1" si="13"/>
        <v>〇×〇×〇×--〇_9</v>
      </c>
      <c r="N22" s="25">
        <f t="shared" ca="1" si="82"/>
        <v>-2.2535161742124597E-5</v>
      </c>
      <c r="O22" s="26">
        <f t="shared" ca="1" si="83"/>
        <v>-1</v>
      </c>
      <c r="P22" s="27">
        <f t="shared" ca="1" si="84"/>
        <v>-1</v>
      </c>
      <c r="R22" s="41" t="str">
        <f ca="1">VLOOKUP(S22,cvt!$B$2:$C$4,2,FALSE)&amp;VLOOKUP(T22,cvt!$B$2:$C$4,2,FALSE)&amp;VLOOKUP(U22,cvt!$B$2:$C$4,2,FALSE)
&amp;VLOOKUP(V22,cvt!$B$2:$C$4,2,FALSE)&amp;VLOOKUP(W22,cvt!$B$2:$C$4,2,FALSE)&amp;VLOOKUP(X22,cvt!$B$2:$C$4,2,FALSE)
&amp;VLOOKUP(Y22,cvt!$B$2:$C$4,2,FALSE)&amp;VLOOKUP(Z22,cvt!$B$2:$C$4,2,FALSE)&amp;VLOOKUP(AA22,cvt!$B$2:$C$4,2,FALSE)</f>
        <v>〇×〇×〇×--〇</v>
      </c>
      <c r="S22" s="7">
        <f ca="1">VLOOKUP(MID($D22,S$9+1,1), cvt!$A$2:$B$4,2, FALSE)</f>
        <v>1</v>
      </c>
      <c r="T22" s="7">
        <f ca="1">VLOOKUP(MID($D22,T$9+1,1), cvt!$A$2:$B$4,2, FALSE)</f>
        <v>-1</v>
      </c>
      <c r="U22" s="7">
        <f ca="1">VLOOKUP(MID($D22,U$9+1,1), cvt!$A$2:$B$4,2, FALSE)</f>
        <v>1</v>
      </c>
      <c r="V22" s="17">
        <f ca="1">VLOOKUP(MID($D22,V$9+1,1), cvt!$A$2:$B$4,2, FALSE)</f>
        <v>-1</v>
      </c>
      <c r="W22" s="7">
        <f ca="1">VLOOKUP(MID($D22,W$9+1,1), cvt!$A$2:$B$4,2, FALSE)</f>
        <v>1</v>
      </c>
      <c r="X22" s="18">
        <f ca="1">VLOOKUP(MID($D22,X$9+1,1), cvt!$A$2:$B$4,2, FALSE)</f>
        <v>-1</v>
      </c>
      <c r="Y22" s="7">
        <f ca="1">VLOOKUP(MID($D22,Y$9+1,1), cvt!$A$2:$B$4,2, FALSE)</f>
        <v>0</v>
      </c>
      <c r="Z22" s="7">
        <f ca="1">VLOOKUP(MID($D22,Z$9+1,1), cvt!$A$2:$B$4,2, FALSE)</f>
        <v>0</v>
      </c>
      <c r="AA22" s="42">
        <f ca="1">VLOOKUP(MID($D22,AA$9+1,1), cvt!$A$2:$B$4,2, FALSE)</f>
        <v>1</v>
      </c>
      <c r="AB22" s="7">
        <f t="shared" ca="1" si="85"/>
        <v>1</v>
      </c>
      <c r="AC22" s="50" t="b">
        <f t="shared" ca="1" si="86"/>
        <v>1</v>
      </c>
      <c r="AE22" s="19" t="str">
        <f ca="1">VLOOKUP(AF22,cvt!$B$2:$C$4,2,FALSE)&amp;VLOOKUP(AG22,cvt!$B$2:$C$4,2,FALSE)&amp;VLOOKUP(AH22,cvt!$B$2:$C$4,2,FALSE)
&amp;VLOOKUP(AI22,cvt!$B$2:$C$4,2,FALSE)&amp;VLOOKUP(AJ22,cvt!$B$2:$C$4,2,FALSE)&amp;VLOOKUP(AK22,cvt!$B$2:$C$4,2,FALSE)
&amp;VLOOKUP(AL22,cvt!$B$2:$C$4,2,FALSE)&amp;VLOOKUP(AM22,cvt!$B$2:$C$4,2,FALSE)&amp;VLOOKUP(AN22,cvt!$B$2:$C$4,2,FALSE)</f>
        <v>〇×〇×〇×--〇</v>
      </c>
      <c r="AF22" s="17">
        <f t="shared" ca="1" si="14"/>
        <v>1</v>
      </c>
      <c r="AG22" s="7">
        <f t="shared" ca="1" si="15"/>
        <v>-1</v>
      </c>
      <c r="AH22" s="7">
        <f t="shared" ca="1" si="16"/>
        <v>1</v>
      </c>
      <c r="AI22" s="17">
        <f t="shared" ca="1" si="17"/>
        <v>-1</v>
      </c>
      <c r="AJ22" s="7">
        <f t="shared" ca="1" si="18"/>
        <v>1</v>
      </c>
      <c r="AK22" s="18">
        <f t="shared" ca="1" si="19"/>
        <v>-1</v>
      </c>
      <c r="AL22" s="7">
        <f t="shared" ca="1" si="20"/>
        <v>0</v>
      </c>
      <c r="AM22" s="7">
        <f t="shared" ca="1" si="21"/>
        <v>0</v>
      </c>
      <c r="AN22" s="18">
        <f t="shared" ca="1" si="22"/>
        <v>1</v>
      </c>
      <c r="AO22" s="7">
        <f t="shared" ca="1" si="115"/>
        <v>1</v>
      </c>
      <c r="AP22" s="50" t="b">
        <f t="shared" ca="1" si="87"/>
        <v>1</v>
      </c>
      <c r="AS22" s="22">
        <f t="shared" ca="1" si="88"/>
        <v>0</v>
      </c>
      <c r="AT22" s="7">
        <f t="shared" ca="1" si="23"/>
        <v>0</v>
      </c>
      <c r="AU22" s="7">
        <f t="shared" ca="1" si="24"/>
        <v>0</v>
      </c>
      <c r="AV22" s="7">
        <f t="shared" ca="1" si="25"/>
        <v>0</v>
      </c>
      <c r="AW22" s="7">
        <f t="shared" ca="1" si="26"/>
        <v>0</v>
      </c>
      <c r="AX22" s="7">
        <f t="shared" ca="1" si="27"/>
        <v>0</v>
      </c>
      <c r="AY22" s="7">
        <f t="shared" ca="1" si="28"/>
        <v>0</v>
      </c>
      <c r="AZ22" s="7">
        <f t="shared" ca="1" si="29"/>
        <v>0</v>
      </c>
      <c r="BA22" s="18">
        <f t="shared" ca="1" si="30"/>
        <v>0</v>
      </c>
      <c r="BB22" s="295">
        <f t="shared" ca="1" si="89"/>
        <v>1</v>
      </c>
      <c r="BD22" s="132"/>
      <c r="BE22" s="297">
        <f t="shared" ca="1" si="90"/>
        <v>1</v>
      </c>
      <c r="BF22" s="298">
        <f t="shared" ca="1" si="31"/>
        <v>0.65029522127322903</v>
      </c>
      <c r="BG22" s="298">
        <f t="shared" ca="1" si="32"/>
        <v>0.66028983545318687</v>
      </c>
      <c r="BH22" s="318">
        <f t="shared" ca="1" si="33"/>
        <v>0.64972655813153501</v>
      </c>
      <c r="BI22" s="298">
        <f t="shared" ca="1" si="34"/>
        <v>0.65002804502111444</v>
      </c>
      <c r="BJ22" s="299">
        <f t="shared" ca="1" si="35"/>
        <v>0.65029320640965171</v>
      </c>
      <c r="BK22" s="298">
        <f t="shared" ca="1" si="36"/>
        <v>0.64942668056342145</v>
      </c>
      <c r="BL22" s="298">
        <f t="shared" ca="1" si="37"/>
        <v>0.61083952513994022</v>
      </c>
      <c r="BM22" s="299">
        <f t="shared" ca="1" si="38"/>
        <v>0.6508682169276182</v>
      </c>
      <c r="BN22" s="295">
        <f t="shared" ca="1" si="39"/>
        <v>0.17402001625314881</v>
      </c>
      <c r="BO22" s="248">
        <f t="shared" ca="1" si="91"/>
        <v>-2.2535161742124597E-5</v>
      </c>
      <c r="BQ22" s="304">
        <f t="shared" ca="1" si="92"/>
        <v>0.42412001625314877</v>
      </c>
      <c r="BR22" s="297">
        <f t="shared" ca="1" si="93"/>
        <v>0</v>
      </c>
      <c r="BS22" s="298">
        <f t="shared" ca="1" si="40"/>
        <v>0</v>
      </c>
      <c r="BT22" s="298">
        <f t="shared" ca="1" si="41"/>
        <v>0</v>
      </c>
      <c r="BU22" s="318">
        <f t="shared" ca="1" si="42"/>
        <v>0</v>
      </c>
      <c r="BV22" s="298">
        <f t="shared" ca="1" si="43"/>
        <v>0</v>
      </c>
      <c r="BW22" s="299">
        <f t="shared" ca="1" si="44"/>
        <v>0</v>
      </c>
      <c r="BX22" s="298">
        <f t="shared" ca="1" si="45"/>
        <v>0</v>
      </c>
      <c r="BY22" s="298">
        <f t="shared" ca="1" si="46"/>
        <v>0</v>
      </c>
      <c r="BZ22" s="298">
        <f t="shared" ca="1" si="47"/>
        <v>0</v>
      </c>
      <c r="CA22" s="315">
        <f t="shared" ca="1" si="48"/>
        <v>0.42412001625314877</v>
      </c>
      <c r="CC22" s="52"/>
      <c r="CD22" s="306">
        <f t="shared" ca="1" si="94"/>
        <v>0</v>
      </c>
      <c r="CE22" s="15">
        <f t="shared" ca="1" si="49"/>
        <v>0</v>
      </c>
      <c r="CF22" s="15">
        <f t="shared" ca="1" si="50"/>
        <v>0</v>
      </c>
      <c r="CG22" s="286">
        <f t="shared" ca="1" si="51"/>
        <v>0</v>
      </c>
      <c r="CH22" s="15">
        <f t="shared" ca="1" si="52"/>
        <v>0</v>
      </c>
      <c r="CI22" s="288">
        <f t="shared" ca="1" si="53"/>
        <v>0</v>
      </c>
      <c r="CJ22" s="15">
        <f t="shared" ca="1" si="54"/>
        <v>0</v>
      </c>
      <c r="CK22" s="15">
        <f t="shared" ca="1" si="55"/>
        <v>0</v>
      </c>
      <c r="CL22" s="15">
        <f t="shared" ca="1" si="56"/>
        <v>0</v>
      </c>
      <c r="CM22" s="313">
        <f t="shared" ca="1" si="57"/>
        <v>1</v>
      </c>
      <c r="CO22" s="320">
        <f t="shared" ca="1" si="95"/>
        <v>11</v>
      </c>
      <c r="CP22" s="22">
        <f ca="1">COUNTIFS($C$10:$C21,"&lt;"&amp;$C22,$M$10:$M21,$D22&amp;"_"&amp;CP$9)</f>
        <v>0</v>
      </c>
      <c r="CQ22" s="7">
        <f ca="1">COUNTIFS($C$10:$C21,"&lt;"&amp;$C22,$M$10:$M21,$D22&amp;"_"&amp;CQ$9)</f>
        <v>0</v>
      </c>
      <c r="CR22" s="7">
        <f ca="1">COUNTIFS($C$10:$C21,"&lt;"&amp;$C22,$M$10:$M21,$D22&amp;"_"&amp;CR$9)</f>
        <v>0</v>
      </c>
      <c r="CS22" s="17">
        <f ca="1">COUNTIFS($C$10:$C21,"&lt;"&amp;$C22,$M$10:$M21,$D22&amp;"_"&amp;CS$9)</f>
        <v>0</v>
      </c>
      <c r="CT22" s="7">
        <f ca="1">COUNTIFS($C$10:$C21,"&lt;"&amp;$C22,$M$10:$M21,$D22&amp;"_"&amp;CT$9)</f>
        <v>0</v>
      </c>
      <c r="CU22" s="18">
        <f ca="1">COUNTIFS($C$10:$C21,"&lt;"&amp;$C22,$M$10:$M21,$D22&amp;"_"&amp;CU$9)</f>
        <v>0</v>
      </c>
      <c r="CV22" s="7">
        <f ca="1">COUNTIFS($C$10:$C21,"&lt;"&amp;$C22,$M$10:$M21,$D22&amp;"_"&amp;CV$9)</f>
        <v>0</v>
      </c>
      <c r="CW22" s="7">
        <f ca="1">COUNTIFS($C$10:$C21,"&lt;"&amp;$C22,$M$10:$M21,$D22&amp;"_"&amp;CW$9)</f>
        <v>0</v>
      </c>
      <c r="CX22" s="7">
        <f ca="1">COUNTIFS($C$10:$C21,"&lt;"&amp;$C22,$M$10:$M21,$D22&amp;"_"&amp;CX$9)</f>
        <v>0</v>
      </c>
      <c r="CY22" s="221">
        <f ca="1">COUNTIFS($C$10:$C21,"&lt;"&amp;$C22,$M$10:$M21,$D22&amp;"_"&amp;CY$9)</f>
        <v>11</v>
      </c>
      <c r="DA22" s="20"/>
      <c r="DB22" s="308">
        <f ca="1">IF(CP22=0,0,SUMIFS($P$10:$P21, $C$10:$C21,"&lt;"&amp;$C22, $M$10:$M21,$D22&amp;"_"&amp;DB$9)/CP22)</f>
        <v>0</v>
      </c>
      <c r="DC22" s="263">
        <f ca="1">IF(CQ22=0,0,SUMIFS($P$10:$P21, $C$10:$C21,"&lt;"&amp;$C22, $M$10:$M21,$D22&amp;"_"&amp;DC$9)/CQ22)</f>
        <v>0</v>
      </c>
      <c r="DD22" s="263">
        <f ca="1">IF(CR22=0,0,SUMIFS($P$10:$P21, $C$10:$C21,"&lt;"&amp;$C22, $M$10:$M21,$D22&amp;"_"&amp;DD$9)/CR22)</f>
        <v>0</v>
      </c>
      <c r="DE22" s="262">
        <f ca="1">IF(CS22=0,0,SUMIFS($P$10:$P21, $C$10:$C21,"&lt;"&amp;$C22, $M$10:$M21,$D22&amp;"_"&amp;DE$9)/CS22)</f>
        <v>0</v>
      </c>
      <c r="DF22" s="263">
        <f ca="1">IF(CT22=0,0,SUMIFS($P$10:$P21, $C$10:$C21,"&lt;"&amp;$C22, $M$10:$M21,$D22&amp;"_"&amp;DF$9)/CT22)</f>
        <v>0</v>
      </c>
      <c r="DG22" s="310">
        <f ca="1">IF(CU22=0,0,SUMIFS($P$10:$P21, $C$10:$C21,"&lt;"&amp;$C22, $M$10:$M21,$D22&amp;"_"&amp;DG$9)/CU22)</f>
        <v>0</v>
      </c>
      <c r="DH22" s="263">
        <f ca="1">IF(CV22=0,0,SUMIFS($P$10:$P21, $C$10:$C21,"&lt;"&amp;$C22, $M$10:$M21,$D22&amp;"_"&amp;DH$9)/CV22)</f>
        <v>0</v>
      </c>
      <c r="DI22" s="263">
        <f ca="1">IF(CW22=0,0,SUMIFS($P$10:$P21, $C$10:$C21,"&lt;"&amp;$C22, $M$10:$M21,$D22&amp;"_"&amp;DI$9)/CW22)</f>
        <v>0</v>
      </c>
      <c r="DJ22" s="264">
        <f ca="1">IF(CX22=0,0,SUMIFS($P$10:$P21, $C$10:$C21,"&lt;"&amp;$C22, $M$10:$M21,$D22&amp;"_"&amp;DJ$9)/CX22)</f>
        <v>0</v>
      </c>
      <c r="DK22" s="264">
        <f ca="1">IF(CY22=0,0,SUMIFS($P$10:$P21, $C$10:$C21,"&lt;"&amp;$C22, $M$10:$M21,$D22&amp;"_"&amp;DK$9)/CY22)</f>
        <v>-1</v>
      </c>
      <c r="DM22" s="104"/>
      <c r="DN22" s="306">
        <f t="shared" ca="1" si="96"/>
        <v>-9999</v>
      </c>
      <c r="DO22" s="15">
        <f t="shared" ca="1" si="58"/>
        <v>-9999</v>
      </c>
      <c r="DP22" s="15">
        <f t="shared" ca="1" si="59"/>
        <v>-9999</v>
      </c>
      <c r="DQ22" s="15">
        <f t="shared" ca="1" si="60"/>
        <v>-9999</v>
      </c>
      <c r="DR22" s="15">
        <f t="shared" ca="1" si="61"/>
        <v>-9999</v>
      </c>
      <c r="DS22" s="15">
        <f t="shared" ca="1" si="62"/>
        <v>-9999</v>
      </c>
      <c r="DT22" s="15">
        <f t="shared" ca="1" si="63"/>
        <v>-9999</v>
      </c>
      <c r="DU22" s="15">
        <f t="shared" ca="1" si="64"/>
        <v>-9999</v>
      </c>
      <c r="DV22" s="52">
        <f t="shared" ca="1" si="65"/>
        <v>-9999</v>
      </c>
      <c r="DW22" s="313">
        <f t="shared" ca="1" si="66"/>
        <v>-0.72361460080371676</v>
      </c>
      <c r="DX22" s="52"/>
      <c r="DY22" s="402">
        <f t="shared" ca="1" si="97"/>
        <v>9</v>
      </c>
      <c r="ED22" s="19">
        <f t="shared" ca="1" si="67"/>
        <v>-1</v>
      </c>
      <c r="EE22" s="1">
        <f t="shared" ca="1" si="68"/>
        <v>1</v>
      </c>
      <c r="EF22" s="1">
        <f t="shared" ca="1" si="69"/>
        <v>-1</v>
      </c>
      <c r="EG22" s="2">
        <f t="shared" ca="1" si="70"/>
        <v>1</v>
      </c>
      <c r="EH22" s="1">
        <f t="shared" ca="1" si="71"/>
        <v>-1</v>
      </c>
      <c r="EI22" s="3">
        <f t="shared" ca="1" si="72"/>
        <v>1</v>
      </c>
      <c r="EJ22" s="1">
        <f t="shared" ca="1" si="73"/>
        <v>0</v>
      </c>
      <c r="EK22" s="1">
        <f t="shared" ca="1" si="74"/>
        <v>0</v>
      </c>
      <c r="EL22" s="20">
        <f t="shared" ca="1" si="75"/>
        <v>-1</v>
      </c>
      <c r="EN22" s="86">
        <f ca="1">MAX(0, SUMPRODUCT($ED22:$EL22,OFFSET(DNN!$E$9:$M$9,EN$9,0)) + OFFSET(DNN!$D$9,EN$9,0))</f>
        <v>0</v>
      </c>
      <c r="EO22" s="84">
        <f ca="1">MAX(0, SUMPRODUCT($ED22:$EL22,OFFSET(DNN!$E$9:$M$9,EO$9,0)) + OFFSET(DNN!$D$9,EO$9,0))</f>
        <v>7.2346022384755949E-3</v>
      </c>
      <c r="EP22" s="84">
        <f ca="1">MAX(0, SUMPRODUCT($ED22:$EL22,OFFSET(DNN!$E$9:$M$9,EP$9,0)) + OFFSET(DNN!$D$9,EP$9,0))</f>
        <v>3.6951849750035152E-3</v>
      </c>
      <c r="EQ22" s="84">
        <f ca="1">MAX(0, SUMPRODUCT($ED22:$EL22,OFFSET(DNN!$E$9:$M$9,EQ$9,0)) + OFFSET(DNN!$D$9,EQ$9,0))</f>
        <v>0</v>
      </c>
      <c r="ER22" s="85">
        <f ca="1">MAX(0, SUMPRODUCT($ED22:$EL22,OFFSET(DNN!$E$9:$M$9,ER$9,0)) + OFFSET(DNN!$D$9,ER$9,0))</f>
        <v>0</v>
      </c>
      <c r="ET22" s="86">
        <f ca="1">MAX(0, SUMPRODUCT($EN22:$ER22,OFFSET(DNN!$Q$9:$U$9,ET$9,0)) + OFFSET(DNN!$P$9,ET$9,0))</f>
        <v>4.3954959453478351E-4</v>
      </c>
      <c r="EU22" s="84">
        <f ca="1">MAX(0, SUMPRODUCT($EN22:$ER22,OFFSET(DNN!$Q$9:$U$9,EU$9,0)) + OFFSET(DNN!$P$9,EU$9,0))</f>
        <v>0</v>
      </c>
      <c r="EV22" s="84">
        <f ca="1">MAX(0, SUMPRODUCT($EN22:$ER22,OFFSET(DNN!$Q$9:$U$9,EV$9,0)) + OFFSET(DNN!$P$9,EV$9,0))</f>
        <v>1.2810123361902579E-3</v>
      </c>
      <c r="EW22" s="84">
        <f ca="1">MAX(0, SUMPRODUCT($EN22:$ER22,OFFSET(DNN!$Q$9:$U$9,EW$9,0)) + OFFSET(DNN!$P$9,EW$9,0))</f>
        <v>7.8382123007882457E-4</v>
      </c>
      <c r="EX22" s="85">
        <f ca="1">MAX(0, SUMPRODUCT($EN22:$ER22,OFFSET(DNN!$Q$9:$U$9,EX$9,0)) + OFFSET(DNN!$P$9,EX$9,0))</f>
        <v>0</v>
      </c>
      <c r="EZ22" s="111">
        <f ca="1">SUMPRODUCT($ET22:$EX22,OFFSET(DNN!$Y$9:$AC$9,EZ$9,0)) + OFFSET(DNN!$X$9,EZ$9,0)</f>
        <v>0.43031618918982212</v>
      </c>
      <c r="FA22" s="97">
        <f ca="1">SUMPRODUCT($ET22:$EX22,OFFSET(DNN!$Y$9:$AC$9,FA$9,0)) + OFFSET(DNN!$X$9,FA$9,0)</f>
        <v>-1.2643439935754107E-5</v>
      </c>
      <c r="FB22" s="97">
        <f ca="1">SUMPRODUCT($ET22:$EX22,OFFSET(DNN!$Y$9:$AC$9,FB$9,0)) + OFFSET(DNN!$X$9,FB$9,0)</f>
        <v>1.5239793458415756E-2</v>
      </c>
      <c r="FC22" s="97">
        <f ca="1">SUMPRODUCT($ET22:$EX22,OFFSET(DNN!$Y$9:$AC$9,FC$9,0)) + OFFSET(DNN!$X$9,FC$9,0)</f>
        <v>-8.8749521084055777E-4</v>
      </c>
      <c r="FD22" s="97">
        <f ca="1">SUMPRODUCT($ET22:$EX22,OFFSET(DNN!$Y$9:$AC$9,FD$9,0)) + OFFSET(DNN!$X$9,FD$9,0)</f>
        <v>-4.235816470721872E-4</v>
      </c>
      <c r="FE22" s="97">
        <f ca="1">SUMPRODUCT($ET22:$EX22,OFFSET(DNN!$Y$9:$AC$9,FE$9,0)) + OFFSET(DNN!$X$9,FE$9,0)</f>
        <v>-1.574182761064886E-5</v>
      </c>
      <c r="FF22" s="97">
        <f ca="1">SUMPRODUCT($ET22:$EX22,OFFSET(DNN!$Y$9:$AC$9,FF$9,0)) + OFFSET(DNN!$X$9,FF$9,0)</f>
        <v>-1.3491460223194656E-3</v>
      </c>
      <c r="FG22" s="97">
        <f ca="1">SUMPRODUCT($ET22:$EX22,OFFSET(DNN!$Y$9:$AC$9,FG$9,0)) + OFFSET(DNN!$X$9,FG$9,0)</f>
        <v>-6.2604808096248285E-2</v>
      </c>
      <c r="FH22" s="97">
        <f ca="1">SUMPRODUCT($ET22:$EX22,OFFSET(DNN!$Y$9:$AC$9,FH$9,0)) + OFFSET(DNN!$X$9,FH$9,0)</f>
        <v>8.6810016937029894E-4</v>
      </c>
      <c r="FI22" s="108">
        <f ca="1">SUMPRODUCT($ET22:$EX22,OFFSET(DNN!$Y$9:$AC$9,FI$9,0)) + OFFSET(DNN!$X$9,FI$9,0)</f>
        <v>-1.3182687612562751</v>
      </c>
      <c r="FJ22" s="98">
        <f ca="1">SUMPRODUCT($ET22:$EX22,OFFSET(DNN!$Y$9:$AC$9,FJ$9,0)) + OFFSET(DNN!$X$9,FJ$9,0)</f>
        <v>-2.2535161745939301E-5</v>
      </c>
      <c r="FL22" s="415">
        <f t="shared" ca="1" si="98"/>
        <v>0.43031618918982212</v>
      </c>
      <c r="FM22" s="130">
        <f t="shared" ca="1" si="99"/>
        <v>1</v>
      </c>
      <c r="FN22" s="131">
        <f t="shared" ca="1" si="100"/>
        <v>0.65029522127322903</v>
      </c>
      <c r="FO22" s="131">
        <f t="shared" ca="1" si="101"/>
        <v>0.66028983545318687</v>
      </c>
      <c r="FP22" s="131">
        <f t="shared" ca="1" si="102"/>
        <v>0.64972655813153501</v>
      </c>
      <c r="FQ22" s="131">
        <f t="shared" ca="1" si="103"/>
        <v>0.65002804502111444</v>
      </c>
      <c r="FR22" s="131">
        <f t="shared" ca="1" si="104"/>
        <v>0.65029320640965171</v>
      </c>
      <c r="FS22" s="131">
        <f t="shared" ca="1" si="105"/>
        <v>0.64942668056342145</v>
      </c>
      <c r="FT22" s="131">
        <f t="shared" ca="1" si="106"/>
        <v>0.61083952513994022</v>
      </c>
      <c r="FU22" s="132">
        <f t="shared" ca="1" si="107"/>
        <v>0.6508682169276182</v>
      </c>
      <c r="FV22" s="131">
        <f t="shared" ca="1" si="108"/>
        <v>0.17402001625314881</v>
      </c>
      <c r="FW22" s="83">
        <f t="shared" ca="1" si="109"/>
        <v>-2.2535161742124597E-5</v>
      </c>
    </row>
    <row r="23" spans="1:179">
      <c r="A23" s="19">
        <f t="shared" si="117"/>
        <v>13</v>
      </c>
      <c r="B23" s="1">
        <f t="shared" ca="1" si="111"/>
        <v>0</v>
      </c>
      <c r="C23" s="20">
        <f t="shared" ca="1" si="112"/>
        <v>13</v>
      </c>
      <c r="D23" s="19" t="str">
        <f t="shared" ca="1" si="113"/>
        <v>〇×〇×〇×--〇</v>
      </c>
      <c r="E23" s="7">
        <f t="shared" ca="1" si="77"/>
        <v>9</v>
      </c>
      <c r="F23" s="7">
        <f t="shared" ca="1" si="78"/>
        <v>1</v>
      </c>
      <c r="G23" s="1" t="str">
        <f t="shared" ca="1" si="116"/>
        <v>〇×〇×〇×--〇</v>
      </c>
      <c r="H23" s="20" t="b">
        <f t="shared" ca="1" si="80"/>
        <v>1</v>
      </c>
      <c r="I23" s="22">
        <f t="shared" ca="1" si="114"/>
        <v>-1</v>
      </c>
      <c r="J23" s="1" t="b">
        <f ca="1">(1&lt;COUNTIF(D$10:D23,D23))</f>
        <v>1</v>
      </c>
      <c r="K23" s="1" t="b">
        <f t="shared" ca="1" si="81"/>
        <v>1</v>
      </c>
      <c r="L23" s="7">
        <f ca="1">MATCH(TRUE,K23:K$1048576,FALSE)-1</f>
        <v>0</v>
      </c>
      <c r="M23" s="24" t="str">
        <f t="shared" ca="1" si="13"/>
        <v>〇×〇×〇×--〇_9</v>
      </c>
      <c r="N23" s="25">
        <f t="shared" ca="1" si="82"/>
        <v>-2.2535161742124597E-5</v>
      </c>
      <c r="O23" s="26">
        <f t="shared" ca="1" si="83"/>
        <v>-1</v>
      </c>
      <c r="P23" s="27">
        <f t="shared" ca="1" si="84"/>
        <v>-1</v>
      </c>
      <c r="R23" s="41" t="str">
        <f ca="1">VLOOKUP(S23,cvt!$B$2:$C$4,2,FALSE)&amp;VLOOKUP(T23,cvt!$B$2:$C$4,2,FALSE)&amp;VLOOKUP(U23,cvt!$B$2:$C$4,2,FALSE)
&amp;VLOOKUP(V23,cvt!$B$2:$C$4,2,FALSE)&amp;VLOOKUP(W23,cvt!$B$2:$C$4,2,FALSE)&amp;VLOOKUP(X23,cvt!$B$2:$C$4,2,FALSE)
&amp;VLOOKUP(Y23,cvt!$B$2:$C$4,2,FALSE)&amp;VLOOKUP(Z23,cvt!$B$2:$C$4,2,FALSE)&amp;VLOOKUP(AA23,cvt!$B$2:$C$4,2,FALSE)</f>
        <v>〇×〇×〇×--〇</v>
      </c>
      <c r="S23" s="7">
        <f ca="1">VLOOKUP(MID($D23,S$9+1,1), cvt!$A$2:$B$4,2, FALSE)</f>
        <v>1</v>
      </c>
      <c r="T23" s="7">
        <f ca="1">VLOOKUP(MID($D23,T$9+1,1), cvt!$A$2:$B$4,2, FALSE)</f>
        <v>-1</v>
      </c>
      <c r="U23" s="7">
        <f ca="1">VLOOKUP(MID($D23,U$9+1,1), cvt!$A$2:$B$4,2, FALSE)</f>
        <v>1</v>
      </c>
      <c r="V23" s="17">
        <f ca="1">VLOOKUP(MID($D23,V$9+1,1), cvt!$A$2:$B$4,2, FALSE)</f>
        <v>-1</v>
      </c>
      <c r="W23" s="7">
        <f ca="1">VLOOKUP(MID($D23,W$9+1,1), cvt!$A$2:$B$4,2, FALSE)</f>
        <v>1</v>
      </c>
      <c r="X23" s="18">
        <f ca="1">VLOOKUP(MID($D23,X$9+1,1), cvt!$A$2:$B$4,2, FALSE)</f>
        <v>-1</v>
      </c>
      <c r="Y23" s="7">
        <f ca="1">VLOOKUP(MID($D23,Y$9+1,1), cvt!$A$2:$B$4,2, FALSE)</f>
        <v>0</v>
      </c>
      <c r="Z23" s="7">
        <f ca="1">VLOOKUP(MID($D23,Z$9+1,1), cvt!$A$2:$B$4,2, FALSE)</f>
        <v>0</v>
      </c>
      <c r="AA23" s="42">
        <f ca="1">VLOOKUP(MID($D23,AA$9+1,1), cvt!$A$2:$B$4,2, FALSE)</f>
        <v>1</v>
      </c>
      <c r="AB23" s="7">
        <f t="shared" ca="1" si="85"/>
        <v>1</v>
      </c>
      <c r="AC23" s="50" t="b">
        <f t="shared" ca="1" si="86"/>
        <v>1</v>
      </c>
      <c r="AE23" s="19" t="str">
        <f ca="1">VLOOKUP(AF23,cvt!$B$2:$C$4,2,FALSE)&amp;VLOOKUP(AG23,cvt!$B$2:$C$4,2,FALSE)&amp;VLOOKUP(AH23,cvt!$B$2:$C$4,2,FALSE)
&amp;VLOOKUP(AI23,cvt!$B$2:$C$4,2,FALSE)&amp;VLOOKUP(AJ23,cvt!$B$2:$C$4,2,FALSE)&amp;VLOOKUP(AK23,cvt!$B$2:$C$4,2,FALSE)
&amp;VLOOKUP(AL23,cvt!$B$2:$C$4,2,FALSE)&amp;VLOOKUP(AM23,cvt!$B$2:$C$4,2,FALSE)&amp;VLOOKUP(AN23,cvt!$B$2:$C$4,2,FALSE)</f>
        <v>〇×〇×〇×--〇</v>
      </c>
      <c r="AF23" s="17">
        <f t="shared" ca="1" si="14"/>
        <v>1</v>
      </c>
      <c r="AG23" s="7">
        <f t="shared" ca="1" si="15"/>
        <v>-1</v>
      </c>
      <c r="AH23" s="7">
        <f t="shared" ca="1" si="16"/>
        <v>1</v>
      </c>
      <c r="AI23" s="17">
        <f t="shared" ca="1" si="17"/>
        <v>-1</v>
      </c>
      <c r="AJ23" s="7">
        <f t="shared" ca="1" si="18"/>
        <v>1</v>
      </c>
      <c r="AK23" s="18">
        <f t="shared" ca="1" si="19"/>
        <v>-1</v>
      </c>
      <c r="AL23" s="7">
        <f t="shared" ca="1" si="20"/>
        <v>0</v>
      </c>
      <c r="AM23" s="7">
        <f t="shared" ca="1" si="21"/>
        <v>0</v>
      </c>
      <c r="AN23" s="18">
        <f t="shared" ca="1" si="22"/>
        <v>1</v>
      </c>
      <c r="AO23" s="7">
        <f t="shared" ca="1" si="115"/>
        <v>1</v>
      </c>
      <c r="AP23" s="50" t="b">
        <f t="shared" ca="1" si="87"/>
        <v>1</v>
      </c>
      <c r="AS23" s="22">
        <f t="shared" ca="1" si="88"/>
        <v>0</v>
      </c>
      <c r="AT23" s="7">
        <f t="shared" ca="1" si="23"/>
        <v>0</v>
      </c>
      <c r="AU23" s="7">
        <f t="shared" ca="1" si="24"/>
        <v>0</v>
      </c>
      <c r="AV23" s="7">
        <f t="shared" ca="1" si="25"/>
        <v>0</v>
      </c>
      <c r="AW23" s="7">
        <f t="shared" ca="1" si="26"/>
        <v>0</v>
      </c>
      <c r="AX23" s="7">
        <f t="shared" ca="1" si="27"/>
        <v>0</v>
      </c>
      <c r="AY23" s="7">
        <f t="shared" ca="1" si="28"/>
        <v>0</v>
      </c>
      <c r="AZ23" s="7">
        <f t="shared" ca="1" si="29"/>
        <v>0</v>
      </c>
      <c r="BA23" s="18">
        <f t="shared" ca="1" si="30"/>
        <v>0</v>
      </c>
      <c r="BB23" s="295">
        <f t="shared" ca="1" si="89"/>
        <v>1</v>
      </c>
      <c r="BD23" s="132"/>
      <c r="BE23" s="297">
        <f t="shared" ca="1" si="90"/>
        <v>1</v>
      </c>
      <c r="BF23" s="298">
        <f t="shared" ca="1" si="31"/>
        <v>0.65029522127322903</v>
      </c>
      <c r="BG23" s="298">
        <f t="shared" ca="1" si="32"/>
        <v>0.66028983545318687</v>
      </c>
      <c r="BH23" s="318">
        <f t="shared" ca="1" si="33"/>
        <v>0.64972655813153501</v>
      </c>
      <c r="BI23" s="298">
        <f t="shared" ca="1" si="34"/>
        <v>0.65002804502111444</v>
      </c>
      <c r="BJ23" s="299">
        <f t="shared" ca="1" si="35"/>
        <v>0.65029320640965171</v>
      </c>
      <c r="BK23" s="298">
        <f t="shared" ca="1" si="36"/>
        <v>0.64942668056342145</v>
      </c>
      <c r="BL23" s="298">
        <f t="shared" ca="1" si="37"/>
        <v>0.61083952513994022</v>
      </c>
      <c r="BM23" s="299">
        <f t="shared" ca="1" si="38"/>
        <v>0.6508682169276182</v>
      </c>
      <c r="BN23" s="295">
        <f t="shared" ca="1" si="39"/>
        <v>0.17402001625314881</v>
      </c>
      <c r="BO23" s="248">
        <f t="shared" ca="1" si="91"/>
        <v>-2.2535161742124597E-5</v>
      </c>
      <c r="BQ23" s="304">
        <f t="shared" ca="1" si="92"/>
        <v>0.1741200162531488</v>
      </c>
      <c r="BR23" s="297">
        <f t="shared" ca="1" si="93"/>
        <v>0</v>
      </c>
      <c r="BS23" s="298">
        <f t="shared" ca="1" si="40"/>
        <v>0</v>
      </c>
      <c r="BT23" s="298">
        <f t="shared" ca="1" si="41"/>
        <v>0</v>
      </c>
      <c r="BU23" s="318">
        <f t="shared" ca="1" si="42"/>
        <v>0</v>
      </c>
      <c r="BV23" s="298">
        <f t="shared" ca="1" si="43"/>
        <v>0</v>
      </c>
      <c r="BW23" s="299">
        <f t="shared" ca="1" si="44"/>
        <v>0</v>
      </c>
      <c r="BX23" s="298">
        <f t="shared" ca="1" si="45"/>
        <v>0</v>
      </c>
      <c r="BY23" s="298">
        <f t="shared" ca="1" si="46"/>
        <v>0</v>
      </c>
      <c r="BZ23" s="298">
        <f t="shared" ca="1" si="47"/>
        <v>0</v>
      </c>
      <c r="CA23" s="315">
        <f t="shared" ca="1" si="48"/>
        <v>0.1741200162531488</v>
      </c>
      <c r="CC23" s="52"/>
      <c r="CD23" s="306">
        <f t="shared" ca="1" si="94"/>
        <v>0</v>
      </c>
      <c r="CE23" s="15">
        <f t="shared" ca="1" si="49"/>
        <v>0</v>
      </c>
      <c r="CF23" s="15">
        <f t="shared" ca="1" si="50"/>
        <v>0</v>
      </c>
      <c r="CG23" s="286">
        <f t="shared" ca="1" si="51"/>
        <v>0</v>
      </c>
      <c r="CH23" s="15">
        <f t="shared" ca="1" si="52"/>
        <v>0</v>
      </c>
      <c r="CI23" s="288">
        <f t="shared" ca="1" si="53"/>
        <v>0</v>
      </c>
      <c r="CJ23" s="15">
        <f t="shared" ca="1" si="54"/>
        <v>0</v>
      </c>
      <c r="CK23" s="15">
        <f t="shared" ca="1" si="55"/>
        <v>0</v>
      </c>
      <c r="CL23" s="15">
        <f t="shared" ca="1" si="56"/>
        <v>0</v>
      </c>
      <c r="CM23" s="313">
        <f t="shared" ca="1" si="57"/>
        <v>1</v>
      </c>
      <c r="CO23" s="320">
        <f t="shared" ca="1" si="95"/>
        <v>12</v>
      </c>
      <c r="CP23" s="22">
        <f ca="1">COUNTIFS($C$10:$C22,"&lt;"&amp;$C23,$M$10:$M22,$D23&amp;"_"&amp;CP$9)</f>
        <v>0</v>
      </c>
      <c r="CQ23" s="7">
        <f ca="1">COUNTIFS($C$10:$C22,"&lt;"&amp;$C23,$M$10:$M22,$D23&amp;"_"&amp;CQ$9)</f>
        <v>0</v>
      </c>
      <c r="CR23" s="7">
        <f ca="1">COUNTIFS($C$10:$C22,"&lt;"&amp;$C23,$M$10:$M22,$D23&amp;"_"&amp;CR$9)</f>
        <v>0</v>
      </c>
      <c r="CS23" s="17">
        <f ca="1">COUNTIFS($C$10:$C22,"&lt;"&amp;$C23,$M$10:$M22,$D23&amp;"_"&amp;CS$9)</f>
        <v>0</v>
      </c>
      <c r="CT23" s="7">
        <f ca="1">COUNTIFS($C$10:$C22,"&lt;"&amp;$C23,$M$10:$M22,$D23&amp;"_"&amp;CT$9)</f>
        <v>0</v>
      </c>
      <c r="CU23" s="18">
        <f ca="1">COUNTIFS($C$10:$C22,"&lt;"&amp;$C23,$M$10:$M22,$D23&amp;"_"&amp;CU$9)</f>
        <v>0</v>
      </c>
      <c r="CV23" s="7">
        <f ca="1">COUNTIFS($C$10:$C22,"&lt;"&amp;$C23,$M$10:$M22,$D23&amp;"_"&amp;CV$9)</f>
        <v>0</v>
      </c>
      <c r="CW23" s="7">
        <f ca="1">COUNTIFS($C$10:$C22,"&lt;"&amp;$C23,$M$10:$M22,$D23&amp;"_"&amp;CW$9)</f>
        <v>0</v>
      </c>
      <c r="CX23" s="7">
        <f ca="1">COUNTIFS($C$10:$C22,"&lt;"&amp;$C23,$M$10:$M22,$D23&amp;"_"&amp;CX$9)</f>
        <v>0</v>
      </c>
      <c r="CY23" s="221">
        <f ca="1">COUNTIFS($C$10:$C22,"&lt;"&amp;$C23,$M$10:$M22,$D23&amp;"_"&amp;CY$9)</f>
        <v>12</v>
      </c>
      <c r="DA23" s="20"/>
      <c r="DB23" s="308">
        <f ca="1">IF(CP23=0,0,SUMIFS($P$10:$P22, $C$10:$C22,"&lt;"&amp;$C23, $M$10:$M22,$D23&amp;"_"&amp;DB$9)/CP23)</f>
        <v>0</v>
      </c>
      <c r="DC23" s="263">
        <f ca="1">IF(CQ23=0,0,SUMIFS($P$10:$P22, $C$10:$C22,"&lt;"&amp;$C23, $M$10:$M22,$D23&amp;"_"&amp;DC$9)/CQ23)</f>
        <v>0</v>
      </c>
      <c r="DD23" s="263">
        <f ca="1">IF(CR23=0,0,SUMIFS($P$10:$P22, $C$10:$C22,"&lt;"&amp;$C23, $M$10:$M22,$D23&amp;"_"&amp;DD$9)/CR23)</f>
        <v>0</v>
      </c>
      <c r="DE23" s="262">
        <f ca="1">IF(CS23=0,0,SUMIFS($P$10:$P22, $C$10:$C22,"&lt;"&amp;$C23, $M$10:$M22,$D23&amp;"_"&amp;DE$9)/CS23)</f>
        <v>0</v>
      </c>
      <c r="DF23" s="263">
        <f ca="1">IF(CT23=0,0,SUMIFS($P$10:$P22, $C$10:$C22,"&lt;"&amp;$C23, $M$10:$M22,$D23&amp;"_"&amp;DF$9)/CT23)</f>
        <v>0</v>
      </c>
      <c r="DG23" s="310">
        <f ca="1">IF(CU23=0,0,SUMIFS($P$10:$P22, $C$10:$C22,"&lt;"&amp;$C23, $M$10:$M22,$D23&amp;"_"&amp;DG$9)/CU23)</f>
        <v>0</v>
      </c>
      <c r="DH23" s="263">
        <f ca="1">IF(CV23=0,0,SUMIFS($P$10:$P22, $C$10:$C22,"&lt;"&amp;$C23, $M$10:$M22,$D23&amp;"_"&amp;DH$9)/CV23)</f>
        <v>0</v>
      </c>
      <c r="DI23" s="263">
        <f ca="1">IF(CW23=0,0,SUMIFS($P$10:$P22, $C$10:$C22,"&lt;"&amp;$C23, $M$10:$M22,$D23&amp;"_"&amp;DI$9)/CW23)</f>
        <v>0</v>
      </c>
      <c r="DJ23" s="264">
        <f ca="1">IF(CX23=0,0,SUMIFS($P$10:$P22, $C$10:$C22,"&lt;"&amp;$C23, $M$10:$M22,$D23&amp;"_"&amp;DJ$9)/CX23)</f>
        <v>0</v>
      </c>
      <c r="DK23" s="264">
        <f ca="1">IF(CY23=0,0,SUMIFS($P$10:$P22, $C$10:$C22,"&lt;"&amp;$C23, $M$10:$M22,$D23&amp;"_"&amp;DK$9)/CY23)</f>
        <v>-1</v>
      </c>
      <c r="DM23" s="104"/>
      <c r="DN23" s="306">
        <f t="shared" ca="1" si="96"/>
        <v>-9999</v>
      </c>
      <c r="DO23" s="15">
        <f t="shared" ca="1" si="58"/>
        <v>-9999</v>
      </c>
      <c r="DP23" s="15">
        <f t="shared" ca="1" si="59"/>
        <v>-9999</v>
      </c>
      <c r="DQ23" s="15">
        <f t="shared" ca="1" si="60"/>
        <v>-9999</v>
      </c>
      <c r="DR23" s="15">
        <f t="shared" ca="1" si="61"/>
        <v>-9999</v>
      </c>
      <c r="DS23" s="15">
        <f t="shared" ca="1" si="62"/>
        <v>-9999</v>
      </c>
      <c r="DT23" s="15">
        <f t="shared" ca="1" si="63"/>
        <v>-9999</v>
      </c>
      <c r="DU23" s="15">
        <f t="shared" ca="1" si="64"/>
        <v>-9999</v>
      </c>
      <c r="DV23" s="52">
        <f t="shared" ca="1" si="65"/>
        <v>-9999</v>
      </c>
      <c r="DW23" s="313">
        <f t="shared" ca="1" si="66"/>
        <v>-0.73353064498940346</v>
      </c>
      <c r="DX23" s="52"/>
      <c r="DY23" s="402">
        <f t="shared" ca="1" si="97"/>
        <v>9</v>
      </c>
      <c r="ED23" s="19">
        <f t="shared" ca="1" si="67"/>
        <v>-1</v>
      </c>
      <c r="EE23" s="1">
        <f t="shared" ca="1" si="68"/>
        <v>1</v>
      </c>
      <c r="EF23" s="1">
        <f t="shared" ca="1" si="69"/>
        <v>-1</v>
      </c>
      <c r="EG23" s="2">
        <f t="shared" ca="1" si="70"/>
        <v>1</v>
      </c>
      <c r="EH23" s="1">
        <f t="shared" ca="1" si="71"/>
        <v>-1</v>
      </c>
      <c r="EI23" s="3">
        <f t="shared" ca="1" si="72"/>
        <v>1</v>
      </c>
      <c r="EJ23" s="1">
        <f t="shared" ca="1" si="73"/>
        <v>0</v>
      </c>
      <c r="EK23" s="1">
        <f t="shared" ca="1" si="74"/>
        <v>0</v>
      </c>
      <c r="EL23" s="20">
        <f t="shared" ca="1" si="75"/>
        <v>-1</v>
      </c>
      <c r="EN23" s="86">
        <f ca="1">MAX(0, SUMPRODUCT($ED23:$EL23,OFFSET(DNN!$E$9:$M$9,EN$9,0)) + OFFSET(DNN!$D$9,EN$9,0))</f>
        <v>0</v>
      </c>
      <c r="EO23" s="84">
        <f ca="1">MAX(0, SUMPRODUCT($ED23:$EL23,OFFSET(DNN!$E$9:$M$9,EO$9,0)) + OFFSET(DNN!$D$9,EO$9,0))</f>
        <v>7.2346022384755949E-3</v>
      </c>
      <c r="EP23" s="84">
        <f ca="1">MAX(0, SUMPRODUCT($ED23:$EL23,OFFSET(DNN!$E$9:$M$9,EP$9,0)) + OFFSET(DNN!$D$9,EP$9,0))</f>
        <v>3.6951849750035152E-3</v>
      </c>
      <c r="EQ23" s="84">
        <f ca="1">MAX(0, SUMPRODUCT($ED23:$EL23,OFFSET(DNN!$E$9:$M$9,EQ$9,0)) + OFFSET(DNN!$D$9,EQ$9,0))</f>
        <v>0</v>
      </c>
      <c r="ER23" s="85">
        <f ca="1">MAX(0, SUMPRODUCT($ED23:$EL23,OFFSET(DNN!$E$9:$M$9,ER$9,0)) + OFFSET(DNN!$D$9,ER$9,0))</f>
        <v>0</v>
      </c>
      <c r="ET23" s="86">
        <f ca="1">MAX(0, SUMPRODUCT($EN23:$ER23,OFFSET(DNN!$Q$9:$U$9,ET$9,0)) + OFFSET(DNN!$P$9,ET$9,0))</f>
        <v>4.3954959453478351E-4</v>
      </c>
      <c r="EU23" s="84">
        <f ca="1">MAX(0, SUMPRODUCT($EN23:$ER23,OFFSET(DNN!$Q$9:$U$9,EU$9,0)) + OFFSET(DNN!$P$9,EU$9,0))</f>
        <v>0</v>
      </c>
      <c r="EV23" s="84">
        <f ca="1">MAX(0, SUMPRODUCT($EN23:$ER23,OFFSET(DNN!$Q$9:$U$9,EV$9,0)) + OFFSET(DNN!$P$9,EV$9,0))</f>
        <v>1.2810123361902579E-3</v>
      </c>
      <c r="EW23" s="84">
        <f ca="1">MAX(0, SUMPRODUCT($EN23:$ER23,OFFSET(DNN!$Q$9:$U$9,EW$9,0)) + OFFSET(DNN!$P$9,EW$9,0))</f>
        <v>7.8382123007882457E-4</v>
      </c>
      <c r="EX23" s="85">
        <f ca="1">MAX(0, SUMPRODUCT($EN23:$ER23,OFFSET(DNN!$Q$9:$U$9,EX$9,0)) + OFFSET(DNN!$P$9,EX$9,0))</f>
        <v>0</v>
      </c>
      <c r="EZ23" s="111">
        <f ca="1">SUMPRODUCT($ET23:$EX23,OFFSET(DNN!$Y$9:$AC$9,EZ$9,0)) + OFFSET(DNN!$X$9,EZ$9,0)</f>
        <v>0.43031618918982212</v>
      </c>
      <c r="FA23" s="97">
        <f ca="1">SUMPRODUCT($ET23:$EX23,OFFSET(DNN!$Y$9:$AC$9,FA$9,0)) + OFFSET(DNN!$X$9,FA$9,0)</f>
        <v>-1.2643439935754107E-5</v>
      </c>
      <c r="FB23" s="97">
        <f ca="1">SUMPRODUCT($ET23:$EX23,OFFSET(DNN!$Y$9:$AC$9,FB$9,0)) + OFFSET(DNN!$X$9,FB$9,0)</f>
        <v>1.5239793458415756E-2</v>
      </c>
      <c r="FC23" s="97">
        <f ca="1">SUMPRODUCT($ET23:$EX23,OFFSET(DNN!$Y$9:$AC$9,FC$9,0)) + OFFSET(DNN!$X$9,FC$9,0)</f>
        <v>-8.8749521084055777E-4</v>
      </c>
      <c r="FD23" s="97">
        <f ca="1">SUMPRODUCT($ET23:$EX23,OFFSET(DNN!$Y$9:$AC$9,FD$9,0)) + OFFSET(DNN!$X$9,FD$9,0)</f>
        <v>-4.235816470721872E-4</v>
      </c>
      <c r="FE23" s="97">
        <f ca="1">SUMPRODUCT($ET23:$EX23,OFFSET(DNN!$Y$9:$AC$9,FE$9,0)) + OFFSET(DNN!$X$9,FE$9,0)</f>
        <v>-1.574182761064886E-5</v>
      </c>
      <c r="FF23" s="97">
        <f ca="1">SUMPRODUCT($ET23:$EX23,OFFSET(DNN!$Y$9:$AC$9,FF$9,0)) + OFFSET(DNN!$X$9,FF$9,0)</f>
        <v>-1.3491460223194656E-3</v>
      </c>
      <c r="FG23" s="97">
        <f ca="1">SUMPRODUCT($ET23:$EX23,OFFSET(DNN!$Y$9:$AC$9,FG$9,0)) + OFFSET(DNN!$X$9,FG$9,0)</f>
        <v>-6.2604808096248285E-2</v>
      </c>
      <c r="FH23" s="97">
        <f ca="1">SUMPRODUCT($ET23:$EX23,OFFSET(DNN!$Y$9:$AC$9,FH$9,0)) + OFFSET(DNN!$X$9,FH$9,0)</f>
        <v>8.6810016937029894E-4</v>
      </c>
      <c r="FI23" s="108">
        <f ca="1">SUMPRODUCT($ET23:$EX23,OFFSET(DNN!$Y$9:$AC$9,FI$9,0)) + OFFSET(DNN!$X$9,FI$9,0)</f>
        <v>-1.3182687612562751</v>
      </c>
      <c r="FJ23" s="98">
        <f ca="1">SUMPRODUCT($ET23:$EX23,OFFSET(DNN!$Y$9:$AC$9,FJ$9,0)) + OFFSET(DNN!$X$9,FJ$9,0)</f>
        <v>-2.2535161745939301E-5</v>
      </c>
      <c r="FL23" s="415">
        <f t="shared" ca="1" si="98"/>
        <v>0.43031618918982212</v>
      </c>
      <c r="FM23" s="130">
        <f t="shared" ca="1" si="99"/>
        <v>1</v>
      </c>
      <c r="FN23" s="131">
        <f t="shared" ca="1" si="100"/>
        <v>0.65029522127322903</v>
      </c>
      <c r="FO23" s="131">
        <f t="shared" ca="1" si="101"/>
        <v>0.66028983545318687</v>
      </c>
      <c r="FP23" s="131">
        <f t="shared" ca="1" si="102"/>
        <v>0.64972655813153501</v>
      </c>
      <c r="FQ23" s="131">
        <f t="shared" ca="1" si="103"/>
        <v>0.65002804502111444</v>
      </c>
      <c r="FR23" s="131">
        <f t="shared" ca="1" si="104"/>
        <v>0.65029320640965171</v>
      </c>
      <c r="FS23" s="131">
        <f t="shared" ca="1" si="105"/>
        <v>0.64942668056342145</v>
      </c>
      <c r="FT23" s="131">
        <f t="shared" ca="1" si="106"/>
        <v>0.61083952513994022</v>
      </c>
      <c r="FU23" s="132">
        <f t="shared" ca="1" si="107"/>
        <v>0.6508682169276182</v>
      </c>
      <c r="FV23" s="131">
        <f t="shared" ca="1" si="108"/>
        <v>0.17402001625314881</v>
      </c>
      <c r="FW23" s="83">
        <f t="shared" ca="1" si="109"/>
        <v>-2.2535161742124597E-5</v>
      </c>
    </row>
    <row r="24" spans="1:179">
      <c r="A24" s="19">
        <f t="shared" si="117"/>
        <v>14</v>
      </c>
      <c r="B24" s="1">
        <f t="shared" ca="1" si="111"/>
        <v>0</v>
      </c>
      <c r="C24" s="20">
        <f t="shared" ca="1" si="112"/>
        <v>14</v>
      </c>
      <c r="D24" s="19" t="str">
        <f t="shared" ca="1" si="113"/>
        <v>〇×〇×〇×--〇</v>
      </c>
      <c r="E24" s="7">
        <f t="shared" ca="1" si="77"/>
        <v>9</v>
      </c>
      <c r="F24" s="7">
        <f t="shared" ca="1" si="78"/>
        <v>1</v>
      </c>
      <c r="G24" s="1" t="str">
        <f t="shared" ca="1" si="116"/>
        <v>〇×〇×〇×--〇</v>
      </c>
      <c r="H24" s="20" t="b">
        <f t="shared" ca="1" si="80"/>
        <v>1</v>
      </c>
      <c r="I24" s="22">
        <f t="shared" ca="1" si="114"/>
        <v>-1</v>
      </c>
      <c r="J24" s="1" t="b">
        <f ca="1">(1&lt;COUNTIF(D$10:D24,D24))</f>
        <v>1</v>
      </c>
      <c r="K24" s="1" t="b">
        <f t="shared" ca="1" si="81"/>
        <v>1</v>
      </c>
      <c r="L24" s="7">
        <f ca="1">MATCH(TRUE,K24:K$1048576,FALSE)-1</f>
        <v>0</v>
      </c>
      <c r="M24" s="24" t="str">
        <f t="shared" ca="1" si="13"/>
        <v>〇×〇×〇×--〇_9</v>
      </c>
      <c r="N24" s="25">
        <f t="shared" ca="1" si="82"/>
        <v>-2.2535161742124597E-5</v>
      </c>
      <c r="O24" s="26">
        <f t="shared" ca="1" si="83"/>
        <v>-1</v>
      </c>
      <c r="P24" s="27">
        <f t="shared" ca="1" si="84"/>
        <v>-1</v>
      </c>
      <c r="R24" s="41" t="str">
        <f ca="1">VLOOKUP(S24,cvt!$B$2:$C$4,2,FALSE)&amp;VLOOKUP(T24,cvt!$B$2:$C$4,2,FALSE)&amp;VLOOKUP(U24,cvt!$B$2:$C$4,2,FALSE)
&amp;VLOOKUP(V24,cvt!$B$2:$C$4,2,FALSE)&amp;VLOOKUP(W24,cvt!$B$2:$C$4,2,FALSE)&amp;VLOOKUP(X24,cvt!$B$2:$C$4,2,FALSE)
&amp;VLOOKUP(Y24,cvt!$B$2:$C$4,2,FALSE)&amp;VLOOKUP(Z24,cvt!$B$2:$C$4,2,FALSE)&amp;VLOOKUP(AA24,cvt!$B$2:$C$4,2,FALSE)</f>
        <v>〇×〇×〇×--〇</v>
      </c>
      <c r="S24" s="7">
        <f ca="1">VLOOKUP(MID($D24,S$9+1,1), cvt!$A$2:$B$4,2, FALSE)</f>
        <v>1</v>
      </c>
      <c r="T24" s="7">
        <f ca="1">VLOOKUP(MID($D24,T$9+1,1), cvt!$A$2:$B$4,2, FALSE)</f>
        <v>-1</v>
      </c>
      <c r="U24" s="7">
        <f ca="1">VLOOKUP(MID($D24,U$9+1,1), cvt!$A$2:$B$4,2, FALSE)</f>
        <v>1</v>
      </c>
      <c r="V24" s="17">
        <f ca="1">VLOOKUP(MID($D24,V$9+1,1), cvt!$A$2:$B$4,2, FALSE)</f>
        <v>-1</v>
      </c>
      <c r="W24" s="7">
        <f ca="1">VLOOKUP(MID($D24,W$9+1,1), cvt!$A$2:$B$4,2, FALSE)</f>
        <v>1</v>
      </c>
      <c r="X24" s="18">
        <f ca="1">VLOOKUP(MID($D24,X$9+1,1), cvt!$A$2:$B$4,2, FALSE)</f>
        <v>-1</v>
      </c>
      <c r="Y24" s="7">
        <f ca="1">VLOOKUP(MID($D24,Y$9+1,1), cvt!$A$2:$B$4,2, FALSE)</f>
        <v>0</v>
      </c>
      <c r="Z24" s="7">
        <f ca="1">VLOOKUP(MID($D24,Z$9+1,1), cvt!$A$2:$B$4,2, FALSE)</f>
        <v>0</v>
      </c>
      <c r="AA24" s="42">
        <f ca="1">VLOOKUP(MID($D24,AA$9+1,1), cvt!$A$2:$B$4,2, FALSE)</f>
        <v>1</v>
      </c>
      <c r="AB24" s="7">
        <f t="shared" ca="1" si="85"/>
        <v>1</v>
      </c>
      <c r="AC24" s="50" t="b">
        <f t="shared" ca="1" si="86"/>
        <v>1</v>
      </c>
      <c r="AE24" s="19" t="str">
        <f ca="1">VLOOKUP(AF24,cvt!$B$2:$C$4,2,FALSE)&amp;VLOOKUP(AG24,cvt!$B$2:$C$4,2,FALSE)&amp;VLOOKUP(AH24,cvt!$B$2:$C$4,2,FALSE)
&amp;VLOOKUP(AI24,cvt!$B$2:$C$4,2,FALSE)&amp;VLOOKUP(AJ24,cvt!$B$2:$C$4,2,FALSE)&amp;VLOOKUP(AK24,cvt!$B$2:$C$4,2,FALSE)
&amp;VLOOKUP(AL24,cvt!$B$2:$C$4,2,FALSE)&amp;VLOOKUP(AM24,cvt!$B$2:$C$4,2,FALSE)&amp;VLOOKUP(AN24,cvt!$B$2:$C$4,2,FALSE)</f>
        <v>〇×〇×〇×--〇</v>
      </c>
      <c r="AF24" s="17">
        <f t="shared" ca="1" si="14"/>
        <v>1</v>
      </c>
      <c r="AG24" s="7">
        <f t="shared" ca="1" si="15"/>
        <v>-1</v>
      </c>
      <c r="AH24" s="7">
        <f t="shared" ca="1" si="16"/>
        <v>1</v>
      </c>
      <c r="AI24" s="17">
        <f t="shared" ca="1" si="17"/>
        <v>-1</v>
      </c>
      <c r="AJ24" s="7">
        <f t="shared" ca="1" si="18"/>
        <v>1</v>
      </c>
      <c r="AK24" s="18">
        <f t="shared" ca="1" si="19"/>
        <v>-1</v>
      </c>
      <c r="AL24" s="7">
        <f t="shared" ca="1" si="20"/>
        <v>0</v>
      </c>
      <c r="AM24" s="7">
        <f t="shared" ca="1" si="21"/>
        <v>0</v>
      </c>
      <c r="AN24" s="18">
        <f t="shared" ca="1" si="22"/>
        <v>1</v>
      </c>
      <c r="AO24" s="7">
        <f t="shared" ca="1" si="115"/>
        <v>1</v>
      </c>
      <c r="AP24" s="50" t="b">
        <f t="shared" ca="1" si="87"/>
        <v>1</v>
      </c>
      <c r="AS24" s="22">
        <f t="shared" ca="1" si="88"/>
        <v>0</v>
      </c>
      <c r="AT24" s="7">
        <f t="shared" ca="1" si="23"/>
        <v>0</v>
      </c>
      <c r="AU24" s="7">
        <f t="shared" ca="1" si="24"/>
        <v>0</v>
      </c>
      <c r="AV24" s="7">
        <f t="shared" ca="1" si="25"/>
        <v>0</v>
      </c>
      <c r="AW24" s="7">
        <f t="shared" ca="1" si="26"/>
        <v>0</v>
      </c>
      <c r="AX24" s="7">
        <f t="shared" ca="1" si="27"/>
        <v>0</v>
      </c>
      <c r="AY24" s="7">
        <f t="shared" ca="1" si="28"/>
        <v>0</v>
      </c>
      <c r="AZ24" s="7">
        <f t="shared" ca="1" si="29"/>
        <v>0</v>
      </c>
      <c r="BA24" s="18">
        <f t="shared" ca="1" si="30"/>
        <v>0</v>
      </c>
      <c r="BB24" s="295">
        <f t="shared" ca="1" si="89"/>
        <v>1</v>
      </c>
      <c r="BD24" s="132"/>
      <c r="BE24" s="297">
        <f t="shared" ca="1" si="90"/>
        <v>1</v>
      </c>
      <c r="BF24" s="298">
        <f t="shared" ca="1" si="31"/>
        <v>0.65029522127322903</v>
      </c>
      <c r="BG24" s="298">
        <f t="shared" ca="1" si="32"/>
        <v>0.66028983545318687</v>
      </c>
      <c r="BH24" s="318">
        <f t="shared" ca="1" si="33"/>
        <v>0.64972655813153501</v>
      </c>
      <c r="BI24" s="298">
        <f t="shared" ca="1" si="34"/>
        <v>0.65002804502111444</v>
      </c>
      <c r="BJ24" s="299">
        <f t="shared" ca="1" si="35"/>
        <v>0.65029320640965171</v>
      </c>
      <c r="BK24" s="298">
        <f t="shared" ca="1" si="36"/>
        <v>0.64942668056342145</v>
      </c>
      <c r="BL24" s="298">
        <f t="shared" ca="1" si="37"/>
        <v>0.61083952513994022</v>
      </c>
      <c r="BM24" s="299">
        <f t="shared" ca="1" si="38"/>
        <v>0.6508682169276182</v>
      </c>
      <c r="BN24" s="295">
        <f t="shared" ca="1" si="39"/>
        <v>0.17402001625314881</v>
      </c>
      <c r="BO24" s="248">
        <f t="shared" ca="1" si="91"/>
        <v>-2.2535161742124597E-5</v>
      </c>
      <c r="BQ24" s="304">
        <f t="shared" ca="1" si="92"/>
        <v>0.42412001625314877</v>
      </c>
      <c r="BR24" s="297">
        <f t="shared" ca="1" si="93"/>
        <v>0</v>
      </c>
      <c r="BS24" s="298">
        <f t="shared" ca="1" si="40"/>
        <v>0</v>
      </c>
      <c r="BT24" s="298">
        <f t="shared" ca="1" si="41"/>
        <v>0</v>
      </c>
      <c r="BU24" s="318">
        <f t="shared" ca="1" si="42"/>
        <v>0</v>
      </c>
      <c r="BV24" s="298">
        <f t="shared" ca="1" si="43"/>
        <v>0</v>
      </c>
      <c r="BW24" s="299">
        <f t="shared" ca="1" si="44"/>
        <v>0</v>
      </c>
      <c r="BX24" s="298">
        <f t="shared" ca="1" si="45"/>
        <v>0</v>
      </c>
      <c r="BY24" s="298">
        <f t="shared" ca="1" si="46"/>
        <v>0</v>
      </c>
      <c r="BZ24" s="298">
        <f t="shared" ca="1" si="47"/>
        <v>0</v>
      </c>
      <c r="CA24" s="315">
        <f t="shared" ca="1" si="48"/>
        <v>0.42412001625314877</v>
      </c>
      <c r="CC24" s="52"/>
      <c r="CD24" s="306">
        <f t="shared" ca="1" si="94"/>
        <v>0</v>
      </c>
      <c r="CE24" s="15">
        <f t="shared" ca="1" si="49"/>
        <v>0</v>
      </c>
      <c r="CF24" s="15">
        <f t="shared" ca="1" si="50"/>
        <v>0</v>
      </c>
      <c r="CG24" s="286">
        <f t="shared" ca="1" si="51"/>
        <v>0</v>
      </c>
      <c r="CH24" s="15">
        <f t="shared" ca="1" si="52"/>
        <v>0</v>
      </c>
      <c r="CI24" s="288">
        <f t="shared" ca="1" si="53"/>
        <v>0</v>
      </c>
      <c r="CJ24" s="15">
        <f t="shared" ca="1" si="54"/>
        <v>0</v>
      </c>
      <c r="CK24" s="15">
        <f t="shared" ca="1" si="55"/>
        <v>0</v>
      </c>
      <c r="CL24" s="15">
        <f t="shared" ca="1" si="56"/>
        <v>0</v>
      </c>
      <c r="CM24" s="313">
        <f t="shared" ca="1" si="57"/>
        <v>1</v>
      </c>
      <c r="CO24" s="320">
        <f t="shared" ca="1" si="95"/>
        <v>13</v>
      </c>
      <c r="CP24" s="22">
        <f ca="1">COUNTIFS($C$10:$C23,"&lt;"&amp;$C24,$M$10:$M23,$D24&amp;"_"&amp;CP$9)</f>
        <v>0</v>
      </c>
      <c r="CQ24" s="7">
        <f ca="1">COUNTIFS($C$10:$C23,"&lt;"&amp;$C24,$M$10:$M23,$D24&amp;"_"&amp;CQ$9)</f>
        <v>0</v>
      </c>
      <c r="CR24" s="7">
        <f ca="1">COUNTIFS($C$10:$C23,"&lt;"&amp;$C24,$M$10:$M23,$D24&amp;"_"&amp;CR$9)</f>
        <v>0</v>
      </c>
      <c r="CS24" s="17">
        <f ca="1">COUNTIFS($C$10:$C23,"&lt;"&amp;$C24,$M$10:$M23,$D24&amp;"_"&amp;CS$9)</f>
        <v>0</v>
      </c>
      <c r="CT24" s="7">
        <f ca="1">COUNTIFS($C$10:$C23,"&lt;"&amp;$C24,$M$10:$M23,$D24&amp;"_"&amp;CT$9)</f>
        <v>0</v>
      </c>
      <c r="CU24" s="18">
        <f ca="1">COUNTIFS($C$10:$C23,"&lt;"&amp;$C24,$M$10:$M23,$D24&amp;"_"&amp;CU$9)</f>
        <v>0</v>
      </c>
      <c r="CV24" s="7">
        <f ca="1">COUNTIFS($C$10:$C23,"&lt;"&amp;$C24,$M$10:$M23,$D24&amp;"_"&amp;CV$9)</f>
        <v>0</v>
      </c>
      <c r="CW24" s="7">
        <f ca="1">COUNTIFS($C$10:$C23,"&lt;"&amp;$C24,$M$10:$M23,$D24&amp;"_"&amp;CW$9)</f>
        <v>0</v>
      </c>
      <c r="CX24" s="7">
        <f ca="1">COUNTIFS($C$10:$C23,"&lt;"&amp;$C24,$M$10:$M23,$D24&amp;"_"&amp;CX$9)</f>
        <v>0</v>
      </c>
      <c r="CY24" s="221">
        <f ca="1">COUNTIFS($C$10:$C23,"&lt;"&amp;$C24,$M$10:$M23,$D24&amp;"_"&amp;CY$9)</f>
        <v>13</v>
      </c>
      <c r="DA24" s="20"/>
      <c r="DB24" s="308">
        <f ca="1">IF(CP24=0,0,SUMIFS($P$10:$P23, $C$10:$C23,"&lt;"&amp;$C24, $M$10:$M23,$D24&amp;"_"&amp;DB$9)/CP24)</f>
        <v>0</v>
      </c>
      <c r="DC24" s="263">
        <f ca="1">IF(CQ24=0,0,SUMIFS($P$10:$P23, $C$10:$C23,"&lt;"&amp;$C24, $M$10:$M23,$D24&amp;"_"&amp;DC$9)/CQ24)</f>
        <v>0</v>
      </c>
      <c r="DD24" s="263">
        <f ca="1">IF(CR24=0,0,SUMIFS($P$10:$P23, $C$10:$C23,"&lt;"&amp;$C24, $M$10:$M23,$D24&amp;"_"&amp;DD$9)/CR24)</f>
        <v>0</v>
      </c>
      <c r="DE24" s="262">
        <f ca="1">IF(CS24=0,0,SUMIFS($P$10:$P23, $C$10:$C23,"&lt;"&amp;$C24, $M$10:$M23,$D24&amp;"_"&amp;DE$9)/CS24)</f>
        <v>0</v>
      </c>
      <c r="DF24" s="263">
        <f ca="1">IF(CT24=0,0,SUMIFS($P$10:$P23, $C$10:$C23,"&lt;"&amp;$C24, $M$10:$M23,$D24&amp;"_"&amp;DF$9)/CT24)</f>
        <v>0</v>
      </c>
      <c r="DG24" s="310">
        <f ca="1">IF(CU24=0,0,SUMIFS($P$10:$P23, $C$10:$C23,"&lt;"&amp;$C24, $M$10:$M23,$D24&amp;"_"&amp;DG$9)/CU24)</f>
        <v>0</v>
      </c>
      <c r="DH24" s="263">
        <f ca="1">IF(CV24=0,0,SUMIFS($P$10:$P23, $C$10:$C23,"&lt;"&amp;$C24, $M$10:$M23,$D24&amp;"_"&amp;DH$9)/CV24)</f>
        <v>0</v>
      </c>
      <c r="DI24" s="263">
        <f ca="1">IF(CW24=0,0,SUMIFS($P$10:$P23, $C$10:$C23,"&lt;"&amp;$C24, $M$10:$M23,$D24&amp;"_"&amp;DI$9)/CW24)</f>
        <v>0</v>
      </c>
      <c r="DJ24" s="264">
        <f ca="1">IF(CX24=0,0,SUMIFS($P$10:$P23, $C$10:$C23,"&lt;"&amp;$C24, $M$10:$M23,$D24&amp;"_"&amp;DJ$9)/CX24)</f>
        <v>0</v>
      </c>
      <c r="DK24" s="264">
        <f ca="1">IF(CY24=0,0,SUMIFS($P$10:$P23, $C$10:$C23,"&lt;"&amp;$C24, $M$10:$M23,$D24&amp;"_"&amp;DK$9)/CY24)</f>
        <v>-1</v>
      </c>
      <c r="DM24" s="104"/>
      <c r="DN24" s="306">
        <f t="shared" ca="1" si="96"/>
        <v>-9999</v>
      </c>
      <c r="DO24" s="15">
        <f t="shared" ca="1" si="58"/>
        <v>-9999</v>
      </c>
      <c r="DP24" s="15">
        <f t="shared" ca="1" si="59"/>
        <v>-9999</v>
      </c>
      <c r="DQ24" s="15">
        <f t="shared" ca="1" si="60"/>
        <v>-9999</v>
      </c>
      <c r="DR24" s="15">
        <f t="shared" ca="1" si="61"/>
        <v>-9999</v>
      </c>
      <c r="DS24" s="15">
        <f t="shared" ca="1" si="62"/>
        <v>-9999</v>
      </c>
      <c r="DT24" s="15">
        <f t="shared" ca="1" si="63"/>
        <v>-9999</v>
      </c>
      <c r="DU24" s="15">
        <f t="shared" ca="1" si="64"/>
        <v>-9999</v>
      </c>
      <c r="DV24" s="52">
        <f t="shared" ca="1" si="65"/>
        <v>-9999</v>
      </c>
      <c r="DW24" s="313">
        <f t="shared" ca="1" si="66"/>
        <v>-0.7424606231811437</v>
      </c>
      <c r="DX24" s="52"/>
      <c r="DY24" s="402">
        <f t="shared" ca="1" si="97"/>
        <v>9</v>
      </c>
      <c r="ED24" s="19">
        <f t="shared" ca="1" si="67"/>
        <v>-1</v>
      </c>
      <c r="EE24" s="1">
        <f t="shared" ca="1" si="68"/>
        <v>1</v>
      </c>
      <c r="EF24" s="1">
        <f t="shared" ca="1" si="69"/>
        <v>-1</v>
      </c>
      <c r="EG24" s="2">
        <f t="shared" ca="1" si="70"/>
        <v>1</v>
      </c>
      <c r="EH24" s="1">
        <f t="shared" ca="1" si="71"/>
        <v>-1</v>
      </c>
      <c r="EI24" s="3">
        <f t="shared" ca="1" si="72"/>
        <v>1</v>
      </c>
      <c r="EJ24" s="1">
        <f t="shared" ca="1" si="73"/>
        <v>0</v>
      </c>
      <c r="EK24" s="1">
        <f t="shared" ca="1" si="74"/>
        <v>0</v>
      </c>
      <c r="EL24" s="20">
        <f t="shared" ca="1" si="75"/>
        <v>-1</v>
      </c>
      <c r="EN24" s="86">
        <f ca="1">MAX(0, SUMPRODUCT($ED24:$EL24,OFFSET(DNN!$E$9:$M$9,EN$9,0)) + OFFSET(DNN!$D$9,EN$9,0))</f>
        <v>0</v>
      </c>
      <c r="EO24" s="84">
        <f ca="1">MAX(0, SUMPRODUCT($ED24:$EL24,OFFSET(DNN!$E$9:$M$9,EO$9,0)) + OFFSET(DNN!$D$9,EO$9,0))</f>
        <v>7.2346022384755949E-3</v>
      </c>
      <c r="EP24" s="84">
        <f ca="1">MAX(0, SUMPRODUCT($ED24:$EL24,OFFSET(DNN!$E$9:$M$9,EP$9,0)) + OFFSET(DNN!$D$9,EP$9,0))</f>
        <v>3.6951849750035152E-3</v>
      </c>
      <c r="EQ24" s="84">
        <f ca="1">MAX(0, SUMPRODUCT($ED24:$EL24,OFFSET(DNN!$E$9:$M$9,EQ$9,0)) + OFFSET(DNN!$D$9,EQ$9,0))</f>
        <v>0</v>
      </c>
      <c r="ER24" s="85">
        <f ca="1">MAX(0, SUMPRODUCT($ED24:$EL24,OFFSET(DNN!$E$9:$M$9,ER$9,0)) + OFFSET(DNN!$D$9,ER$9,0))</f>
        <v>0</v>
      </c>
      <c r="ET24" s="86">
        <f ca="1">MAX(0, SUMPRODUCT($EN24:$ER24,OFFSET(DNN!$Q$9:$U$9,ET$9,0)) + OFFSET(DNN!$P$9,ET$9,0))</f>
        <v>4.3954959453478351E-4</v>
      </c>
      <c r="EU24" s="84">
        <f ca="1">MAX(0, SUMPRODUCT($EN24:$ER24,OFFSET(DNN!$Q$9:$U$9,EU$9,0)) + OFFSET(DNN!$P$9,EU$9,0))</f>
        <v>0</v>
      </c>
      <c r="EV24" s="84">
        <f ca="1">MAX(0, SUMPRODUCT($EN24:$ER24,OFFSET(DNN!$Q$9:$U$9,EV$9,0)) + OFFSET(DNN!$P$9,EV$9,0))</f>
        <v>1.2810123361902579E-3</v>
      </c>
      <c r="EW24" s="84">
        <f ca="1">MAX(0, SUMPRODUCT($EN24:$ER24,OFFSET(DNN!$Q$9:$U$9,EW$9,0)) + OFFSET(DNN!$P$9,EW$9,0))</f>
        <v>7.8382123007882457E-4</v>
      </c>
      <c r="EX24" s="85">
        <f ca="1">MAX(0, SUMPRODUCT($EN24:$ER24,OFFSET(DNN!$Q$9:$U$9,EX$9,0)) + OFFSET(DNN!$P$9,EX$9,0))</f>
        <v>0</v>
      </c>
      <c r="EZ24" s="111">
        <f ca="1">SUMPRODUCT($ET24:$EX24,OFFSET(DNN!$Y$9:$AC$9,EZ$9,0)) + OFFSET(DNN!$X$9,EZ$9,0)</f>
        <v>0.43031618918982212</v>
      </c>
      <c r="FA24" s="97">
        <f ca="1">SUMPRODUCT($ET24:$EX24,OFFSET(DNN!$Y$9:$AC$9,FA$9,0)) + OFFSET(DNN!$X$9,FA$9,0)</f>
        <v>-1.2643439935754107E-5</v>
      </c>
      <c r="FB24" s="97">
        <f ca="1">SUMPRODUCT($ET24:$EX24,OFFSET(DNN!$Y$9:$AC$9,FB$9,0)) + OFFSET(DNN!$X$9,FB$9,0)</f>
        <v>1.5239793458415756E-2</v>
      </c>
      <c r="FC24" s="97">
        <f ca="1">SUMPRODUCT($ET24:$EX24,OFFSET(DNN!$Y$9:$AC$9,FC$9,0)) + OFFSET(DNN!$X$9,FC$9,0)</f>
        <v>-8.8749521084055777E-4</v>
      </c>
      <c r="FD24" s="97">
        <f ca="1">SUMPRODUCT($ET24:$EX24,OFFSET(DNN!$Y$9:$AC$9,FD$9,0)) + OFFSET(DNN!$X$9,FD$9,0)</f>
        <v>-4.235816470721872E-4</v>
      </c>
      <c r="FE24" s="97">
        <f ca="1">SUMPRODUCT($ET24:$EX24,OFFSET(DNN!$Y$9:$AC$9,FE$9,0)) + OFFSET(DNN!$X$9,FE$9,0)</f>
        <v>-1.574182761064886E-5</v>
      </c>
      <c r="FF24" s="97">
        <f ca="1">SUMPRODUCT($ET24:$EX24,OFFSET(DNN!$Y$9:$AC$9,FF$9,0)) + OFFSET(DNN!$X$9,FF$9,0)</f>
        <v>-1.3491460223194656E-3</v>
      </c>
      <c r="FG24" s="97">
        <f ca="1">SUMPRODUCT($ET24:$EX24,OFFSET(DNN!$Y$9:$AC$9,FG$9,0)) + OFFSET(DNN!$X$9,FG$9,0)</f>
        <v>-6.2604808096248285E-2</v>
      </c>
      <c r="FH24" s="97">
        <f ca="1">SUMPRODUCT($ET24:$EX24,OFFSET(DNN!$Y$9:$AC$9,FH$9,0)) + OFFSET(DNN!$X$9,FH$9,0)</f>
        <v>8.6810016937029894E-4</v>
      </c>
      <c r="FI24" s="108">
        <f ca="1">SUMPRODUCT($ET24:$EX24,OFFSET(DNN!$Y$9:$AC$9,FI$9,0)) + OFFSET(DNN!$X$9,FI$9,0)</f>
        <v>-1.3182687612562751</v>
      </c>
      <c r="FJ24" s="98">
        <f ca="1">SUMPRODUCT($ET24:$EX24,OFFSET(DNN!$Y$9:$AC$9,FJ$9,0)) + OFFSET(DNN!$X$9,FJ$9,0)</f>
        <v>-2.2535161745939301E-5</v>
      </c>
      <c r="FL24" s="415">
        <f t="shared" ca="1" si="98"/>
        <v>0.43031618918982212</v>
      </c>
      <c r="FM24" s="130">
        <f t="shared" ca="1" si="99"/>
        <v>1</v>
      </c>
      <c r="FN24" s="131">
        <f t="shared" ca="1" si="100"/>
        <v>0.65029522127322903</v>
      </c>
      <c r="FO24" s="131">
        <f t="shared" ca="1" si="101"/>
        <v>0.66028983545318687</v>
      </c>
      <c r="FP24" s="131">
        <f t="shared" ca="1" si="102"/>
        <v>0.64972655813153501</v>
      </c>
      <c r="FQ24" s="131">
        <f t="shared" ca="1" si="103"/>
        <v>0.65002804502111444</v>
      </c>
      <c r="FR24" s="131">
        <f t="shared" ca="1" si="104"/>
        <v>0.65029320640965171</v>
      </c>
      <c r="FS24" s="131">
        <f t="shared" ca="1" si="105"/>
        <v>0.64942668056342145</v>
      </c>
      <c r="FT24" s="131">
        <f t="shared" ca="1" si="106"/>
        <v>0.61083952513994022</v>
      </c>
      <c r="FU24" s="132">
        <f t="shared" ca="1" si="107"/>
        <v>0.6508682169276182</v>
      </c>
      <c r="FV24" s="131">
        <f t="shared" ca="1" si="108"/>
        <v>0.17402001625314881</v>
      </c>
      <c r="FW24" s="83">
        <f t="shared" ca="1" si="109"/>
        <v>-2.2535161742124597E-5</v>
      </c>
    </row>
    <row r="25" spans="1:179">
      <c r="A25" s="19">
        <f t="shared" si="117"/>
        <v>15</v>
      </c>
      <c r="B25" s="1">
        <f t="shared" ca="1" si="111"/>
        <v>0</v>
      </c>
      <c r="C25" s="20">
        <f t="shared" ca="1" si="112"/>
        <v>15</v>
      </c>
      <c r="D25" s="19" t="str">
        <f t="shared" ca="1" si="113"/>
        <v>〇×〇×〇×--〇</v>
      </c>
      <c r="E25" s="7">
        <f t="shared" ca="1" si="77"/>
        <v>9</v>
      </c>
      <c r="F25" s="7">
        <f t="shared" ca="1" si="78"/>
        <v>1</v>
      </c>
      <c r="G25" s="1" t="str">
        <f t="shared" ca="1" si="116"/>
        <v>〇×〇×〇×--〇</v>
      </c>
      <c r="H25" s="20" t="b">
        <f t="shared" ca="1" si="80"/>
        <v>1</v>
      </c>
      <c r="I25" s="22">
        <f t="shared" ca="1" si="114"/>
        <v>-1</v>
      </c>
      <c r="J25" s="1" t="b">
        <f ca="1">(1&lt;COUNTIF(D$10:D25,D25))</f>
        <v>1</v>
      </c>
      <c r="K25" s="1" t="b">
        <f t="shared" ca="1" si="81"/>
        <v>1</v>
      </c>
      <c r="L25" s="7">
        <f ca="1">MATCH(TRUE,K25:K$1048576,FALSE)-1</f>
        <v>0</v>
      </c>
      <c r="M25" s="24" t="str">
        <f t="shared" ca="1" si="13"/>
        <v>〇×〇×〇×--〇_9</v>
      </c>
      <c r="N25" s="25">
        <f t="shared" ca="1" si="82"/>
        <v>-2.2535161742124597E-5</v>
      </c>
      <c r="O25" s="26">
        <f t="shared" ca="1" si="83"/>
        <v>-1</v>
      </c>
      <c r="P25" s="27">
        <f t="shared" ca="1" si="84"/>
        <v>-1</v>
      </c>
      <c r="R25" s="41" t="str">
        <f ca="1">VLOOKUP(S25,cvt!$B$2:$C$4,2,FALSE)&amp;VLOOKUP(T25,cvt!$B$2:$C$4,2,FALSE)&amp;VLOOKUP(U25,cvt!$B$2:$C$4,2,FALSE)
&amp;VLOOKUP(V25,cvt!$B$2:$C$4,2,FALSE)&amp;VLOOKUP(W25,cvt!$B$2:$C$4,2,FALSE)&amp;VLOOKUP(X25,cvt!$B$2:$C$4,2,FALSE)
&amp;VLOOKUP(Y25,cvt!$B$2:$C$4,2,FALSE)&amp;VLOOKUP(Z25,cvt!$B$2:$C$4,2,FALSE)&amp;VLOOKUP(AA25,cvt!$B$2:$C$4,2,FALSE)</f>
        <v>〇×〇×〇×--〇</v>
      </c>
      <c r="S25" s="7">
        <f ca="1">VLOOKUP(MID($D25,S$9+1,1), cvt!$A$2:$B$4,2, FALSE)</f>
        <v>1</v>
      </c>
      <c r="T25" s="7">
        <f ca="1">VLOOKUP(MID($D25,T$9+1,1), cvt!$A$2:$B$4,2, FALSE)</f>
        <v>-1</v>
      </c>
      <c r="U25" s="7">
        <f ca="1">VLOOKUP(MID($D25,U$9+1,1), cvt!$A$2:$B$4,2, FALSE)</f>
        <v>1</v>
      </c>
      <c r="V25" s="17">
        <f ca="1">VLOOKUP(MID($D25,V$9+1,1), cvt!$A$2:$B$4,2, FALSE)</f>
        <v>-1</v>
      </c>
      <c r="W25" s="7">
        <f ca="1">VLOOKUP(MID($D25,W$9+1,1), cvt!$A$2:$B$4,2, FALSE)</f>
        <v>1</v>
      </c>
      <c r="X25" s="18">
        <f ca="1">VLOOKUP(MID($D25,X$9+1,1), cvt!$A$2:$B$4,2, FALSE)</f>
        <v>-1</v>
      </c>
      <c r="Y25" s="7">
        <f ca="1">VLOOKUP(MID($D25,Y$9+1,1), cvt!$A$2:$B$4,2, FALSE)</f>
        <v>0</v>
      </c>
      <c r="Z25" s="7">
        <f ca="1">VLOOKUP(MID($D25,Z$9+1,1), cvt!$A$2:$B$4,2, FALSE)</f>
        <v>0</v>
      </c>
      <c r="AA25" s="42">
        <f ca="1">VLOOKUP(MID($D25,AA$9+1,1), cvt!$A$2:$B$4,2, FALSE)</f>
        <v>1</v>
      </c>
      <c r="AB25" s="7">
        <f t="shared" ca="1" si="85"/>
        <v>1</v>
      </c>
      <c r="AC25" s="50" t="b">
        <f t="shared" ca="1" si="86"/>
        <v>1</v>
      </c>
      <c r="AE25" s="19" t="str">
        <f ca="1">VLOOKUP(AF25,cvt!$B$2:$C$4,2,FALSE)&amp;VLOOKUP(AG25,cvt!$B$2:$C$4,2,FALSE)&amp;VLOOKUP(AH25,cvt!$B$2:$C$4,2,FALSE)
&amp;VLOOKUP(AI25,cvt!$B$2:$C$4,2,FALSE)&amp;VLOOKUP(AJ25,cvt!$B$2:$C$4,2,FALSE)&amp;VLOOKUP(AK25,cvt!$B$2:$C$4,2,FALSE)
&amp;VLOOKUP(AL25,cvt!$B$2:$C$4,2,FALSE)&amp;VLOOKUP(AM25,cvt!$B$2:$C$4,2,FALSE)&amp;VLOOKUP(AN25,cvt!$B$2:$C$4,2,FALSE)</f>
        <v>〇×〇×〇×--〇</v>
      </c>
      <c r="AF25" s="17">
        <f t="shared" ca="1" si="14"/>
        <v>1</v>
      </c>
      <c r="AG25" s="7">
        <f t="shared" ca="1" si="15"/>
        <v>-1</v>
      </c>
      <c r="AH25" s="7">
        <f t="shared" ca="1" si="16"/>
        <v>1</v>
      </c>
      <c r="AI25" s="17">
        <f t="shared" ca="1" si="17"/>
        <v>-1</v>
      </c>
      <c r="AJ25" s="7">
        <f t="shared" ca="1" si="18"/>
        <v>1</v>
      </c>
      <c r="AK25" s="18">
        <f t="shared" ca="1" si="19"/>
        <v>-1</v>
      </c>
      <c r="AL25" s="7">
        <f t="shared" ca="1" si="20"/>
        <v>0</v>
      </c>
      <c r="AM25" s="7">
        <f t="shared" ca="1" si="21"/>
        <v>0</v>
      </c>
      <c r="AN25" s="18">
        <f t="shared" ca="1" si="22"/>
        <v>1</v>
      </c>
      <c r="AO25" s="7">
        <f t="shared" ca="1" si="115"/>
        <v>1</v>
      </c>
      <c r="AP25" s="50" t="b">
        <f t="shared" ca="1" si="87"/>
        <v>1</v>
      </c>
      <c r="AS25" s="22">
        <f t="shared" ca="1" si="88"/>
        <v>0</v>
      </c>
      <c r="AT25" s="7">
        <f t="shared" ca="1" si="23"/>
        <v>0</v>
      </c>
      <c r="AU25" s="7">
        <f t="shared" ca="1" si="24"/>
        <v>0</v>
      </c>
      <c r="AV25" s="7">
        <f t="shared" ca="1" si="25"/>
        <v>0</v>
      </c>
      <c r="AW25" s="7">
        <f t="shared" ca="1" si="26"/>
        <v>0</v>
      </c>
      <c r="AX25" s="7">
        <f t="shared" ca="1" si="27"/>
        <v>0</v>
      </c>
      <c r="AY25" s="7">
        <f t="shared" ca="1" si="28"/>
        <v>0</v>
      </c>
      <c r="AZ25" s="7">
        <f t="shared" ca="1" si="29"/>
        <v>0</v>
      </c>
      <c r="BA25" s="18">
        <f t="shared" ca="1" si="30"/>
        <v>0</v>
      </c>
      <c r="BB25" s="295">
        <f t="shared" ca="1" si="89"/>
        <v>1</v>
      </c>
      <c r="BD25" s="132"/>
      <c r="BE25" s="297">
        <f t="shared" ca="1" si="90"/>
        <v>1</v>
      </c>
      <c r="BF25" s="298">
        <f t="shared" ca="1" si="31"/>
        <v>0.65029522127322903</v>
      </c>
      <c r="BG25" s="298">
        <f t="shared" ca="1" si="32"/>
        <v>0.66028983545318687</v>
      </c>
      <c r="BH25" s="318">
        <f t="shared" ca="1" si="33"/>
        <v>0.64972655813153501</v>
      </c>
      <c r="BI25" s="298">
        <f t="shared" ca="1" si="34"/>
        <v>0.65002804502111444</v>
      </c>
      <c r="BJ25" s="299">
        <f t="shared" ca="1" si="35"/>
        <v>0.65029320640965171</v>
      </c>
      <c r="BK25" s="298">
        <f t="shared" ca="1" si="36"/>
        <v>0.64942668056342145</v>
      </c>
      <c r="BL25" s="298">
        <f t="shared" ca="1" si="37"/>
        <v>0.61083952513994022</v>
      </c>
      <c r="BM25" s="299">
        <f t="shared" ca="1" si="38"/>
        <v>0.6508682169276182</v>
      </c>
      <c r="BN25" s="295">
        <f t="shared" ca="1" si="39"/>
        <v>0.17402001625314881</v>
      </c>
      <c r="BO25" s="248">
        <f t="shared" ca="1" si="91"/>
        <v>-2.2535161742124597E-5</v>
      </c>
      <c r="BQ25" s="304">
        <f t="shared" ca="1" si="92"/>
        <v>0.1741200162531488</v>
      </c>
      <c r="BR25" s="297">
        <f t="shared" ca="1" si="93"/>
        <v>0</v>
      </c>
      <c r="BS25" s="298">
        <f t="shared" ca="1" si="40"/>
        <v>0</v>
      </c>
      <c r="BT25" s="298">
        <f t="shared" ca="1" si="41"/>
        <v>0</v>
      </c>
      <c r="BU25" s="318">
        <f t="shared" ca="1" si="42"/>
        <v>0</v>
      </c>
      <c r="BV25" s="298">
        <f t="shared" ca="1" si="43"/>
        <v>0</v>
      </c>
      <c r="BW25" s="299">
        <f t="shared" ca="1" si="44"/>
        <v>0</v>
      </c>
      <c r="BX25" s="298">
        <f t="shared" ca="1" si="45"/>
        <v>0</v>
      </c>
      <c r="BY25" s="298">
        <f t="shared" ca="1" si="46"/>
        <v>0</v>
      </c>
      <c r="BZ25" s="298">
        <f t="shared" ca="1" si="47"/>
        <v>0</v>
      </c>
      <c r="CA25" s="315">
        <f t="shared" ca="1" si="48"/>
        <v>0.1741200162531488</v>
      </c>
      <c r="CC25" s="52"/>
      <c r="CD25" s="306">
        <f t="shared" ca="1" si="94"/>
        <v>0</v>
      </c>
      <c r="CE25" s="15">
        <f t="shared" ca="1" si="49"/>
        <v>0</v>
      </c>
      <c r="CF25" s="15">
        <f t="shared" ca="1" si="50"/>
        <v>0</v>
      </c>
      <c r="CG25" s="286">
        <f t="shared" ca="1" si="51"/>
        <v>0</v>
      </c>
      <c r="CH25" s="15">
        <f t="shared" ca="1" si="52"/>
        <v>0</v>
      </c>
      <c r="CI25" s="288">
        <f t="shared" ca="1" si="53"/>
        <v>0</v>
      </c>
      <c r="CJ25" s="15">
        <f t="shared" ca="1" si="54"/>
        <v>0</v>
      </c>
      <c r="CK25" s="15">
        <f t="shared" ca="1" si="55"/>
        <v>0</v>
      </c>
      <c r="CL25" s="15">
        <f t="shared" ca="1" si="56"/>
        <v>0</v>
      </c>
      <c r="CM25" s="313">
        <f t="shared" ca="1" si="57"/>
        <v>1</v>
      </c>
      <c r="CO25" s="320">
        <f t="shared" ca="1" si="95"/>
        <v>14</v>
      </c>
      <c r="CP25" s="22">
        <f ca="1">COUNTIFS($C$10:$C24,"&lt;"&amp;$C25,$M$10:$M24,$D25&amp;"_"&amp;CP$9)</f>
        <v>0</v>
      </c>
      <c r="CQ25" s="7">
        <f ca="1">COUNTIFS($C$10:$C24,"&lt;"&amp;$C25,$M$10:$M24,$D25&amp;"_"&amp;CQ$9)</f>
        <v>0</v>
      </c>
      <c r="CR25" s="7">
        <f ca="1">COUNTIFS($C$10:$C24,"&lt;"&amp;$C25,$M$10:$M24,$D25&amp;"_"&amp;CR$9)</f>
        <v>0</v>
      </c>
      <c r="CS25" s="17">
        <f ca="1">COUNTIFS($C$10:$C24,"&lt;"&amp;$C25,$M$10:$M24,$D25&amp;"_"&amp;CS$9)</f>
        <v>0</v>
      </c>
      <c r="CT25" s="7">
        <f ca="1">COUNTIFS($C$10:$C24,"&lt;"&amp;$C25,$M$10:$M24,$D25&amp;"_"&amp;CT$9)</f>
        <v>0</v>
      </c>
      <c r="CU25" s="18">
        <f ca="1">COUNTIFS($C$10:$C24,"&lt;"&amp;$C25,$M$10:$M24,$D25&amp;"_"&amp;CU$9)</f>
        <v>0</v>
      </c>
      <c r="CV25" s="7">
        <f ca="1">COUNTIFS($C$10:$C24,"&lt;"&amp;$C25,$M$10:$M24,$D25&amp;"_"&amp;CV$9)</f>
        <v>0</v>
      </c>
      <c r="CW25" s="7">
        <f ca="1">COUNTIFS($C$10:$C24,"&lt;"&amp;$C25,$M$10:$M24,$D25&amp;"_"&amp;CW$9)</f>
        <v>0</v>
      </c>
      <c r="CX25" s="7">
        <f ca="1">COUNTIFS($C$10:$C24,"&lt;"&amp;$C25,$M$10:$M24,$D25&amp;"_"&amp;CX$9)</f>
        <v>0</v>
      </c>
      <c r="CY25" s="221">
        <f ca="1">COUNTIFS($C$10:$C24,"&lt;"&amp;$C25,$M$10:$M24,$D25&amp;"_"&amp;CY$9)</f>
        <v>14</v>
      </c>
      <c r="DA25" s="20"/>
      <c r="DB25" s="308">
        <f ca="1">IF(CP25=0,0,SUMIFS($P$10:$P24, $C$10:$C24,"&lt;"&amp;$C25, $M$10:$M24,$D25&amp;"_"&amp;DB$9)/CP25)</f>
        <v>0</v>
      </c>
      <c r="DC25" s="263">
        <f ca="1">IF(CQ25=0,0,SUMIFS($P$10:$P24, $C$10:$C24,"&lt;"&amp;$C25, $M$10:$M24,$D25&amp;"_"&amp;DC$9)/CQ25)</f>
        <v>0</v>
      </c>
      <c r="DD25" s="263">
        <f ca="1">IF(CR25=0,0,SUMIFS($P$10:$P24, $C$10:$C24,"&lt;"&amp;$C25, $M$10:$M24,$D25&amp;"_"&amp;DD$9)/CR25)</f>
        <v>0</v>
      </c>
      <c r="DE25" s="262">
        <f ca="1">IF(CS25=0,0,SUMIFS($P$10:$P24, $C$10:$C24,"&lt;"&amp;$C25, $M$10:$M24,$D25&amp;"_"&amp;DE$9)/CS25)</f>
        <v>0</v>
      </c>
      <c r="DF25" s="263">
        <f ca="1">IF(CT25=0,0,SUMIFS($P$10:$P24, $C$10:$C24,"&lt;"&amp;$C25, $M$10:$M24,$D25&amp;"_"&amp;DF$9)/CT25)</f>
        <v>0</v>
      </c>
      <c r="DG25" s="310">
        <f ca="1">IF(CU25=0,0,SUMIFS($P$10:$P24, $C$10:$C24,"&lt;"&amp;$C25, $M$10:$M24,$D25&amp;"_"&amp;DG$9)/CU25)</f>
        <v>0</v>
      </c>
      <c r="DH25" s="263">
        <f ca="1">IF(CV25=0,0,SUMIFS($P$10:$P24, $C$10:$C24,"&lt;"&amp;$C25, $M$10:$M24,$D25&amp;"_"&amp;DH$9)/CV25)</f>
        <v>0</v>
      </c>
      <c r="DI25" s="263">
        <f ca="1">IF(CW25=0,0,SUMIFS($P$10:$P24, $C$10:$C24,"&lt;"&amp;$C25, $M$10:$M24,$D25&amp;"_"&amp;DI$9)/CW25)</f>
        <v>0</v>
      </c>
      <c r="DJ25" s="264">
        <f ca="1">IF(CX25=0,0,SUMIFS($P$10:$P24, $C$10:$C24,"&lt;"&amp;$C25, $M$10:$M24,$D25&amp;"_"&amp;DJ$9)/CX25)</f>
        <v>0</v>
      </c>
      <c r="DK25" s="264">
        <f ca="1">IF(CY25=0,0,SUMIFS($P$10:$P24, $C$10:$C24,"&lt;"&amp;$C25, $M$10:$M24,$D25&amp;"_"&amp;DK$9)/CY25)</f>
        <v>-1</v>
      </c>
      <c r="DM25" s="104"/>
      <c r="DN25" s="306">
        <f t="shared" ca="1" si="96"/>
        <v>-9999</v>
      </c>
      <c r="DO25" s="15">
        <f t="shared" ca="1" si="58"/>
        <v>-9999</v>
      </c>
      <c r="DP25" s="15">
        <f t="shared" ca="1" si="59"/>
        <v>-9999</v>
      </c>
      <c r="DQ25" s="15">
        <f t="shared" ca="1" si="60"/>
        <v>-9999</v>
      </c>
      <c r="DR25" s="15">
        <f t="shared" ca="1" si="61"/>
        <v>-9999</v>
      </c>
      <c r="DS25" s="15">
        <f t="shared" ca="1" si="62"/>
        <v>-9999</v>
      </c>
      <c r="DT25" s="15">
        <f t="shared" ca="1" si="63"/>
        <v>-9999</v>
      </c>
      <c r="DU25" s="15">
        <f t="shared" ca="1" si="64"/>
        <v>-9999</v>
      </c>
      <c r="DV25" s="52">
        <f t="shared" ca="1" si="65"/>
        <v>-9999</v>
      </c>
      <c r="DW25" s="313">
        <f t="shared" ca="1" si="66"/>
        <v>-0.75055617421507059</v>
      </c>
      <c r="DX25" s="52"/>
      <c r="DY25" s="402">
        <f t="shared" ca="1" si="97"/>
        <v>9</v>
      </c>
      <c r="ED25" s="19">
        <f t="shared" ca="1" si="67"/>
        <v>-1</v>
      </c>
      <c r="EE25" s="1">
        <f t="shared" ca="1" si="68"/>
        <v>1</v>
      </c>
      <c r="EF25" s="1">
        <f t="shared" ca="1" si="69"/>
        <v>-1</v>
      </c>
      <c r="EG25" s="2">
        <f t="shared" ca="1" si="70"/>
        <v>1</v>
      </c>
      <c r="EH25" s="1">
        <f t="shared" ca="1" si="71"/>
        <v>-1</v>
      </c>
      <c r="EI25" s="3">
        <f t="shared" ca="1" si="72"/>
        <v>1</v>
      </c>
      <c r="EJ25" s="1">
        <f t="shared" ca="1" si="73"/>
        <v>0</v>
      </c>
      <c r="EK25" s="1">
        <f t="shared" ca="1" si="74"/>
        <v>0</v>
      </c>
      <c r="EL25" s="20">
        <f t="shared" ca="1" si="75"/>
        <v>-1</v>
      </c>
      <c r="EN25" s="86">
        <f ca="1">MAX(0, SUMPRODUCT($ED25:$EL25,OFFSET(DNN!$E$9:$M$9,EN$9,0)) + OFFSET(DNN!$D$9,EN$9,0))</f>
        <v>0</v>
      </c>
      <c r="EO25" s="84">
        <f ca="1">MAX(0, SUMPRODUCT($ED25:$EL25,OFFSET(DNN!$E$9:$M$9,EO$9,0)) + OFFSET(DNN!$D$9,EO$9,0))</f>
        <v>7.2346022384755949E-3</v>
      </c>
      <c r="EP25" s="84">
        <f ca="1">MAX(0, SUMPRODUCT($ED25:$EL25,OFFSET(DNN!$E$9:$M$9,EP$9,0)) + OFFSET(DNN!$D$9,EP$9,0))</f>
        <v>3.6951849750035152E-3</v>
      </c>
      <c r="EQ25" s="84">
        <f ca="1">MAX(0, SUMPRODUCT($ED25:$EL25,OFFSET(DNN!$E$9:$M$9,EQ$9,0)) + OFFSET(DNN!$D$9,EQ$9,0))</f>
        <v>0</v>
      </c>
      <c r="ER25" s="85">
        <f ca="1">MAX(0, SUMPRODUCT($ED25:$EL25,OFFSET(DNN!$E$9:$M$9,ER$9,0)) + OFFSET(DNN!$D$9,ER$9,0))</f>
        <v>0</v>
      </c>
      <c r="ET25" s="86">
        <f ca="1">MAX(0, SUMPRODUCT($EN25:$ER25,OFFSET(DNN!$Q$9:$U$9,ET$9,0)) + OFFSET(DNN!$P$9,ET$9,0))</f>
        <v>4.3954959453478351E-4</v>
      </c>
      <c r="EU25" s="84">
        <f ca="1">MAX(0, SUMPRODUCT($EN25:$ER25,OFFSET(DNN!$Q$9:$U$9,EU$9,0)) + OFFSET(DNN!$P$9,EU$9,0))</f>
        <v>0</v>
      </c>
      <c r="EV25" s="84">
        <f ca="1">MAX(0, SUMPRODUCT($EN25:$ER25,OFFSET(DNN!$Q$9:$U$9,EV$9,0)) + OFFSET(DNN!$P$9,EV$9,0))</f>
        <v>1.2810123361902579E-3</v>
      </c>
      <c r="EW25" s="84">
        <f ca="1">MAX(0, SUMPRODUCT($EN25:$ER25,OFFSET(DNN!$Q$9:$U$9,EW$9,0)) + OFFSET(DNN!$P$9,EW$9,0))</f>
        <v>7.8382123007882457E-4</v>
      </c>
      <c r="EX25" s="85">
        <f ca="1">MAX(0, SUMPRODUCT($EN25:$ER25,OFFSET(DNN!$Q$9:$U$9,EX$9,0)) + OFFSET(DNN!$P$9,EX$9,0))</f>
        <v>0</v>
      </c>
      <c r="EZ25" s="111">
        <f ca="1">SUMPRODUCT($ET25:$EX25,OFFSET(DNN!$Y$9:$AC$9,EZ$9,0)) + OFFSET(DNN!$X$9,EZ$9,0)</f>
        <v>0.43031618918982212</v>
      </c>
      <c r="FA25" s="97">
        <f ca="1">SUMPRODUCT($ET25:$EX25,OFFSET(DNN!$Y$9:$AC$9,FA$9,0)) + OFFSET(DNN!$X$9,FA$9,0)</f>
        <v>-1.2643439935754107E-5</v>
      </c>
      <c r="FB25" s="97">
        <f ca="1">SUMPRODUCT($ET25:$EX25,OFFSET(DNN!$Y$9:$AC$9,FB$9,0)) + OFFSET(DNN!$X$9,FB$9,0)</f>
        <v>1.5239793458415756E-2</v>
      </c>
      <c r="FC25" s="97">
        <f ca="1">SUMPRODUCT($ET25:$EX25,OFFSET(DNN!$Y$9:$AC$9,FC$9,0)) + OFFSET(DNN!$X$9,FC$9,0)</f>
        <v>-8.8749521084055777E-4</v>
      </c>
      <c r="FD25" s="97">
        <f ca="1">SUMPRODUCT($ET25:$EX25,OFFSET(DNN!$Y$9:$AC$9,FD$9,0)) + OFFSET(DNN!$X$9,FD$9,0)</f>
        <v>-4.235816470721872E-4</v>
      </c>
      <c r="FE25" s="97">
        <f ca="1">SUMPRODUCT($ET25:$EX25,OFFSET(DNN!$Y$9:$AC$9,FE$9,0)) + OFFSET(DNN!$X$9,FE$9,0)</f>
        <v>-1.574182761064886E-5</v>
      </c>
      <c r="FF25" s="97">
        <f ca="1">SUMPRODUCT($ET25:$EX25,OFFSET(DNN!$Y$9:$AC$9,FF$9,0)) + OFFSET(DNN!$X$9,FF$9,0)</f>
        <v>-1.3491460223194656E-3</v>
      </c>
      <c r="FG25" s="97">
        <f ca="1">SUMPRODUCT($ET25:$EX25,OFFSET(DNN!$Y$9:$AC$9,FG$9,0)) + OFFSET(DNN!$X$9,FG$9,0)</f>
        <v>-6.2604808096248285E-2</v>
      </c>
      <c r="FH25" s="97">
        <f ca="1">SUMPRODUCT($ET25:$EX25,OFFSET(DNN!$Y$9:$AC$9,FH$9,0)) + OFFSET(DNN!$X$9,FH$9,0)</f>
        <v>8.6810016937029894E-4</v>
      </c>
      <c r="FI25" s="108">
        <f ca="1">SUMPRODUCT($ET25:$EX25,OFFSET(DNN!$Y$9:$AC$9,FI$9,0)) + OFFSET(DNN!$X$9,FI$9,0)</f>
        <v>-1.3182687612562751</v>
      </c>
      <c r="FJ25" s="98">
        <f ca="1">SUMPRODUCT($ET25:$EX25,OFFSET(DNN!$Y$9:$AC$9,FJ$9,0)) + OFFSET(DNN!$X$9,FJ$9,0)</f>
        <v>-2.2535161745939301E-5</v>
      </c>
      <c r="FL25" s="415">
        <f t="shared" ca="1" si="98"/>
        <v>0.43031618918982212</v>
      </c>
      <c r="FM25" s="130">
        <f t="shared" ca="1" si="99"/>
        <v>1</v>
      </c>
      <c r="FN25" s="131">
        <f t="shared" ca="1" si="100"/>
        <v>0.65029522127322903</v>
      </c>
      <c r="FO25" s="131">
        <f t="shared" ca="1" si="101"/>
        <v>0.66028983545318687</v>
      </c>
      <c r="FP25" s="131">
        <f t="shared" ca="1" si="102"/>
        <v>0.64972655813153501</v>
      </c>
      <c r="FQ25" s="131">
        <f t="shared" ca="1" si="103"/>
        <v>0.65002804502111444</v>
      </c>
      <c r="FR25" s="131">
        <f t="shared" ca="1" si="104"/>
        <v>0.65029320640965171</v>
      </c>
      <c r="FS25" s="131">
        <f t="shared" ca="1" si="105"/>
        <v>0.64942668056342145</v>
      </c>
      <c r="FT25" s="131">
        <f t="shared" ca="1" si="106"/>
        <v>0.61083952513994022</v>
      </c>
      <c r="FU25" s="132">
        <f t="shared" ca="1" si="107"/>
        <v>0.6508682169276182</v>
      </c>
      <c r="FV25" s="131">
        <f t="shared" ca="1" si="108"/>
        <v>0.17402001625314881</v>
      </c>
      <c r="FW25" s="83">
        <f t="shared" ca="1" si="109"/>
        <v>-2.2535161742124597E-5</v>
      </c>
    </row>
    <row r="26" spans="1:179">
      <c r="A26" s="19">
        <f t="shared" si="117"/>
        <v>16</v>
      </c>
      <c r="B26" s="1">
        <f t="shared" ca="1" si="111"/>
        <v>0</v>
      </c>
      <c r="C26" s="20">
        <f t="shared" ca="1" si="112"/>
        <v>16</v>
      </c>
      <c r="D26" s="19" t="str">
        <f t="shared" ca="1" si="113"/>
        <v>〇×〇×〇×--〇</v>
      </c>
      <c r="E26" s="7">
        <f t="shared" ca="1" si="77"/>
        <v>9</v>
      </c>
      <c r="F26" s="7">
        <f t="shared" ca="1" si="78"/>
        <v>1</v>
      </c>
      <c r="G26" s="1" t="str">
        <f t="shared" ca="1" si="116"/>
        <v>〇×〇×〇×--〇</v>
      </c>
      <c r="H26" s="20" t="b">
        <f t="shared" ca="1" si="80"/>
        <v>1</v>
      </c>
      <c r="I26" s="22">
        <f t="shared" ca="1" si="114"/>
        <v>-1</v>
      </c>
      <c r="J26" s="1" t="b">
        <f ca="1">(1&lt;COUNTIF(D$10:D26,D26))</f>
        <v>1</v>
      </c>
      <c r="K26" s="1" t="b">
        <f t="shared" ca="1" si="81"/>
        <v>1</v>
      </c>
      <c r="L26" s="7">
        <f ca="1">MATCH(TRUE,K26:K$1048576,FALSE)-1</f>
        <v>0</v>
      </c>
      <c r="M26" s="24" t="str">
        <f t="shared" ca="1" si="13"/>
        <v>〇×〇×〇×--〇_9</v>
      </c>
      <c r="N26" s="25">
        <f t="shared" ca="1" si="82"/>
        <v>-2.2535161742124597E-5</v>
      </c>
      <c r="O26" s="26">
        <f t="shared" ca="1" si="83"/>
        <v>-1</v>
      </c>
      <c r="P26" s="27">
        <f t="shared" ca="1" si="84"/>
        <v>-1</v>
      </c>
      <c r="R26" s="41" t="str">
        <f ca="1">VLOOKUP(S26,cvt!$B$2:$C$4,2,FALSE)&amp;VLOOKUP(T26,cvt!$B$2:$C$4,2,FALSE)&amp;VLOOKUP(U26,cvt!$B$2:$C$4,2,FALSE)
&amp;VLOOKUP(V26,cvt!$B$2:$C$4,2,FALSE)&amp;VLOOKUP(W26,cvt!$B$2:$C$4,2,FALSE)&amp;VLOOKUP(X26,cvt!$B$2:$C$4,2,FALSE)
&amp;VLOOKUP(Y26,cvt!$B$2:$C$4,2,FALSE)&amp;VLOOKUP(Z26,cvt!$B$2:$C$4,2,FALSE)&amp;VLOOKUP(AA26,cvt!$B$2:$C$4,2,FALSE)</f>
        <v>〇×〇×〇×--〇</v>
      </c>
      <c r="S26" s="7">
        <f ca="1">VLOOKUP(MID($D26,S$9+1,1), cvt!$A$2:$B$4,2, FALSE)</f>
        <v>1</v>
      </c>
      <c r="T26" s="7">
        <f ca="1">VLOOKUP(MID($D26,T$9+1,1), cvt!$A$2:$B$4,2, FALSE)</f>
        <v>-1</v>
      </c>
      <c r="U26" s="7">
        <f ca="1">VLOOKUP(MID($D26,U$9+1,1), cvt!$A$2:$B$4,2, FALSE)</f>
        <v>1</v>
      </c>
      <c r="V26" s="17">
        <f ca="1">VLOOKUP(MID($D26,V$9+1,1), cvt!$A$2:$B$4,2, FALSE)</f>
        <v>-1</v>
      </c>
      <c r="W26" s="7">
        <f ca="1">VLOOKUP(MID($D26,W$9+1,1), cvt!$A$2:$B$4,2, FALSE)</f>
        <v>1</v>
      </c>
      <c r="X26" s="18">
        <f ca="1">VLOOKUP(MID($D26,X$9+1,1), cvt!$A$2:$B$4,2, FALSE)</f>
        <v>-1</v>
      </c>
      <c r="Y26" s="7">
        <f ca="1">VLOOKUP(MID($D26,Y$9+1,1), cvt!$A$2:$B$4,2, FALSE)</f>
        <v>0</v>
      </c>
      <c r="Z26" s="7">
        <f ca="1">VLOOKUP(MID($D26,Z$9+1,1), cvt!$A$2:$B$4,2, FALSE)</f>
        <v>0</v>
      </c>
      <c r="AA26" s="42">
        <f ca="1">VLOOKUP(MID($D26,AA$9+1,1), cvt!$A$2:$B$4,2, FALSE)</f>
        <v>1</v>
      </c>
      <c r="AB26" s="7">
        <f t="shared" ca="1" si="85"/>
        <v>1</v>
      </c>
      <c r="AC26" s="50" t="b">
        <f t="shared" ca="1" si="86"/>
        <v>1</v>
      </c>
      <c r="AE26" s="19" t="str">
        <f ca="1">VLOOKUP(AF26,cvt!$B$2:$C$4,2,FALSE)&amp;VLOOKUP(AG26,cvt!$B$2:$C$4,2,FALSE)&amp;VLOOKUP(AH26,cvt!$B$2:$C$4,2,FALSE)
&amp;VLOOKUP(AI26,cvt!$B$2:$C$4,2,FALSE)&amp;VLOOKUP(AJ26,cvt!$B$2:$C$4,2,FALSE)&amp;VLOOKUP(AK26,cvt!$B$2:$C$4,2,FALSE)
&amp;VLOOKUP(AL26,cvt!$B$2:$C$4,2,FALSE)&amp;VLOOKUP(AM26,cvt!$B$2:$C$4,2,FALSE)&amp;VLOOKUP(AN26,cvt!$B$2:$C$4,2,FALSE)</f>
        <v>〇×〇×〇×--〇</v>
      </c>
      <c r="AF26" s="17">
        <f t="shared" ca="1" si="14"/>
        <v>1</v>
      </c>
      <c r="AG26" s="7">
        <f t="shared" ca="1" si="15"/>
        <v>-1</v>
      </c>
      <c r="AH26" s="7">
        <f t="shared" ca="1" si="16"/>
        <v>1</v>
      </c>
      <c r="AI26" s="17">
        <f t="shared" ca="1" si="17"/>
        <v>-1</v>
      </c>
      <c r="AJ26" s="7">
        <f t="shared" ca="1" si="18"/>
        <v>1</v>
      </c>
      <c r="AK26" s="18">
        <f t="shared" ca="1" si="19"/>
        <v>-1</v>
      </c>
      <c r="AL26" s="7">
        <f t="shared" ca="1" si="20"/>
        <v>0</v>
      </c>
      <c r="AM26" s="7">
        <f t="shared" ca="1" si="21"/>
        <v>0</v>
      </c>
      <c r="AN26" s="18">
        <f t="shared" ca="1" si="22"/>
        <v>1</v>
      </c>
      <c r="AO26" s="7">
        <f t="shared" ca="1" si="115"/>
        <v>1</v>
      </c>
      <c r="AP26" s="50" t="b">
        <f t="shared" ca="1" si="87"/>
        <v>1</v>
      </c>
      <c r="AS26" s="22">
        <f t="shared" ca="1" si="88"/>
        <v>0</v>
      </c>
      <c r="AT26" s="7">
        <f t="shared" ca="1" si="23"/>
        <v>0</v>
      </c>
      <c r="AU26" s="7">
        <f t="shared" ca="1" si="24"/>
        <v>0</v>
      </c>
      <c r="AV26" s="7">
        <f t="shared" ca="1" si="25"/>
        <v>0</v>
      </c>
      <c r="AW26" s="7">
        <f t="shared" ca="1" si="26"/>
        <v>0</v>
      </c>
      <c r="AX26" s="7">
        <f t="shared" ca="1" si="27"/>
        <v>0</v>
      </c>
      <c r="AY26" s="7">
        <f t="shared" ca="1" si="28"/>
        <v>0</v>
      </c>
      <c r="AZ26" s="7">
        <f t="shared" ca="1" si="29"/>
        <v>0</v>
      </c>
      <c r="BA26" s="18">
        <f t="shared" ca="1" si="30"/>
        <v>0</v>
      </c>
      <c r="BB26" s="295">
        <f t="shared" ca="1" si="89"/>
        <v>1</v>
      </c>
      <c r="BD26" s="132"/>
      <c r="BE26" s="297">
        <f t="shared" ca="1" si="90"/>
        <v>1</v>
      </c>
      <c r="BF26" s="298">
        <f t="shared" ca="1" si="31"/>
        <v>0.65029522127322903</v>
      </c>
      <c r="BG26" s="298">
        <f t="shared" ca="1" si="32"/>
        <v>0.66028983545318687</v>
      </c>
      <c r="BH26" s="318">
        <f t="shared" ca="1" si="33"/>
        <v>0.64972655813153501</v>
      </c>
      <c r="BI26" s="298">
        <f t="shared" ca="1" si="34"/>
        <v>0.65002804502111444</v>
      </c>
      <c r="BJ26" s="299">
        <f t="shared" ca="1" si="35"/>
        <v>0.65029320640965171</v>
      </c>
      <c r="BK26" s="298">
        <f t="shared" ca="1" si="36"/>
        <v>0.64942668056342145</v>
      </c>
      <c r="BL26" s="298">
        <f t="shared" ca="1" si="37"/>
        <v>0.61083952513994022</v>
      </c>
      <c r="BM26" s="299">
        <f t="shared" ca="1" si="38"/>
        <v>0.6508682169276182</v>
      </c>
      <c r="BN26" s="295">
        <f t="shared" ca="1" si="39"/>
        <v>0.17402001625314881</v>
      </c>
      <c r="BO26" s="248">
        <f t="shared" ca="1" si="91"/>
        <v>-2.2535161742124597E-5</v>
      </c>
      <c r="BQ26" s="304">
        <f t="shared" ca="1" si="92"/>
        <v>0.42412001625314877</v>
      </c>
      <c r="BR26" s="297">
        <f t="shared" ca="1" si="93"/>
        <v>0</v>
      </c>
      <c r="BS26" s="298">
        <f t="shared" ca="1" si="40"/>
        <v>0</v>
      </c>
      <c r="BT26" s="298">
        <f t="shared" ca="1" si="41"/>
        <v>0</v>
      </c>
      <c r="BU26" s="318">
        <f t="shared" ca="1" si="42"/>
        <v>0</v>
      </c>
      <c r="BV26" s="298">
        <f t="shared" ca="1" si="43"/>
        <v>0</v>
      </c>
      <c r="BW26" s="299">
        <f t="shared" ca="1" si="44"/>
        <v>0</v>
      </c>
      <c r="BX26" s="298">
        <f t="shared" ca="1" si="45"/>
        <v>0</v>
      </c>
      <c r="BY26" s="298">
        <f t="shared" ca="1" si="46"/>
        <v>0</v>
      </c>
      <c r="BZ26" s="298">
        <f t="shared" ca="1" si="47"/>
        <v>0</v>
      </c>
      <c r="CA26" s="315">
        <f t="shared" ca="1" si="48"/>
        <v>0.42412001625314877</v>
      </c>
      <c r="CC26" s="52"/>
      <c r="CD26" s="306">
        <f t="shared" ca="1" si="94"/>
        <v>0</v>
      </c>
      <c r="CE26" s="15">
        <f t="shared" ca="1" si="49"/>
        <v>0</v>
      </c>
      <c r="CF26" s="15">
        <f t="shared" ca="1" si="50"/>
        <v>0</v>
      </c>
      <c r="CG26" s="286">
        <f t="shared" ca="1" si="51"/>
        <v>0</v>
      </c>
      <c r="CH26" s="15">
        <f t="shared" ca="1" si="52"/>
        <v>0</v>
      </c>
      <c r="CI26" s="288">
        <f t="shared" ca="1" si="53"/>
        <v>0</v>
      </c>
      <c r="CJ26" s="15">
        <f t="shared" ca="1" si="54"/>
        <v>0</v>
      </c>
      <c r="CK26" s="15">
        <f t="shared" ca="1" si="55"/>
        <v>0</v>
      </c>
      <c r="CL26" s="15">
        <f t="shared" ca="1" si="56"/>
        <v>0</v>
      </c>
      <c r="CM26" s="313">
        <f t="shared" ca="1" si="57"/>
        <v>1</v>
      </c>
      <c r="CO26" s="320">
        <f t="shared" ca="1" si="95"/>
        <v>15</v>
      </c>
      <c r="CP26" s="22">
        <f ca="1">COUNTIFS($C$10:$C25,"&lt;"&amp;$C26,$M$10:$M25,$D26&amp;"_"&amp;CP$9)</f>
        <v>0</v>
      </c>
      <c r="CQ26" s="7">
        <f ca="1">COUNTIFS($C$10:$C25,"&lt;"&amp;$C26,$M$10:$M25,$D26&amp;"_"&amp;CQ$9)</f>
        <v>0</v>
      </c>
      <c r="CR26" s="7">
        <f ca="1">COUNTIFS($C$10:$C25,"&lt;"&amp;$C26,$M$10:$M25,$D26&amp;"_"&amp;CR$9)</f>
        <v>0</v>
      </c>
      <c r="CS26" s="17">
        <f ca="1">COUNTIFS($C$10:$C25,"&lt;"&amp;$C26,$M$10:$M25,$D26&amp;"_"&amp;CS$9)</f>
        <v>0</v>
      </c>
      <c r="CT26" s="7">
        <f ca="1">COUNTIFS($C$10:$C25,"&lt;"&amp;$C26,$M$10:$M25,$D26&amp;"_"&amp;CT$9)</f>
        <v>0</v>
      </c>
      <c r="CU26" s="18">
        <f ca="1">COUNTIFS($C$10:$C25,"&lt;"&amp;$C26,$M$10:$M25,$D26&amp;"_"&amp;CU$9)</f>
        <v>0</v>
      </c>
      <c r="CV26" s="7">
        <f ca="1">COUNTIFS($C$10:$C25,"&lt;"&amp;$C26,$M$10:$M25,$D26&amp;"_"&amp;CV$9)</f>
        <v>0</v>
      </c>
      <c r="CW26" s="7">
        <f ca="1">COUNTIFS($C$10:$C25,"&lt;"&amp;$C26,$M$10:$M25,$D26&amp;"_"&amp;CW$9)</f>
        <v>0</v>
      </c>
      <c r="CX26" s="7">
        <f ca="1">COUNTIFS($C$10:$C25,"&lt;"&amp;$C26,$M$10:$M25,$D26&amp;"_"&amp;CX$9)</f>
        <v>0</v>
      </c>
      <c r="CY26" s="221">
        <f ca="1">COUNTIFS($C$10:$C25,"&lt;"&amp;$C26,$M$10:$M25,$D26&amp;"_"&amp;CY$9)</f>
        <v>15</v>
      </c>
      <c r="DA26" s="20"/>
      <c r="DB26" s="308">
        <f ca="1">IF(CP26=0,0,SUMIFS($P$10:$P25, $C$10:$C25,"&lt;"&amp;$C26, $M$10:$M25,$D26&amp;"_"&amp;DB$9)/CP26)</f>
        <v>0</v>
      </c>
      <c r="DC26" s="263">
        <f ca="1">IF(CQ26=0,0,SUMIFS($P$10:$P25, $C$10:$C25,"&lt;"&amp;$C26, $M$10:$M25,$D26&amp;"_"&amp;DC$9)/CQ26)</f>
        <v>0</v>
      </c>
      <c r="DD26" s="263">
        <f ca="1">IF(CR26=0,0,SUMIFS($P$10:$P25, $C$10:$C25,"&lt;"&amp;$C26, $M$10:$M25,$D26&amp;"_"&amp;DD$9)/CR26)</f>
        <v>0</v>
      </c>
      <c r="DE26" s="262">
        <f ca="1">IF(CS26=0,0,SUMIFS($P$10:$P25, $C$10:$C25,"&lt;"&amp;$C26, $M$10:$M25,$D26&amp;"_"&amp;DE$9)/CS26)</f>
        <v>0</v>
      </c>
      <c r="DF26" s="263">
        <f ca="1">IF(CT26=0,0,SUMIFS($P$10:$P25, $C$10:$C25,"&lt;"&amp;$C26, $M$10:$M25,$D26&amp;"_"&amp;DF$9)/CT26)</f>
        <v>0</v>
      </c>
      <c r="DG26" s="310">
        <f ca="1">IF(CU26=0,0,SUMIFS($P$10:$P25, $C$10:$C25,"&lt;"&amp;$C26, $M$10:$M25,$D26&amp;"_"&amp;DG$9)/CU26)</f>
        <v>0</v>
      </c>
      <c r="DH26" s="263">
        <f ca="1">IF(CV26=0,0,SUMIFS($P$10:$P25, $C$10:$C25,"&lt;"&amp;$C26, $M$10:$M25,$D26&amp;"_"&amp;DH$9)/CV26)</f>
        <v>0</v>
      </c>
      <c r="DI26" s="263">
        <f ca="1">IF(CW26=0,0,SUMIFS($P$10:$P25, $C$10:$C25,"&lt;"&amp;$C26, $M$10:$M25,$D26&amp;"_"&amp;DI$9)/CW26)</f>
        <v>0</v>
      </c>
      <c r="DJ26" s="264">
        <f ca="1">IF(CX26=0,0,SUMIFS($P$10:$P25, $C$10:$C25,"&lt;"&amp;$C26, $M$10:$M25,$D26&amp;"_"&amp;DJ$9)/CX26)</f>
        <v>0</v>
      </c>
      <c r="DK26" s="264">
        <f ca="1">IF(CY26=0,0,SUMIFS($P$10:$P25, $C$10:$C25,"&lt;"&amp;$C26, $M$10:$M25,$D26&amp;"_"&amp;DK$9)/CY26)</f>
        <v>-1</v>
      </c>
      <c r="DM26" s="104"/>
      <c r="DN26" s="306">
        <f t="shared" ca="1" si="96"/>
        <v>-9999</v>
      </c>
      <c r="DO26" s="15">
        <f t="shared" ca="1" si="58"/>
        <v>-9999</v>
      </c>
      <c r="DP26" s="15">
        <f t="shared" ca="1" si="59"/>
        <v>-9999</v>
      </c>
      <c r="DQ26" s="15">
        <f t="shared" ca="1" si="60"/>
        <v>-9999</v>
      </c>
      <c r="DR26" s="15">
        <f t="shared" ca="1" si="61"/>
        <v>-9999</v>
      </c>
      <c r="DS26" s="15">
        <f t="shared" ca="1" si="62"/>
        <v>-9999</v>
      </c>
      <c r="DT26" s="15">
        <f t="shared" ca="1" si="63"/>
        <v>-9999</v>
      </c>
      <c r="DU26" s="15">
        <f t="shared" ca="1" si="64"/>
        <v>-9999</v>
      </c>
      <c r="DV26" s="52">
        <f t="shared" ca="1" si="65"/>
        <v>-9999</v>
      </c>
      <c r="DW26" s="313">
        <f t="shared" ca="1" si="66"/>
        <v>-0.75793854086203649</v>
      </c>
      <c r="DX26" s="52"/>
      <c r="DY26" s="402">
        <f t="shared" ca="1" si="97"/>
        <v>9</v>
      </c>
      <c r="ED26" s="19">
        <f t="shared" ca="1" si="67"/>
        <v>-1</v>
      </c>
      <c r="EE26" s="1">
        <f t="shared" ca="1" si="68"/>
        <v>1</v>
      </c>
      <c r="EF26" s="1">
        <f t="shared" ca="1" si="69"/>
        <v>-1</v>
      </c>
      <c r="EG26" s="2">
        <f t="shared" ca="1" si="70"/>
        <v>1</v>
      </c>
      <c r="EH26" s="1">
        <f t="shared" ca="1" si="71"/>
        <v>-1</v>
      </c>
      <c r="EI26" s="3">
        <f t="shared" ca="1" si="72"/>
        <v>1</v>
      </c>
      <c r="EJ26" s="1">
        <f t="shared" ca="1" si="73"/>
        <v>0</v>
      </c>
      <c r="EK26" s="1">
        <f t="shared" ca="1" si="74"/>
        <v>0</v>
      </c>
      <c r="EL26" s="20">
        <f t="shared" ca="1" si="75"/>
        <v>-1</v>
      </c>
      <c r="EN26" s="86">
        <f ca="1">MAX(0, SUMPRODUCT($ED26:$EL26,OFFSET(DNN!$E$9:$M$9,EN$9,0)) + OFFSET(DNN!$D$9,EN$9,0))</f>
        <v>0</v>
      </c>
      <c r="EO26" s="84">
        <f ca="1">MAX(0, SUMPRODUCT($ED26:$EL26,OFFSET(DNN!$E$9:$M$9,EO$9,0)) + OFFSET(DNN!$D$9,EO$9,0))</f>
        <v>7.2346022384755949E-3</v>
      </c>
      <c r="EP26" s="84">
        <f ca="1">MAX(0, SUMPRODUCT($ED26:$EL26,OFFSET(DNN!$E$9:$M$9,EP$9,0)) + OFFSET(DNN!$D$9,EP$9,0))</f>
        <v>3.6951849750035152E-3</v>
      </c>
      <c r="EQ26" s="84">
        <f ca="1">MAX(0, SUMPRODUCT($ED26:$EL26,OFFSET(DNN!$E$9:$M$9,EQ$9,0)) + OFFSET(DNN!$D$9,EQ$9,0))</f>
        <v>0</v>
      </c>
      <c r="ER26" s="85">
        <f ca="1">MAX(0, SUMPRODUCT($ED26:$EL26,OFFSET(DNN!$E$9:$M$9,ER$9,0)) + OFFSET(DNN!$D$9,ER$9,0))</f>
        <v>0</v>
      </c>
      <c r="ET26" s="86">
        <f ca="1">MAX(0, SUMPRODUCT($EN26:$ER26,OFFSET(DNN!$Q$9:$U$9,ET$9,0)) + OFFSET(DNN!$P$9,ET$9,0))</f>
        <v>4.3954959453478351E-4</v>
      </c>
      <c r="EU26" s="84">
        <f ca="1">MAX(0, SUMPRODUCT($EN26:$ER26,OFFSET(DNN!$Q$9:$U$9,EU$9,0)) + OFFSET(DNN!$P$9,EU$9,0))</f>
        <v>0</v>
      </c>
      <c r="EV26" s="84">
        <f ca="1">MAX(0, SUMPRODUCT($EN26:$ER26,OFFSET(DNN!$Q$9:$U$9,EV$9,0)) + OFFSET(DNN!$P$9,EV$9,0))</f>
        <v>1.2810123361902579E-3</v>
      </c>
      <c r="EW26" s="84">
        <f ca="1">MAX(0, SUMPRODUCT($EN26:$ER26,OFFSET(DNN!$Q$9:$U$9,EW$9,0)) + OFFSET(DNN!$P$9,EW$9,0))</f>
        <v>7.8382123007882457E-4</v>
      </c>
      <c r="EX26" s="85">
        <f ca="1">MAX(0, SUMPRODUCT($EN26:$ER26,OFFSET(DNN!$Q$9:$U$9,EX$9,0)) + OFFSET(DNN!$P$9,EX$9,0))</f>
        <v>0</v>
      </c>
      <c r="EZ26" s="111">
        <f ca="1">SUMPRODUCT($ET26:$EX26,OFFSET(DNN!$Y$9:$AC$9,EZ$9,0)) + OFFSET(DNN!$X$9,EZ$9,0)</f>
        <v>0.43031618918982212</v>
      </c>
      <c r="FA26" s="97">
        <f ca="1">SUMPRODUCT($ET26:$EX26,OFFSET(DNN!$Y$9:$AC$9,FA$9,0)) + OFFSET(DNN!$X$9,FA$9,0)</f>
        <v>-1.2643439935754107E-5</v>
      </c>
      <c r="FB26" s="97">
        <f ca="1">SUMPRODUCT($ET26:$EX26,OFFSET(DNN!$Y$9:$AC$9,FB$9,0)) + OFFSET(DNN!$X$9,FB$9,0)</f>
        <v>1.5239793458415756E-2</v>
      </c>
      <c r="FC26" s="97">
        <f ca="1">SUMPRODUCT($ET26:$EX26,OFFSET(DNN!$Y$9:$AC$9,FC$9,0)) + OFFSET(DNN!$X$9,FC$9,0)</f>
        <v>-8.8749521084055777E-4</v>
      </c>
      <c r="FD26" s="97">
        <f ca="1">SUMPRODUCT($ET26:$EX26,OFFSET(DNN!$Y$9:$AC$9,FD$9,0)) + OFFSET(DNN!$X$9,FD$9,0)</f>
        <v>-4.235816470721872E-4</v>
      </c>
      <c r="FE26" s="97">
        <f ca="1">SUMPRODUCT($ET26:$EX26,OFFSET(DNN!$Y$9:$AC$9,FE$9,0)) + OFFSET(DNN!$X$9,FE$9,0)</f>
        <v>-1.574182761064886E-5</v>
      </c>
      <c r="FF26" s="97">
        <f ca="1">SUMPRODUCT($ET26:$EX26,OFFSET(DNN!$Y$9:$AC$9,FF$9,0)) + OFFSET(DNN!$X$9,FF$9,0)</f>
        <v>-1.3491460223194656E-3</v>
      </c>
      <c r="FG26" s="97">
        <f ca="1">SUMPRODUCT($ET26:$EX26,OFFSET(DNN!$Y$9:$AC$9,FG$9,0)) + OFFSET(DNN!$X$9,FG$9,0)</f>
        <v>-6.2604808096248285E-2</v>
      </c>
      <c r="FH26" s="97">
        <f ca="1">SUMPRODUCT($ET26:$EX26,OFFSET(DNN!$Y$9:$AC$9,FH$9,0)) + OFFSET(DNN!$X$9,FH$9,0)</f>
        <v>8.6810016937029894E-4</v>
      </c>
      <c r="FI26" s="108">
        <f ca="1">SUMPRODUCT($ET26:$EX26,OFFSET(DNN!$Y$9:$AC$9,FI$9,0)) + OFFSET(DNN!$X$9,FI$9,0)</f>
        <v>-1.3182687612562751</v>
      </c>
      <c r="FJ26" s="98">
        <f ca="1">SUMPRODUCT($ET26:$EX26,OFFSET(DNN!$Y$9:$AC$9,FJ$9,0)) + OFFSET(DNN!$X$9,FJ$9,0)</f>
        <v>-2.2535161745939301E-5</v>
      </c>
      <c r="FL26" s="415">
        <f t="shared" ca="1" si="98"/>
        <v>0.43031618918982212</v>
      </c>
      <c r="FM26" s="130">
        <f t="shared" ca="1" si="99"/>
        <v>1</v>
      </c>
      <c r="FN26" s="131">
        <f t="shared" ca="1" si="100"/>
        <v>0.65029522127322903</v>
      </c>
      <c r="FO26" s="131">
        <f t="shared" ca="1" si="101"/>
        <v>0.66028983545318687</v>
      </c>
      <c r="FP26" s="131">
        <f t="shared" ca="1" si="102"/>
        <v>0.64972655813153501</v>
      </c>
      <c r="FQ26" s="131">
        <f t="shared" ca="1" si="103"/>
        <v>0.65002804502111444</v>
      </c>
      <c r="FR26" s="131">
        <f t="shared" ca="1" si="104"/>
        <v>0.65029320640965171</v>
      </c>
      <c r="FS26" s="131">
        <f t="shared" ca="1" si="105"/>
        <v>0.64942668056342145</v>
      </c>
      <c r="FT26" s="131">
        <f t="shared" ca="1" si="106"/>
        <v>0.61083952513994022</v>
      </c>
      <c r="FU26" s="132">
        <f t="shared" ca="1" si="107"/>
        <v>0.6508682169276182</v>
      </c>
      <c r="FV26" s="131">
        <f t="shared" ca="1" si="108"/>
        <v>0.17402001625314881</v>
      </c>
      <c r="FW26" s="83">
        <f t="shared" ca="1" si="109"/>
        <v>-2.2535161742124597E-5</v>
      </c>
    </row>
    <row r="27" spans="1:179">
      <c r="A27" s="19">
        <f t="shared" si="117"/>
        <v>17</v>
      </c>
      <c r="B27" s="1">
        <f t="shared" ca="1" si="111"/>
        <v>0</v>
      </c>
      <c r="C27" s="20">
        <f t="shared" ca="1" si="112"/>
        <v>17</v>
      </c>
      <c r="D27" s="19" t="str">
        <f t="shared" ca="1" si="113"/>
        <v>〇×〇×〇×--〇</v>
      </c>
      <c r="E27" s="7">
        <f t="shared" ca="1" si="77"/>
        <v>9</v>
      </c>
      <c r="F27" s="7">
        <f t="shared" ca="1" si="78"/>
        <v>1</v>
      </c>
      <c r="G27" s="1" t="str">
        <f t="shared" ca="1" si="116"/>
        <v>〇×〇×〇×--〇</v>
      </c>
      <c r="H27" s="20" t="b">
        <f t="shared" ca="1" si="80"/>
        <v>1</v>
      </c>
      <c r="I27" s="22">
        <f t="shared" ca="1" si="114"/>
        <v>-1</v>
      </c>
      <c r="J27" s="1" t="b">
        <f ca="1">(1&lt;COUNTIF(D$10:D27,D27))</f>
        <v>1</v>
      </c>
      <c r="K27" s="1" t="b">
        <f t="shared" ca="1" si="81"/>
        <v>1</v>
      </c>
      <c r="L27" s="7">
        <f ca="1">MATCH(TRUE,K27:K$1048576,FALSE)-1</f>
        <v>0</v>
      </c>
      <c r="M27" s="24" t="str">
        <f t="shared" ca="1" si="13"/>
        <v>〇×〇×〇×--〇_9</v>
      </c>
      <c r="N27" s="25">
        <f t="shared" ca="1" si="82"/>
        <v>-2.2535161742124597E-5</v>
      </c>
      <c r="O27" s="26">
        <f t="shared" ca="1" si="83"/>
        <v>-1</v>
      </c>
      <c r="P27" s="27">
        <f t="shared" ca="1" si="84"/>
        <v>-1</v>
      </c>
      <c r="R27" s="41" t="str">
        <f ca="1">VLOOKUP(S27,cvt!$B$2:$C$4,2,FALSE)&amp;VLOOKUP(T27,cvt!$B$2:$C$4,2,FALSE)&amp;VLOOKUP(U27,cvt!$B$2:$C$4,2,FALSE)
&amp;VLOOKUP(V27,cvt!$B$2:$C$4,2,FALSE)&amp;VLOOKUP(W27,cvt!$B$2:$C$4,2,FALSE)&amp;VLOOKUP(X27,cvt!$B$2:$C$4,2,FALSE)
&amp;VLOOKUP(Y27,cvt!$B$2:$C$4,2,FALSE)&amp;VLOOKUP(Z27,cvt!$B$2:$C$4,2,FALSE)&amp;VLOOKUP(AA27,cvt!$B$2:$C$4,2,FALSE)</f>
        <v>〇×〇×〇×--〇</v>
      </c>
      <c r="S27" s="7">
        <f ca="1">VLOOKUP(MID($D27,S$9+1,1), cvt!$A$2:$B$4,2, FALSE)</f>
        <v>1</v>
      </c>
      <c r="T27" s="7">
        <f ca="1">VLOOKUP(MID($D27,T$9+1,1), cvt!$A$2:$B$4,2, FALSE)</f>
        <v>-1</v>
      </c>
      <c r="U27" s="7">
        <f ca="1">VLOOKUP(MID($D27,U$9+1,1), cvt!$A$2:$B$4,2, FALSE)</f>
        <v>1</v>
      </c>
      <c r="V27" s="17">
        <f ca="1">VLOOKUP(MID($D27,V$9+1,1), cvt!$A$2:$B$4,2, FALSE)</f>
        <v>-1</v>
      </c>
      <c r="W27" s="7">
        <f ca="1">VLOOKUP(MID($D27,W$9+1,1), cvt!$A$2:$B$4,2, FALSE)</f>
        <v>1</v>
      </c>
      <c r="X27" s="18">
        <f ca="1">VLOOKUP(MID($D27,X$9+1,1), cvt!$A$2:$B$4,2, FALSE)</f>
        <v>-1</v>
      </c>
      <c r="Y27" s="7">
        <f ca="1">VLOOKUP(MID($D27,Y$9+1,1), cvt!$A$2:$B$4,2, FALSE)</f>
        <v>0</v>
      </c>
      <c r="Z27" s="7">
        <f ca="1">VLOOKUP(MID($D27,Z$9+1,1), cvt!$A$2:$B$4,2, FALSE)</f>
        <v>0</v>
      </c>
      <c r="AA27" s="42">
        <f ca="1">VLOOKUP(MID($D27,AA$9+1,1), cvt!$A$2:$B$4,2, FALSE)</f>
        <v>1</v>
      </c>
      <c r="AB27" s="7">
        <f t="shared" ca="1" si="85"/>
        <v>1</v>
      </c>
      <c r="AC27" s="50" t="b">
        <f t="shared" ca="1" si="86"/>
        <v>1</v>
      </c>
      <c r="AE27" s="19" t="str">
        <f ca="1">VLOOKUP(AF27,cvt!$B$2:$C$4,2,FALSE)&amp;VLOOKUP(AG27,cvt!$B$2:$C$4,2,FALSE)&amp;VLOOKUP(AH27,cvt!$B$2:$C$4,2,FALSE)
&amp;VLOOKUP(AI27,cvt!$B$2:$C$4,2,FALSE)&amp;VLOOKUP(AJ27,cvt!$B$2:$C$4,2,FALSE)&amp;VLOOKUP(AK27,cvt!$B$2:$C$4,2,FALSE)
&amp;VLOOKUP(AL27,cvt!$B$2:$C$4,2,FALSE)&amp;VLOOKUP(AM27,cvt!$B$2:$C$4,2,FALSE)&amp;VLOOKUP(AN27,cvt!$B$2:$C$4,2,FALSE)</f>
        <v>〇×〇×〇×--〇</v>
      </c>
      <c r="AF27" s="17">
        <f t="shared" ca="1" si="14"/>
        <v>1</v>
      </c>
      <c r="AG27" s="7">
        <f t="shared" ca="1" si="15"/>
        <v>-1</v>
      </c>
      <c r="AH27" s="7">
        <f t="shared" ca="1" si="16"/>
        <v>1</v>
      </c>
      <c r="AI27" s="17">
        <f t="shared" ca="1" si="17"/>
        <v>-1</v>
      </c>
      <c r="AJ27" s="7">
        <f t="shared" ca="1" si="18"/>
        <v>1</v>
      </c>
      <c r="AK27" s="18">
        <f t="shared" ca="1" si="19"/>
        <v>-1</v>
      </c>
      <c r="AL27" s="7">
        <f t="shared" ca="1" si="20"/>
        <v>0</v>
      </c>
      <c r="AM27" s="7">
        <f t="shared" ca="1" si="21"/>
        <v>0</v>
      </c>
      <c r="AN27" s="18">
        <f t="shared" ca="1" si="22"/>
        <v>1</v>
      </c>
      <c r="AO27" s="7">
        <f t="shared" ca="1" si="115"/>
        <v>1</v>
      </c>
      <c r="AP27" s="50" t="b">
        <f t="shared" ca="1" si="87"/>
        <v>1</v>
      </c>
      <c r="AS27" s="22">
        <f t="shared" ca="1" si="88"/>
        <v>0</v>
      </c>
      <c r="AT27" s="7">
        <f t="shared" ca="1" si="23"/>
        <v>0</v>
      </c>
      <c r="AU27" s="7">
        <f t="shared" ca="1" si="24"/>
        <v>0</v>
      </c>
      <c r="AV27" s="7">
        <f t="shared" ca="1" si="25"/>
        <v>0</v>
      </c>
      <c r="AW27" s="7">
        <f t="shared" ca="1" si="26"/>
        <v>0</v>
      </c>
      <c r="AX27" s="7">
        <f t="shared" ca="1" si="27"/>
        <v>0</v>
      </c>
      <c r="AY27" s="7">
        <f t="shared" ca="1" si="28"/>
        <v>0</v>
      </c>
      <c r="AZ27" s="7">
        <f t="shared" ca="1" si="29"/>
        <v>0</v>
      </c>
      <c r="BA27" s="18">
        <f t="shared" ca="1" si="30"/>
        <v>0</v>
      </c>
      <c r="BB27" s="295">
        <f t="shared" ca="1" si="89"/>
        <v>1</v>
      </c>
      <c r="BD27" s="132"/>
      <c r="BE27" s="297">
        <f t="shared" ca="1" si="90"/>
        <v>1</v>
      </c>
      <c r="BF27" s="298">
        <f t="shared" ca="1" si="31"/>
        <v>0.65029522127322903</v>
      </c>
      <c r="BG27" s="298">
        <f t="shared" ca="1" si="32"/>
        <v>0.66028983545318687</v>
      </c>
      <c r="BH27" s="318">
        <f t="shared" ca="1" si="33"/>
        <v>0.64972655813153501</v>
      </c>
      <c r="BI27" s="298">
        <f t="shared" ca="1" si="34"/>
        <v>0.65002804502111444</v>
      </c>
      <c r="BJ27" s="299">
        <f t="shared" ca="1" si="35"/>
        <v>0.65029320640965171</v>
      </c>
      <c r="BK27" s="298">
        <f t="shared" ca="1" si="36"/>
        <v>0.64942668056342145</v>
      </c>
      <c r="BL27" s="298">
        <f t="shared" ca="1" si="37"/>
        <v>0.61083952513994022</v>
      </c>
      <c r="BM27" s="299">
        <f t="shared" ca="1" si="38"/>
        <v>0.6508682169276182</v>
      </c>
      <c r="BN27" s="295">
        <f t="shared" ca="1" si="39"/>
        <v>0.17402001625314881</v>
      </c>
      <c r="BO27" s="248">
        <f t="shared" ca="1" si="91"/>
        <v>-2.2535161742124597E-5</v>
      </c>
      <c r="BQ27" s="304">
        <f t="shared" ca="1" si="92"/>
        <v>0.42412001625314877</v>
      </c>
      <c r="BR27" s="297">
        <f t="shared" ca="1" si="93"/>
        <v>0</v>
      </c>
      <c r="BS27" s="298">
        <f t="shared" ca="1" si="40"/>
        <v>0</v>
      </c>
      <c r="BT27" s="298">
        <f t="shared" ca="1" si="41"/>
        <v>0</v>
      </c>
      <c r="BU27" s="318">
        <f t="shared" ca="1" si="42"/>
        <v>0</v>
      </c>
      <c r="BV27" s="298">
        <f t="shared" ca="1" si="43"/>
        <v>0</v>
      </c>
      <c r="BW27" s="299">
        <f t="shared" ca="1" si="44"/>
        <v>0</v>
      </c>
      <c r="BX27" s="298">
        <f t="shared" ca="1" si="45"/>
        <v>0</v>
      </c>
      <c r="BY27" s="298">
        <f t="shared" ca="1" si="46"/>
        <v>0</v>
      </c>
      <c r="BZ27" s="298">
        <f t="shared" ca="1" si="47"/>
        <v>0</v>
      </c>
      <c r="CA27" s="315">
        <f t="shared" ca="1" si="48"/>
        <v>0.42412001625314877</v>
      </c>
      <c r="CC27" s="52"/>
      <c r="CD27" s="306">
        <f t="shared" ca="1" si="94"/>
        <v>0</v>
      </c>
      <c r="CE27" s="15">
        <f t="shared" ca="1" si="49"/>
        <v>0</v>
      </c>
      <c r="CF27" s="15">
        <f t="shared" ca="1" si="50"/>
        <v>0</v>
      </c>
      <c r="CG27" s="286">
        <f t="shared" ca="1" si="51"/>
        <v>0</v>
      </c>
      <c r="CH27" s="15">
        <f t="shared" ca="1" si="52"/>
        <v>0</v>
      </c>
      <c r="CI27" s="288">
        <f t="shared" ca="1" si="53"/>
        <v>0</v>
      </c>
      <c r="CJ27" s="15">
        <f t="shared" ca="1" si="54"/>
        <v>0</v>
      </c>
      <c r="CK27" s="15">
        <f t="shared" ca="1" si="55"/>
        <v>0</v>
      </c>
      <c r="CL27" s="15">
        <f t="shared" ca="1" si="56"/>
        <v>0</v>
      </c>
      <c r="CM27" s="313">
        <f t="shared" ca="1" si="57"/>
        <v>1</v>
      </c>
      <c r="CO27" s="320">
        <f t="shared" ca="1" si="95"/>
        <v>16</v>
      </c>
      <c r="CP27" s="22">
        <f ca="1">COUNTIFS($C$10:$C26,"&lt;"&amp;$C27,$M$10:$M26,$D27&amp;"_"&amp;CP$9)</f>
        <v>0</v>
      </c>
      <c r="CQ27" s="7">
        <f ca="1">COUNTIFS($C$10:$C26,"&lt;"&amp;$C27,$M$10:$M26,$D27&amp;"_"&amp;CQ$9)</f>
        <v>0</v>
      </c>
      <c r="CR27" s="7">
        <f ca="1">COUNTIFS($C$10:$C26,"&lt;"&amp;$C27,$M$10:$M26,$D27&amp;"_"&amp;CR$9)</f>
        <v>0</v>
      </c>
      <c r="CS27" s="17">
        <f ca="1">COUNTIFS($C$10:$C26,"&lt;"&amp;$C27,$M$10:$M26,$D27&amp;"_"&amp;CS$9)</f>
        <v>0</v>
      </c>
      <c r="CT27" s="7">
        <f ca="1">COUNTIFS($C$10:$C26,"&lt;"&amp;$C27,$M$10:$M26,$D27&amp;"_"&amp;CT$9)</f>
        <v>0</v>
      </c>
      <c r="CU27" s="18">
        <f ca="1">COUNTIFS($C$10:$C26,"&lt;"&amp;$C27,$M$10:$M26,$D27&amp;"_"&amp;CU$9)</f>
        <v>0</v>
      </c>
      <c r="CV27" s="7">
        <f ca="1">COUNTIFS($C$10:$C26,"&lt;"&amp;$C27,$M$10:$M26,$D27&amp;"_"&amp;CV$9)</f>
        <v>0</v>
      </c>
      <c r="CW27" s="7">
        <f ca="1">COUNTIFS($C$10:$C26,"&lt;"&amp;$C27,$M$10:$M26,$D27&amp;"_"&amp;CW$9)</f>
        <v>0</v>
      </c>
      <c r="CX27" s="7">
        <f ca="1">COUNTIFS($C$10:$C26,"&lt;"&amp;$C27,$M$10:$M26,$D27&amp;"_"&amp;CX$9)</f>
        <v>0</v>
      </c>
      <c r="CY27" s="221">
        <f ca="1">COUNTIFS($C$10:$C26,"&lt;"&amp;$C27,$M$10:$M26,$D27&amp;"_"&amp;CY$9)</f>
        <v>16</v>
      </c>
      <c r="DA27" s="20"/>
      <c r="DB27" s="308">
        <f ca="1">IF(CP27=0,0,SUMIFS($P$10:$P26, $C$10:$C26,"&lt;"&amp;$C27, $M$10:$M26,$D27&amp;"_"&amp;DB$9)/CP27)</f>
        <v>0</v>
      </c>
      <c r="DC27" s="263">
        <f ca="1">IF(CQ27=0,0,SUMIFS($P$10:$P26, $C$10:$C26,"&lt;"&amp;$C27, $M$10:$M26,$D27&amp;"_"&amp;DC$9)/CQ27)</f>
        <v>0</v>
      </c>
      <c r="DD27" s="263">
        <f ca="1">IF(CR27=0,0,SUMIFS($P$10:$P26, $C$10:$C26,"&lt;"&amp;$C27, $M$10:$M26,$D27&amp;"_"&amp;DD$9)/CR27)</f>
        <v>0</v>
      </c>
      <c r="DE27" s="262">
        <f ca="1">IF(CS27=0,0,SUMIFS($P$10:$P26, $C$10:$C26,"&lt;"&amp;$C27, $M$10:$M26,$D27&amp;"_"&amp;DE$9)/CS27)</f>
        <v>0</v>
      </c>
      <c r="DF27" s="263">
        <f ca="1">IF(CT27=0,0,SUMIFS($P$10:$P26, $C$10:$C26,"&lt;"&amp;$C27, $M$10:$M26,$D27&amp;"_"&amp;DF$9)/CT27)</f>
        <v>0</v>
      </c>
      <c r="DG27" s="310">
        <f ca="1">IF(CU27=0,0,SUMIFS($P$10:$P26, $C$10:$C26,"&lt;"&amp;$C27, $M$10:$M26,$D27&amp;"_"&amp;DG$9)/CU27)</f>
        <v>0</v>
      </c>
      <c r="DH27" s="263">
        <f ca="1">IF(CV27=0,0,SUMIFS($P$10:$P26, $C$10:$C26,"&lt;"&amp;$C27, $M$10:$M26,$D27&amp;"_"&amp;DH$9)/CV27)</f>
        <v>0</v>
      </c>
      <c r="DI27" s="263">
        <f ca="1">IF(CW27=0,0,SUMIFS($P$10:$P26, $C$10:$C26,"&lt;"&amp;$C27, $M$10:$M26,$D27&amp;"_"&amp;DI$9)/CW27)</f>
        <v>0</v>
      </c>
      <c r="DJ27" s="264">
        <f ca="1">IF(CX27=0,0,SUMIFS($P$10:$P26, $C$10:$C26,"&lt;"&amp;$C27, $M$10:$M26,$D27&amp;"_"&amp;DJ$9)/CX27)</f>
        <v>0</v>
      </c>
      <c r="DK27" s="264">
        <f ca="1">IF(CY27=0,0,SUMIFS($P$10:$P26, $C$10:$C26,"&lt;"&amp;$C27, $M$10:$M26,$D27&amp;"_"&amp;DK$9)/CY27)</f>
        <v>-1</v>
      </c>
      <c r="DM27" s="104"/>
      <c r="DN27" s="306">
        <f t="shared" ca="1" si="96"/>
        <v>-9999</v>
      </c>
      <c r="DO27" s="15">
        <f t="shared" ca="1" si="58"/>
        <v>-9999</v>
      </c>
      <c r="DP27" s="15">
        <f t="shared" ca="1" si="59"/>
        <v>-9999</v>
      </c>
      <c r="DQ27" s="15">
        <f t="shared" ca="1" si="60"/>
        <v>-9999</v>
      </c>
      <c r="DR27" s="15">
        <f t="shared" ca="1" si="61"/>
        <v>-9999</v>
      </c>
      <c r="DS27" s="15">
        <f t="shared" ca="1" si="62"/>
        <v>-9999</v>
      </c>
      <c r="DT27" s="15">
        <f t="shared" ca="1" si="63"/>
        <v>-9999</v>
      </c>
      <c r="DU27" s="15">
        <f t="shared" ca="1" si="64"/>
        <v>-9999</v>
      </c>
      <c r="DV27" s="52">
        <f t="shared" ca="1" si="65"/>
        <v>-9999</v>
      </c>
      <c r="DW27" s="313">
        <f t="shared" ca="1" si="66"/>
        <v>-0.76470588235294112</v>
      </c>
      <c r="DX27" s="52"/>
      <c r="DY27" s="402">
        <f t="shared" ca="1" si="97"/>
        <v>9</v>
      </c>
      <c r="ED27" s="19">
        <f t="shared" ca="1" si="67"/>
        <v>-1</v>
      </c>
      <c r="EE27" s="1">
        <f t="shared" ca="1" si="68"/>
        <v>1</v>
      </c>
      <c r="EF27" s="1">
        <f t="shared" ca="1" si="69"/>
        <v>-1</v>
      </c>
      <c r="EG27" s="2">
        <f t="shared" ca="1" si="70"/>
        <v>1</v>
      </c>
      <c r="EH27" s="1">
        <f t="shared" ca="1" si="71"/>
        <v>-1</v>
      </c>
      <c r="EI27" s="3">
        <f t="shared" ca="1" si="72"/>
        <v>1</v>
      </c>
      <c r="EJ27" s="1">
        <f t="shared" ca="1" si="73"/>
        <v>0</v>
      </c>
      <c r="EK27" s="1">
        <f t="shared" ca="1" si="74"/>
        <v>0</v>
      </c>
      <c r="EL27" s="20">
        <f t="shared" ca="1" si="75"/>
        <v>-1</v>
      </c>
      <c r="EN27" s="86">
        <f ca="1">MAX(0, SUMPRODUCT($ED27:$EL27,OFFSET(DNN!$E$9:$M$9,EN$9,0)) + OFFSET(DNN!$D$9,EN$9,0))</f>
        <v>0</v>
      </c>
      <c r="EO27" s="84">
        <f ca="1">MAX(0, SUMPRODUCT($ED27:$EL27,OFFSET(DNN!$E$9:$M$9,EO$9,0)) + OFFSET(DNN!$D$9,EO$9,0))</f>
        <v>7.2346022384755949E-3</v>
      </c>
      <c r="EP27" s="84">
        <f ca="1">MAX(0, SUMPRODUCT($ED27:$EL27,OFFSET(DNN!$E$9:$M$9,EP$9,0)) + OFFSET(DNN!$D$9,EP$9,0))</f>
        <v>3.6951849750035152E-3</v>
      </c>
      <c r="EQ27" s="84">
        <f ca="1">MAX(0, SUMPRODUCT($ED27:$EL27,OFFSET(DNN!$E$9:$M$9,EQ$9,0)) + OFFSET(DNN!$D$9,EQ$9,0))</f>
        <v>0</v>
      </c>
      <c r="ER27" s="85">
        <f ca="1">MAX(0, SUMPRODUCT($ED27:$EL27,OFFSET(DNN!$E$9:$M$9,ER$9,0)) + OFFSET(DNN!$D$9,ER$9,0))</f>
        <v>0</v>
      </c>
      <c r="ET27" s="86">
        <f ca="1">MAX(0, SUMPRODUCT($EN27:$ER27,OFFSET(DNN!$Q$9:$U$9,ET$9,0)) + OFFSET(DNN!$P$9,ET$9,0))</f>
        <v>4.3954959453478351E-4</v>
      </c>
      <c r="EU27" s="84">
        <f ca="1">MAX(0, SUMPRODUCT($EN27:$ER27,OFFSET(DNN!$Q$9:$U$9,EU$9,0)) + OFFSET(DNN!$P$9,EU$9,0))</f>
        <v>0</v>
      </c>
      <c r="EV27" s="84">
        <f ca="1">MAX(0, SUMPRODUCT($EN27:$ER27,OFFSET(DNN!$Q$9:$U$9,EV$9,0)) + OFFSET(DNN!$P$9,EV$9,0))</f>
        <v>1.2810123361902579E-3</v>
      </c>
      <c r="EW27" s="84">
        <f ca="1">MAX(0, SUMPRODUCT($EN27:$ER27,OFFSET(DNN!$Q$9:$U$9,EW$9,0)) + OFFSET(DNN!$P$9,EW$9,0))</f>
        <v>7.8382123007882457E-4</v>
      </c>
      <c r="EX27" s="85">
        <f ca="1">MAX(0, SUMPRODUCT($EN27:$ER27,OFFSET(DNN!$Q$9:$U$9,EX$9,0)) + OFFSET(DNN!$P$9,EX$9,0))</f>
        <v>0</v>
      </c>
      <c r="EZ27" s="111">
        <f ca="1">SUMPRODUCT($ET27:$EX27,OFFSET(DNN!$Y$9:$AC$9,EZ$9,0)) + OFFSET(DNN!$X$9,EZ$9,0)</f>
        <v>0.43031618918982212</v>
      </c>
      <c r="FA27" s="97">
        <f ca="1">SUMPRODUCT($ET27:$EX27,OFFSET(DNN!$Y$9:$AC$9,FA$9,0)) + OFFSET(DNN!$X$9,FA$9,0)</f>
        <v>-1.2643439935754107E-5</v>
      </c>
      <c r="FB27" s="97">
        <f ca="1">SUMPRODUCT($ET27:$EX27,OFFSET(DNN!$Y$9:$AC$9,FB$9,0)) + OFFSET(DNN!$X$9,FB$9,0)</f>
        <v>1.5239793458415756E-2</v>
      </c>
      <c r="FC27" s="97">
        <f ca="1">SUMPRODUCT($ET27:$EX27,OFFSET(DNN!$Y$9:$AC$9,FC$9,0)) + OFFSET(DNN!$X$9,FC$9,0)</f>
        <v>-8.8749521084055777E-4</v>
      </c>
      <c r="FD27" s="97">
        <f ca="1">SUMPRODUCT($ET27:$EX27,OFFSET(DNN!$Y$9:$AC$9,FD$9,0)) + OFFSET(DNN!$X$9,FD$9,0)</f>
        <v>-4.235816470721872E-4</v>
      </c>
      <c r="FE27" s="97">
        <f ca="1">SUMPRODUCT($ET27:$EX27,OFFSET(DNN!$Y$9:$AC$9,FE$9,0)) + OFFSET(DNN!$X$9,FE$9,0)</f>
        <v>-1.574182761064886E-5</v>
      </c>
      <c r="FF27" s="97">
        <f ca="1">SUMPRODUCT($ET27:$EX27,OFFSET(DNN!$Y$9:$AC$9,FF$9,0)) + OFFSET(DNN!$X$9,FF$9,0)</f>
        <v>-1.3491460223194656E-3</v>
      </c>
      <c r="FG27" s="97">
        <f ca="1">SUMPRODUCT($ET27:$EX27,OFFSET(DNN!$Y$9:$AC$9,FG$9,0)) + OFFSET(DNN!$X$9,FG$9,0)</f>
        <v>-6.2604808096248285E-2</v>
      </c>
      <c r="FH27" s="97">
        <f ca="1">SUMPRODUCT($ET27:$EX27,OFFSET(DNN!$Y$9:$AC$9,FH$9,0)) + OFFSET(DNN!$X$9,FH$9,0)</f>
        <v>8.6810016937029894E-4</v>
      </c>
      <c r="FI27" s="108">
        <f ca="1">SUMPRODUCT($ET27:$EX27,OFFSET(DNN!$Y$9:$AC$9,FI$9,0)) + OFFSET(DNN!$X$9,FI$9,0)</f>
        <v>-1.3182687612562751</v>
      </c>
      <c r="FJ27" s="98">
        <f ca="1">SUMPRODUCT($ET27:$EX27,OFFSET(DNN!$Y$9:$AC$9,FJ$9,0)) + OFFSET(DNN!$X$9,FJ$9,0)</f>
        <v>-2.2535161745939301E-5</v>
      </c>
      <c r="FL27" s="415">
        <f t="shared" ca="1" si="98"/>
        <v>0.43031618918982212</v>
      </c>
      <c r="FM27" s="130">
        <f t="shared" ca="1" si="99"/>
        <v>1</v>
      </c>
      <c r="FN27" s="131">
        <f t="shared" ca="1" si="100"/>
        <v>0.65029522127322903</v>
      </c>
      <c r="FO27" s="131">
        <f t="shared" ca="1" si="101"/>
        <v>0.66028983545318687</v>
      </c>
      <c r="FP27" s="131">
        <f t="shared" ca="1" si="102"/>
        <v>0.64972655813153501</v>
      </c>
      <c r="FQ27" s="131">
        <f t="shared" ca="1" si="103"/>
        <v>0.65002804502111444</v>
      </c>
      <c r="FR27" s="131">
        <f t="shared" ca="1" si="104"/>
        <v>0.65029320640965171</v>
      </c>
      <c r="FS27" s="131">
        <f t="shared" ca="1" si="105"/>
        <v>0.64942668056342145</v>
      </c>
      <c r="FT27" s="131">
        <f t="shared" ca="1" si="106"/>
        <v>0.61083952513994022</v>
      </c>
      <c r="FU27" s="132">
        <f t="shared" ca="1" si="107"/>
        <v>0.6508682169276182</v>
      </c>
      <c r="FV27" s="131">
        <f t="shared" ca="1" si="108"/>
        <v>0.17402001625314881</v>
      </c>
      <c r="FW27" s="83">
        <f t="shared" ca="1" si="109"/>
        <v>-2.2535161742124597E-5</v>
      </c>
    </row>
    <row r="28" spans="1:179">
      <c r="A28" s="19">
        <f t="shared" si="117"/>
        <v>18</v>
      </c>
      <c r="B28" s="1">
        <f t="shared" ca="1" si="111"/>
        <v>0</v>
      </c>
      <c r="C28" s="20">
        <f t="shared" ca="1" si="112"/>
        <v>18</v>
      </c>
      <c r="D28" s="19" t="str">
        <f t="shared" ca="1" si="113"/>
        <v>〇×〇×〇×--〇</v>
      </c>
      <c r="E28" s="7">
        <f t="shared" ca="1" si="77"/>
        <v>9</v>
      </c>
      <c r="F28" s="7">
        <f t="shared" ca="1" si="78"/>
        <v>1</v>
      </c>
      <c r="G28" s="1" t="str">
        <f t="shared" ca="1" si="116"/>
        <v>〇×〇×〇×--〇</v>
      </c>
      <c r="H28" s="20" t="b">
        <f t="shared" ca="1" si="80"/>
        <v>1</v>
      </c>
      <c r="I28" s="22">
        <f t="shared" ca="1" si="114"/>
        <v>-1</v>
      </c>
      <c r="J28" s="1" t="b">
        <f ca="1">(1&lt;COUNTIF(D$10:D28,D28))</f>
        <v>1</v>
      </c>
      <c r="K28" s="1" t="b">
        <f t="shared" ca="1" si="81"/>
        <v>1</v>
      </c>
      <c r="L28" s="7">
        <f ca="1">MATCH(TRUE,K28:K$1048576,FALSE)-1</f>
        <v>0</v>
      </c>
      <c r="M28" s="24" t="str">
        <f t="shared" ca="1" si="13"/>
        <v>〇×〇×〇×--〇_9</v>
      </c>
      <c r="N28" s="25">
        <f t="shared" ca="1" si="82"/>
        <v>-2.2535161742124597E-5</v>
      </c>
      <c r="O28" s="26">
        <f t="shared" ca="1" si="83"/>
        <v>-1</v>
      </c>
      <c r="P28" s="27">
        <f t="shared" ca="1" si="84"/>
        <v>-1</v>
      </c>
      <c r="R28" s="41" t="str">
        <f ca="1">VLOOKUP(S28,cvt!$B$2:$C$4,2,FALSE)&amp;VLOOKUP(T28,cvt!$B$2:$C$4,2,FALSE)&amp;VLOOKUP(U28,cvt!$B$2:$C$4,2,FALSE)
&amp;VLOOKUP(V28,cvt!$B$2:$C$4,2,FALSE)&amp;VLOOKUP(W28,cvt!$B$2:$C$4,2,FALSE)&amp;VLOOKUP(X28,cvt!$B$2:$C$4,2,FALSE)
&amp;VLOOKUP(Y28,cvt!$B$2:$C$4,2,FALSE)&amp;VLOOKUP(Z28,cvt!$B$2:$C$4,2,FALSE)&amp;VLOOKUP(AA28,cvt!$B$2:$C$4,2,FALSE)</f>
        <v>〇×〇×〇×--〇</v>
      </c>
      <c r="S28" s="7">
        <f ca="1">VLOOKUP(MID($D28,S$9+1,1), cvt!$A$2:$B$4,2, FALSE)</f>
        <v>1</v>
      </c>
      <c r="T28" s="7">
        <f ca="1">VLOOKUP(MID($D28,T$9+1,1), cvt!$A$2:$B$4,2, FALSE)</f>
        <v>-1</v>
      </c>
      <c r="U28" s="7">
        <f ca="1">VLOOKUP(MID($D28,U$9+1,1), cvt!$A$2:$B$4,2, FALSE)</f>
        <v>1</v>
      </c>
      <c r="V28" s="17">
        <f ca="1">VLOOKUP(MID($D28,V$9+1,1), cvt!$A$2:$B$4,2, FALSE)</f>
        <v>-1</v>
      </c>
      <c r="W28" s="7">
        <f ca="1">VLOOKUP(MID($D28,W$9+1,1), cvt!$A$2:$B$4,2, FALSE)</f>
        <v>1</v>
      </c>
      <c r="X28" s="18">
        <f ca="1">VLOOKUP(MID($D28,X$9+1,1), cvt!$A$2:$B$4,2, FALSE)</f>
        <v>-1</v>
      </c>
      <c r="Y28" s="7">
        <f ca="1">VLOOKUP(MID($D28,Y$9+1,1), cvt!$A$2:$B$4,2, FALSE)</f>
        <v>0</v>
      </c>
      <c r="Z28" s="7">
        <f ca="1">VLOOKUP(MID($D28,Z$9+1,1), cvt!$A$2:$B$4,2, FALSE)</f>
        <v>0</v>
      </c>
      <c r="AA28" s="42">
        <f ca="1">VLOOKUP(MID($D28,AA$9+1,1), cvt!$A$2:$B$4,2, FALSE)</f>
        <v>1</v>
      </c>
      <c r="AB28" s="7">
        <f t="shared" ca="1" si="85"/>
        <v>1</v>
      </c>
      <c r="AC28" s="50" t="b">
        <f t="shared" ca="1" si="86"/>
        <v>1</v>
      </c>
      <c r="AE28" s="19" t="str">
        <f ca="1">VLOOKUP(AF28,cvt!$B$2:$C$4,2,FALSE)&amp;VLOOKUP(AG28,cvt!$B$2:$C$4,2,FALSE)&amp;VLOOKUP(AH28,cvt!$B$2:$C$4,2,FALSE)
&amp;VLOOKUP(AI28,cvt!$B$2:$C$4,2,FALSE)&amp;VLOOKUP(AJ28,cvt!$B$2:$C$4,2,FALSE)&amp;VLOOKUP(AK28,cvt!$B$2:$C$4,2,FALSE)
&amp;VLOOKUP(AL28,cvt!$B$2:$C$4,2,FALSE)&amp;VLOOKUP(AM28,cvt!$B$2:$C$4,2,FALSE)&amp;VLOOKUP(AN28,cvt!$B$2:$C$4,2,FALSE)</f>
        <v>〇×〇×〇×--〇</v>
      </c>
      <c r="AF28" s="17">
        <f t="shared" ca="1" si="14"/>
        <v>1</v>
      </c>
      <c r="AG28" s="7">
        <f t="shared" ca="1" si="15"/>
        <v>-1</v>
      </c>
      <c r="AH28" s="7">
        <f t="shared" ca="1" si="16"/>
        <v>1</v>
      </c>
      <c r="AI28" s="17">
        <f t="shared" ca="1" si="17"/>
        <v>-1</v>
      </c>
      <c r="AJ28" s="7">
        <f t="shared" ca="1" si="18"/>
        <v>1</v>
      </c>
      <c r="AK28" s="18">
        <f t="shared" ca="1" si="19"/>
        <v>-1</v>
      </c>
      <c r="AL28" s="7">
        <f t="shared" ca="1" si="20"/>
        <v>0</v>
      </c>
      <c r="AM28" s="7">
        <f t="shared" ca="1" si="21"/>
        <v>0</v>
      </c>
      <c r="AN28" s="18">
        <f t="shared" ca="1" si="22"/>
        <v>1</v>
      </c>
      <c r="AO28" s="7">
        <f t="shared" ca="1" si="115"/>
        <v>1</v>
      </c>
      <c r="AP28" s="50" t="b">
        <f t="shared" ca="1" si="87"/>
        <v>1</v>
      </c>
      <c r="AS28" s="22">
        <f t="shared" ca="1" si="88"/>
        <v>0</v>
      </c>
      <c r="AT28" s="7">
        <f t="shared" ca="1" si="23"/>
        <v>0</v>
      </c>
      <c r="AU28" s="7">
        <f t="shared" ca="1" si="24"/>
        <v>0</v>
      </c>
      <c r="AV28" s="7">
        <f t="shared" ca="1" si="25"/>
        <v>0</v>
      </c>
      <c r="AW28" s="7">
        <f t="shared" ca="1" si="26"/>
        <v>0</v>
      </c>
      <c r="AX28" s="7">
        <f t="shared" ca="1" si="27"/>
        <v>0</v>
      </c>
      <c r="AY28" s="7">
        <f t="shared" ca="1" si="28"/>
        <v>0</v>
      </c>
      <c r="AZ28" s="7">
        <f t="shared" ca="1" si="29"/>
        <v>0</v>
      </c>
      <c r="BA28" s="18">
        <f t="shared" ca="1" si="30"/>
        <v>0</v>
      </c>
      <c r="BB28" s="295">
        <f t="shared" ca="1" si="89"/>
        <v>1</v>
      </c>
      <c r="BD28" s="132"/>
      <c r="BE28" s="297">
        <f t="shared" ca="1" si="90"/>
        <v>1</v>
      </c>
      <c r="BF28" s="298">
        <f t="shared" ca="1" si="31"/>
        <v>0.65029522127322903</v>
      </c>
      <c r="BG28" s="298">
        <f t="shared" ca="1" si="32"/>
        <v>0.66028983545318687</v>
      </c>
      <c r="BH28" s="318">
        <f t="shared" ca="1" si="33"/>
        <v>0.64972655813153501</v>
      </c>
      <c r="BI28" s="298">
        <f t="shared" ca="1" si="34"/>
        <v>0.65002804502111444</v>
      </c>
      <c r="BJ28" s="299">
        <f t="shared" ca="1" si="35"/>
        <v>0.65029320640965171</v>
      </c>
      <c r="BK28" s="298">
        <f t="shared" ca="1" si="36"/>
        <v>0.64942668056342145</v>
      </c>
      <c r="BL28" s="298">
        <f t="shared" ca="1" si="37"/>
        <v>0.61083952513994022</v>
      </c>
      <c r="BM28" s="299">
        <f t="shared" ca="1" si="38"/>
        <v>0.6508682169276182</v>
      </c>
      <c r="BN28" s="295">
        <f t="shared" ca="1" si="39"/>
        <v>0.17402001625314881</v>
      </c>
      <c r="BO28" s="248">
        <f t="shared" ca="1" si="91"/>
        <v>-2.2535161742124597E-5</v>
      </c>
      <c r="BQ28" s="304">
        <f t="shared" ca="1" si="92"/>
        <v>0.1741200162531488</v>
      </c>
      <c r="BR28" s="297">
        <f t="shared" ca="1" si="93"/>
        <v>0</v>
      </c>
      <c r="BS28" s="298">
        <f t="shared" ca="1" si="40"/>
        <v>0</v>
      </c>
      <c r="BT28" s="298">
        <f t="shared" ca="1" si="41"/>
        <v>0</v>
      </c>
      <c r="BU28" s="318">
        <f t="shared" ca="1" si="42"/>
        <v>0</v>
      </c>
      <c r="BV28" s="298">
        <f t="shared" ca="1" si="43"/>
        <v>0</v>
      </c>
      <c r="BW28" s="299">
        <f t="shared" ca="1" si="44"/>
        <v>0</v>
      </c>
      <c r="BX28" s="298">
        <f t="shared" ca="1" si="45"/>
        <v>0</v>
      </c>
      <c r="BY28" s="298">
        <f t="shared" ca="1" si="46"/>
        <v>0</v>
      </c>
      <c r="BZ28" s="298">
        <f t="shared" ca="1" si="47"/>
        <v>0</v>
      </c>
      <c r="CA28" s="315">
        <f t="shared" ca="1" si="48"/>
        <v>0.1741200162531488</v>
      </c>
      <c r="CC28" s="52"/>
      <c r="CD28" s="306">
        <f t="shared" ca="1" si="94"/>
        <v>0</v>
      </c>
      <c r="CE28" s="15">
        <f t="shared" ca="1" si="49"/>
        <v>0</v>
      </c>
      <c r="CF28" s="15">
        <f t="shared" ca="1" si="50"/>
        <v>0</v>
      </c>
      <c r="CG28" s="286">
        <f t="shared" ca="1" si="51"/>
        <v>0</v>
      </c>
      <c r="CH28" s="15">
        <f t="shared" ca="1" si="52"/>
        <v>0</v>
      </c>
      <c r="CI28" s="288">
        <f t="shared" ca="1" si="53"/>
        <v>0</v>
      </c>
      <c r="CJ28" s="15">
        <f t="shared" ca="1" si="54"/>
        <v>0</v>
      </c>
      <c r="CK28" s="15">
        <f t="shared" ca="1" si="55"/>
        <v>0</v>
      </c>
      <c r="CL28" s="15">
        <f t="shared" ca="1" si="56"/>
        <v>0</v>
      </c>
      <c r="CM28" s="313">
        <f t="shared" ca="1" si="57"/>
        <v>1</v>
      </c>
      <c r="CO28" s="320">
        <f t="shared" ca="1" si="95"/>
        <v>17</v>
      </c>
      <c r="CP28" s="22">
        <f ca="1">COUNTIFS($C$10:$C27,"&lt;"&amp;$C28,$M$10:$M27,$D28&amp;"_"&amp;CP$9)</f>
        <v>0</v>
      </c>
      <c r="CQ28" s="7">
        <f ca="1">COUNTIFS($C$10:$C27,"&lt;"&amp;$C28,$M$10:$M27,$D28&amp;"_"&amp;CQ$9)</f>
        <v>0</v>
      </c>
      <c r="CR28" s="7">
        <f ca="1">COUNTIFS($C$10:$C27,"&lt;"&amp;$C28,$M$10:$M27,$D28&amp;"_"&amp;CR$9)</f>
        <v>0</v>
      </c>
      <c r="CS28" s="17">
        <f ca="1">COUNTIFS($C$10:$C27,"&lt;"&amp;$C28,$M$10:$M27,$D28&amp;"_"&amp;CS$9)</f>
        <v>0</v>
      </c>
      <c r="CT28" s="7">
        <f ca="1">COUNTIFS($C$10:$C27,"&lt;"&amp;$C28,$M$10:$M27,$D28&amp;"_"&amp;CT$9)</f>
        <v>0</v>
      </c>
      <c r="CU28" s="18">
        <f ca="1">COUNTIFS($C$10:$C27,"&lt;"&amp;$C28,$M$10:$M27,$D28&amp;"_"&amp;CU$9)</f>
        <v>0</v>
      </c>
      <c r="CV28" s="7">
        <f ca="1">COUNTIFS($C$10:$C27,"&lt;"&amp;$C28,$M$10:$M27,$D28&amp;"_"&amp;CV$9)</f>
        <v>0</v>
      </c>
      <c r="CW28" s="7">
        <f ca="1">COUNTIFS($C$10:$C27,"&lt;"&amp;$C28,$M$10:$M27,$D28&amp;"_"&amp;CW$9)</f>
        <v>0</v>
      </c>
      <c r="CX28" s="7">
        <f ca="1">COUNTIFS($C$10:$C27,"&lt;"&amp;$C28,$M$10:$M27,$D28&amp;"_"&amp;CX$9)</f>
        <v>0</v>
      </c>
      <c r="CY28" s="221">
        <f ca="1">COUNTIFS($C$10:$C27,"&lt;"&amp;$C28,$M$10:$M27,$D28&amp;"_"&amp;CY$9)</f>
        <v>17</v>
      </c>
      <c r="DA28" s="20"/>
      <c r="DB28" s="308">
        <f ca="1">IF(CP28=0,0,SUMIFS($P$10:$P27, $C$10:$C27,"&lt;"&amp;$C28, $M$10:$M27,$D28&amp;"_"&amp;DB$9)/CP28)</f>
        <v>0</v>
      </c>
      <c r="DC28" s="263">
        <f ca="1">IF(CQ28=0,0,SUMIFS($P$10:$P27, $C$10:$C27,"&lt;"&amp;$C28, $M$10:$M27,$D28&amp;"_"&amp;DC$9)/CQ28)</f>
        <v>0</v>
      </c>
      <c r="DD28" s="263">
        <f ca="1">IF(CR28=0,0,SUMIFS($P$10:$P27, $C$10:$C27,"&lt;"&amp;$C28, $M$10:$M27,$D28&amp;"_"&amp;DD$9)/CR28)</f>
        <v>0</v>
      </c>
      <c r="DE28" s="262">
        <f ca="1">IF(CS28=0,0,SUMIFS($P$10:$P27, $C$10:$C27,"&lt;"&amp;$C28, $M$10:$M27,$D28&amp;"_"&amp;DE$9)/CS28)</f>
        <v>0</v>
      </c>
      <c r="DF28" s="263">
        <f ca="1">IF(CT28=0,0,SUMIFS($P$10:$P27, $C$10:$C27,"&lt;"&amp;$C28, $M$10:$M27,$D28&amp;"_"&amp;DF$9)/CT28)</f>
        <v>0</v>
      </c>
      <c r="DG28" s="310">
        <f ca="1">IF(CU28=0,0,SUMIFS($P$10:$P27, $C$10:$C27,"&lt;"&amp;$C28, $M$10:$M27,$D28&amp;"_"&amp;DG$9)/CU28)</f>
        <v>0</v>
      </c>
      <c r="DH28" s="263">
        <f ca="1">IF(CV28=0,0,SUMIFS($P$10:$P27, $C$10:$C27,"&lt;"&amp;$C28, $M$10:$M27,$D28&amp;"_"&amp;DH$9)/CV28)</f>
        <v>0</v>
      </c>
      <c r="DI28" s="263">
        <f ca="1">IF(CW28=0,0,SUMIFS($P$10:$P27, $C$10:$C27,"&lt;"&amp;$C28, $M$10:$M27,$D28&amp;"_"&amp;DI$9)/CW28)</f>
        <v>0</v>
      </c>
      <c r="DJ28" s="264">
        <f ca="1">IF(CX28=0,0,SUMIFS($P$10:$P27, $C$10:$C27,"&lt;"&amp;$C28, $M$10:$M27,$D28&amp;"_"&amp;DJ$9)/CX28)</f>
        <v>0</v>
      </c>
      <c r="DK28" s="264">
        <f ca="1">IF(CY28=0,0,SUMIFS($P$10:$P27, $C$10:$C27,"&lt;"&amp;$C28, $M$10:$M27,$D28&amp;"_"&amp;DK$9)/CY28)</f>
        <v>-1</v>
      </c>
      <c r="DM28" s="104"/>
      <c r="DN28" s="306">
        <f t="shared" ca="1" si="96"/>
        <v>-9999</v>
      </c>
      <c r="DO28" s="15">
        <f t="shared" ca="1" si="58"/>
        <v>-9999</v>
      </c>
      <c r="DP28" s="15">
        <f t="shared" ca="1" si="59"/>
        <v>-9999</v>
      </c>
      <c r="DQ28" s="15">
        <f t="shared" ca="1" si="60"/>
        <v>-9999</v>
      </c>
      <c r="DR28" s="15">
        <f t="shared" ca="1" si="61"/>
        <v>-9999</v>
      </c>
      <c r="DS28" s="15">
        <f t="shared" ca="1" si="62"/>
        <v>-9999</v>
      </c>
      <c r="DT28" s="15">
        <f t="shared" ca="1" si="63"/>
        <v>-9999</v>
      </c>
      <c r="DU28" s="15">
        <f t="shared" ca="1" si="64"/>
        <v>-9999</v>
      </c>
      <c r="DV28" s="52">
        <f t="shared" ca="1" si="65"/>
        <v>-9999</v>
      </c>
      <c r="DW28" s="313">
        <f t="shared" ca="1" si="66"/>
        <v>-0.77093857635457441</v>
      </c>
      <c r="DX28" s="52"/>
      <c r="DY28" s="402">
        <f t="shared" ca="1" si="97"/>
        <v>9</v>
      </c>
      <c r="ED28" s="19">
        <f t="shared" ca="1" si="67"/>
        <v>-1</v>
      </c>
      <c r="EE28" s="1">
        <f t="shared" ca="1" si="68"/>
        <v>1</v>
      </c>
      <c r="EF28" s="1">
        <f t="shared" ca="1" si="69"/>
        <v>-1</v>
      </c>
      <c r="EG28" s="2">
        <f t="shared" ca="1" si="70"/>
        <v>1</v>
      </c>
      <c r="EH28" s="1">
        <f t="shared" ca="1" si="71"/>
        <v>-1</v>
      </c>
      <c r="EI28" s="3">
        <f t="shared" ca="1" si="72"/>
        <v>1</v>
      </c>
      <c r="EJ28" s="1">
        <f t="shared" ca="1" si="73"/>
        <v>0</v>
      </c>
      <c r="EK28" s="1">
        <f t="shared" ca="1" si="74"/>
        <v>0</v>
      </c>
      <c r="EL28" s="20">
        <f t="shared" ca="1" si="75"/>
        <v>-1</v>
      </c>
      <c r="EN28" s="86">
        <f ca="1">MAX(0, SUMPRODUCT($ED28:$EL28,OFFSET(DNN!$E$9:$M$9,EN$9,0)) + OFFSET(DNN!$D$9,EN$9,0))</f>
        <v>0</v>
      </c>
      <c r="EO28" s="84">
        <f ca="1">MAX(0, SUMPRODUCT($ED28:$EL28,OFFSET(DNN!$E$9:$M$9,EO$9,0)) + OFFSET(DNN!$D$9,EO$9,0))</f>
        <v>7.2346022384755949E-3</v>
      </c>
      <c r="EP28" s="84">
        <f ca="1">MAX(0, SUMPRODUCT($ED28:$EL28,OFFSET(DNN!$E$9:$M$9,EP$9,0)) + OFFSET(DNN!$D$9,EP$9,0))</f>
        <v>3.6951849750035152E-3</v>
      </c>
      <c r="EQ28" s="84">
        <f ca="1">MAX(0, SUMPRODUCT($ED28:$EL28,OFFSET(DNN!$E$9:$M$9,EQ$9,0)) + OFFSET(DNN!$D$9,EQ$9,0))</f>
        <v>0</v>
      </c>
      <c r="ER28" s="85">
        <f ca="1">MAX(0, SUMPRODUCT($ED28:$EL28,OFFSET(DNN!$E$9:$M$9,ER$9,0)) + OFFSET(DNN!$D$9,ER$9,0))</f>
        <v>0</v>
      </c>
      <c r="ET28" s="86">
        <f ca="1">MAX(0, SUMPRODUCT($EN28:$ER28,OFFSET(DNN!$Q$9:$U$9,ET$9,0)) + OFFSET(DNN!$P$9,ET$9,0))</f>
        <v>4.3954959453478351E-4</v>
      </c>
      <c r="EU28" s="84">
        <f ca="1">MAX(0, SUMPRODUCT($EN28:$ER28,OFFSET(DNN!$Q$9:$U$9,EU$9,0)) + OFFSET(DNN!$P$9,EU$9,0))</f>
        <v>0</v>
      </c>
      <c r="EV28" s="84">
        <f ca="1">MAX(0, SUMPRODUCT($EN28:$ER28,OFFSET(DNN!$Q$9:$U$9,EV$9,0)) + OFFSET(DNN!$P$9,EV$9,0))</f>
        <v>1.2810123361902579E-3</v>
      </c>
      <c r="EW28" s="84">
        <f ca="1">MAX(0, SUMPRODUCT($EN28:$ER28,OFFSET(DNN!$Q$9:$U$9,EW$9,0)) + OFFSET(DNN!$P$9,EW$9,0))</f>
        <v>7.8382123007882457E-4</v>
      </c>
      <c r="EX28" s="85">
        <f ca="1">MAX(0, SUMPRODUCT($EN28:$ER28,OFFSET(DNN!$Q$9:$U$9,EX$9,0)) + OFFSET(DNN!$P$9,EX$9,0))</f>
        <v>0</v>
      </c>
      <c r="EZ28" s="111">
        <f ca="1">SUMPRODUCT($ET28:$EX28,OFFSET(DNN!$Y$9:$AC$9,EZ$9,0)) + OFFSET(DNN!$X$9,EZ$9,0)</f>
        <v>0.43031618918982212</v>
      </c>
      <c r="FA28" s="97">
        <f ca="1">SUMPRODUCT($ET28:$EX28,OFFSET(DNN!$Y$9:$AC$9,FA$9,0)) + OFFSET(DNN!$X$9,FA$9,0)</f>
        <v>-1.2643439935754107E-5</v>
      </c>
      <c r="FB28" s="97">
        <f ca="1">SUMPRODUCT($ET28:$EX28,OFFSET(DNN!$Y$9:$AC$9,FB$9,0)) + OFFSET(DNN!$X$9,FB$9,0)</f>
        <v>1.5239793458415756E-2</v>
      </c>
      <c r="FC28" s="97">
        <f ca="1">SUMPRODUCT($ET28:$EX28,OFFSET(DNN!$Y$9:$AC$9,FC$9,0)) + OFFSET(DNN!$X$9,FC$9,0)</f>
        <v>-8.8749521084055777E-4</v>
      </c>
      <c r="FD28" s="97">
        <f ca="1">SUMPRODUCT($ET28:$EX28,OFFSET(DNN!$Y$9:$AC$9,FD$9,0)) + OFFSET(DNN!$X$9,FD$9,0)</f>
        <v>-4.235816470721872E-4</v>
      </c>
      <c r="FE28" s="97">
        <f ca="1">SUMPRODUCT($ET28:$EX28,OFFSET(DNN!$Y$9:$AC$9,FE$9,0)) + OFFSET(DNN!$X$9,FE$9,0)</f>
        <v>-1.574182761064886E-5</v>
      </c>
      <c r="FF28" s="97">
        <f ca="1">SUMPRODUCT($ET28:$EX28,OFFSET(DNN!$Y$9:$AC$9,FF$9,0)) + OFFSET(DNN!$X$9,FF$9,0)</f>
        <v>-1.3491460223194656E-3</v>
      </c>
      <c r="FG28" s="97">
        <f ca="1">SUMPRODUCT($ET28:$EX28,OFFSET(DNN!$Y$9:$AC$9,FG$9,0)) + OFFSET(DNN!$X$9,FG$9,0)</f>
        <v>-6.2604808096248285E-2</v>
      </c>
      <c r="FH28" s="97">
        <f ca="1">SUMPRODUCT($ET28:$EX28,OFFSET(DNN!$Y$9:$AC$9,FH$9,0)) + OFFSET(DNN!$X$9,FH$9,0)</f>
        <v>8.6810016937029894E-4</v>
      </c>
      <c r="FI28" s="108">
        <f ca="1">SUMPRODUCT($ET28:$EX28,OFFSET(DNN!$Y$9:$AC$9,FI$9,0)) + OFFSET(DNN!$X$9,FI$9,0)</f>
        <v>-1.3182687612562751</v>
      </c>
      <c r="FJ28" s="98">
        <f ca="1">SUMPRODUCT($ET28:$EX28,OFFSET(DNN!$Y$9:$AC$9,FJ$9,0)) + OFFSET(DNN!$X$9,FJ$9,0)</f>
        <v>-2.2535161745939301E-5</v>
      </c>
      <c r="FL28" s="415">
        <f t="shared" ca="1" si="98"/>
        <v>0.43031618918982212</v>
      </c>
      <c r="FM28" s="130">
        <f t="shared" ca="1" si="99"/>
        <v>1</v>
      </c>
      <c r="FN28" s="131">
        <f t="shared" ca="1" si="100"/>
        <v>0.65029522127322903</v>
      </c>
      <c r="FO28" s="131">
        <f t="shared" ca="1" si="101"/>
        <v>0.66028983545318687</v>
      </c>
      <c r="FP28" s="131">
        <f t="shared" ca="1" si="102"/>
        <v>0.64972655813153501</v>
      </c>
      <c r="FQ28" s="131">
        <f t="shared" ca="1" si="103"/>
        <v>0.65002804502111444</v>
      </c>
      <c r="FR28" s="131">
        <f t="shared" ca="1" si="104"/>
        <v>0.65029320640965171</v>
      </c>
      <c r="FS28" s="131">
        <f t="shared" ca="1" si="105"/>
        <v>0.64942668056342145</v>
      </c>
      <c r="FT28" s="131">
        <f t="shared" ca="1" si="106"/>
        <v>0.61083952513994022</v>
      </c>
      <c r="FU28" s="132">
        <f t="shared" ca="1" si="107"/>
        <v>0.6508682169276182</v>
      </c>
      <c r="FV28" s="131">
        <f t="shared" ca="1" si="108"/>
        <v>0.17402001625314881</v>
      </c>
      <c r="FW28" s="83">
        <f t="shared" ca="1" si="109"/>
        <v>-2.2535161742124597E-5</v>
      </c>
    </row>
    <row r="29" spans="1:179">
      <c r="A29" s="19">
        <f t="shared" si="117"/>
        <v>19</v>
      </c>
      <c r="B29" s="1">
        <f t="shared" ca="1" si="111"/>
        <v>0</v>
      </c>
      <c r="C29" s="20">
        <f t="shared" ca="1" si="112"/>
        <v>19</v>
      </c>
      <c r="D29" s="19" t="str">
        <f t="shared" ca="1" si="113"/>
        <v>〇×〇×〇×--〇</v>
      </c>
      <c r="E29" s="7">
        <f t="shared" ca="1" si="77"/>
        <v>9</v>
      </c>
      <c r="F29" s="7">
        <f t="shared" ca="1" si="78"/>
        <v>1</v>
      </c>
      <c r="G29" s="1" t="str">
        <f t="shared" ca="1" si="116"/>
        <v>〇×〇×〇×--〇</v>
      </c>
      <c r="H29" s="20" t="b">
        <f t="shared" ca="1" si="80"/>
        <v>1</v>
      </c>
      <c r="I29" s="22">
        <f t="shared" ca="1" si="114"/>
        <v>-1</v>
      </c>
      <c r="J29" s="1" t="b">
        <f ca="1">(1&lt;COUNTIF(D$10:D29,D29))</f>
        <v>1</v>
      </c>
      <c r="K29" s="1" t="b">
        <f t="shared" ca="1" si="81"/>
        <v>1</v>
      </c>
      <c r="L29" s="7">
        <f ca="1">MATCH(TRUE,K29:K$1048576,FALSE)-1</f>
        <v>0</v>
      </c>
      <c r="M29" s="24" t="str">
        <f t="shared" ca="1" si="13"/>
        <v>〇×〇×〇×--〇_9</v>
      </c>
      <c r="N29" s="25">
        <f t="shared" ca="1" si="82"/>
        <v>-2.2535161742124597E-5</v>
      </c>
      <c r="O29" s="26">
        <f t="shared" ca="1" si="83"/>
        <v>-1</v>
      </c>
      <c r="P29" s="27">
        <f t="shared" ca="1" si="84"/>
        <v>-1</v>
      </c>
      <c r="R29" s="41" t="str">
        <f ca="1">VLOOKUP(S29,cvt!$B$2:$C$4,2,FALSE)&amp;VLOOKUP(T29,cvt!$B$2:$C$4,2,FALSE)&amp;VLOOKUP(U29,cvt!$B$2:$C$4,2,FALSE)
&amp;VLOOKUP(V29,cvt!$B$2:$C$4,2,FALSE)&amp;VLOOKUP(W29,cvt!$B$2:$C$4,2,FALSE)&amp;VLOOKUP(X29,cvt!$B$2:$C$4,2,FALSE)
&amp;VLOOKUP(Y29,cvt!$B$2:$C$4,2,FALSE)&amp;VLOOKUP(Z29,cvt!$B$2:$C$4,2,FALSE)&amp;VLOOKUP(AA29,cvt!$B$2:$C$4,2,FALSE)</f>
        <v>〇×〇×〇×--〇</v>
      </c>
      <c r="S29" s="7">
        <f ca="1">VLOOKUP(MID($D29,S$9+1,1), cvt!$A$2:$B$4,2, FALSE)</f>
        <v>1</v>
      </c>
      <c r="T29" s="7">
        <f ca="1">VLOOKUP(MID($D29,T$9+1,1), cvt!$A$2:$B$4,2, FALSE)</f>
        <v>-1</v>
      </c>
      <c r="U29" s="7">
        <f ca="1">VLOOKUP(MID($D29,U$9+1,1), cvt!$A$2:$B$4,2, FALSE)</f>
        <v>1</v>
      </c>
      <c r="V29" s="17">
        <f ca="1">VLOOKUP(MID($D29,V$9+1,1), cvt!$A$2:$B$4,2, FALSE)</f>
        <v>-1</v>
      </c>
      <c r="W29" s="7">
        <f ca="1">VLOOKUP(MID($D29,W$9+1,1), cvt!$A$2:$B$4,2, FALSE)</f>
        <v>1</v>
      </c>
      <c r="X29" s="18">
        <f ca="1">VLOOKUP(MID($D29,X$9+1,1), cvt!$A$2:$B$4,2, FALSE)</f>
        <v>-1</v>
      </c>
      <c r="Y29" s="7">
        <f ca="1">VLOOKUP(MID($D29,Y$9+1,1), cvt!$A$2:$B$4,2, FALSE)</f>
        <v>0</v>
      </c>
      <c r="Z29" s="7">
        <f ca="1">VLOOKUP(MID($D29,Z$9+1,1), cvt!$A$2:$B$4,2, FALSE)</f>
        <v>0</v>
      </c>
      <c r="AA29" s="42">
        <f ca="1">VLOOKUP(MID($D29,AA$9+1,1), cvt!$A$2:$B$4,2, FALSE)</f>
        <v>1</v>
      </c>
      <c r="AB29" s="7">
        <f t="shared" ca="1" si="85"/>
        <v>1</v>
      </c>
      <c r="AC29" s="50" t="b">
        <f t="shared" ca="1" si="86"/>
        <v>1</v>
      </c>
      <c r="AE29" s="19" t="str">
        <f ca="1">VLOOKUP(AF29,cvt!$B$2:$C$4,2,FALSE)&amp;VLOOKUP(AG29,cvt!$B$2:$C$4,2,FALSE)&amp;VLOOKUP(AH29,cvt!$B$2:$C$4,2,FALSE)
&amp;VLOOKUP(AI29,cvt!$B$2:$C$4,2,FALSE)&amp;VLOOKUP(AJ29,cvt!$B$2:$C$4,2,FALSE)&amp;VLOOKUP(AK29,cvt!$B$2:$C$4,2,FALSE)
&amp;VLOOKUP(AL29,cvt!$B$2:$C$4,2,FALSE)&amp;VLOOKUP(AM29,cvt!$B$2:$C$4,2,FALSE)&amp;VLOOKUP(AN29,cvt!$B$2:$C$4,2,FALSE)</f>
        <v>〇×〇×〇×--〇</v>
      </c>
      <c r="AF29" s="17">
        <f t="shared" ca="1" si="14"/>
        <v>1</v>
      </c>
      <c r="AG29" s="7">
        <f t="shared" ca="1" si="15"/>
        <v>-1</v>
      </c>
      <c r="AH29" s="7">
        <f t="shared" ca="1" si="16"/>
        <v>1</v>
      </c>
      <c r="AI29" s="17">
        <f t="shared" ca="1" si="17"/>
        <v>-1</v>
      </c>
      <c r="AJ29" s="7">
        <f t="shared" ca="1" si="18"/>
        <v>1</v>
      </c>
      <c r="AK29" s="18">
        <f t="shared" ca="1" si="19"/>
        <v>-1</v>
      </c>
      <c r="AL29" s="7">
        <f t="shared" ca="1" si="20"/>
        <v>0</v>
      </c>
      <c r="AM29" s="7">
        <f t="shared" ca="1" si="21"/>
        <v>0</v>
      </c>
      <c r="AN29" s="18">
        <f t="shared" ca="1" si="22"/>
        <v>1</v>
      </c>
      <c r="AO29" s="7">
        <f t="shared" ca="1" si="115"/>
        <v>1</v>
      </c>
      <c r="AP29" s="50" t="b">
        <f t="shared" ca="1" si="87"/>
        <v>1</v>
      </c>
      <c r="AS29" s="22">
        <f t="shared" ca="1" si="88"/>
        <v>0</v>
      </c>
      <c r="AT29" s="7">
        <f t="shared" ca="1" si="23"/>
        <v>0</v>
      </c>
      <c r="AU29" s="7">
        <f t="shared" ca="1" si="24"/>
        <v>0</v>
      </c>
      <c r="AV29" s="7">
        <f t="shared" ca="1" si="25"/>
        <v>0</v>
      </c>
      <c r="AW29" s="7">
        <f t="shared" ca="1" si="26"/>
        <v>0</v>
      </c>
      <c r="AX29" s="7">
        <f t="shared" ca="1" si="27"/>
        <v>0</v>
      </c>
      <c r="AY29" s="7">
        <f t="shared" ca="1" si="28"/>
        <v>0</v>
      </c>
      <c r="AZ29" s="7">
        <f t="shared" ca="1" si="29"/>
        <v>0</v>
      </c>
      <c r="BA29" s="18">
        <f t="shared" ca="1" si="30"/>
        <v>0</v>
      </c>
      <c r="BB29" s="295">
        <f t="shared" ca="1" si="89"/>
        <v>1</v>
      </c>
      <c r="BD29" s="132"/>
      <c r="BE29" s="297">
        <f t="shared" ca="1" si="90"/>
        <v>1</v>
      </c>
      <c r="BF29" s="298">
        <f t="shared" ca="1" si="31"/>
        <v>0.65029522127322903</v>
      </c>
      <c r="BG29" s="298">
        <f t="shared" ca="1" si="32"/>
        <v>0.66028983545318687</v>
      </c>
      <c r="BH29" s="318">
        <f t="shared" ca="1" si="33"/>
        <v>0.64972655813153501</v>
      </c>
      <c r="BI29" s="298">
        <f t="shared" ca="1" si="34"/>
        <v>0.65002804502111444</v>
      </c>
      <c r="BJ29" s="299">
        <f t="shared" ca="1" si="35"/>
        <v>0.65029320640965171</v>
      </c>
      <c r="BK29" s="298">
        <f t="shared" ca="1" si="36"/>
        <v>0.64942668056342145</v>
      </c>
      <c r="BL29" s="298">
        <f t="shared" ca="1" si="37"/>
        <v>0.61083952513994022</v>
      </c>
      <c r="BM29" s="299">
        <f t="shared" ca="1" si="38"/>
        <v>0.6508682169276182</v>
      </c>
      <c r="BN29" s="295">
        <f t="shared" ca="1" si="39"/>
        <v>0.17402001625314881</v>
      </c>
      <c r="BO29" s="248">
        <f t="shared" ca="1" si="91"/>
        <v>-2.2535161742124597E-5</v>
      </c>
      <c r="BQ29" s="304">
        <f t="shared" ca="1" si="92"/>
        <v>0.42412001625314877</v>
      </c>
      <c r="BR29" s="297">
        <f t="shared" ca="1" si="93"/>
        <v>0</v>
      </c>
      <c r="BS29" s="298">
        <f t="shared" ca="1" si="40"/>
        <v>0</v>
      </c>
      <c r="BT29" s="298">
        <f t="shared" ca="1" si="41"/>
        <v>0</v>
      </c>
      <c r="BU29" s="318">
        <f t="shared" ca="1" si="42"/>
        <v>0</v>
      </c>
      <c r="BV29" s="298">
        <f t="shared" ca="1" si="43"/>
        <v>0</v>
      </c>
      <c r="BW29" s="299">
        <f t="shared" ca="1" si="44"/>
        <v>0</v>
      </c>
      <c r="BX29" s="298">
        <f t="shared" ca="1" si="45"/>
        <v>0</v>
      </c>
      <c r="BY29" s="298">
        <f t="shared" ca="1" si="46"/>
        <v>0</v>
      </c>
      <c r="BZ29" s="298">
        <f t="shared" ca="1" si="47"/>
        <v>0</v>
      </c>
      <c r="CA29" s="315">
        <f t="shared" ca="1" si="48"/>
        <v>0.42412001625314877</v>
      </c>
      <c r="CC29" s="52"/>
      <c r="CD29" s="306">
        <f t="shared" ca="1" si="94"/>
        <v>0</v>
      </c>
      <c r="CE29" s="15">
        <f t="shared" ca="1" si="49"/>
        <v>0</v>
      </c>
      <c r="CF29" s="15">
        <f t="shared" ca="1" si="50"/>
        <v>0</v>
      </c>
      <c r="CG29" s="286">
        <f t="shared" ca="1" si="51"/>
        <v>0</v>
      </c>
      <c r="CH29" s="15">
        <f t="shared" ca="1" si="52"/>
        <v>0</v>
      </c>
      <c r="CI29" s="288">
        <f t="shared" ca="1" si="53"/>
        <v>0</v>
      </c>
      <c r="CJ29" s="15">
        <f t="shared" ca="1" si="54"/>
        <v>0</v>
      </c>
      <c r="CK29" s="15">
        <f t="shared" ca="1" si="55"/>
        <v>0</v>
      </c>
      <c r="CL29" s="15">
        <f t="shared" ca="1" si="56"/>
        <v>0</v>
      </c>
      <c r="CM29" s="313">
        <f t="shared" ca="1" si="57"/>
        <v>1</v>
      </c>
      <c r="CO29" s="320">
        <f t="shared" ca="1" si="95"/>
        <v>18</v>
      </c>
      <c r="CP29" s="22">
        <f ca="1">COUNTIFS($C$10:$C28,"&lt;"&amp;$C29,$M$10:$M28,$D29&amp;"_"&amp;CP$9)</f>
        <v>0</v>
      </c>
      <c r="CQ29" s="7">
        <f ca="1">COUNTIFS($C$10:$C28,"&lt;"&amp;$C29,$M$10:$M28,$D29&amp;"_"&amp;CQ$9)</f>
        <v>0</v>
      </c>
      <c r="CR29" s="7">
        <f ca="1">COUNTIFS($C$10:$C28,"&lt;"&amp;$C29,$M$10:$M28,$D29&amp;"_"&amp;CR$9)</f>
        <v>0</v>
      </c>
      <c r="CS29" s="17">
        <f ca="1">COUNTIFS($C$10:$C28,"&lt;"&amp;$C29,$M$10:$M28,$D29&amp;"_"&amp;CS$9)</f>
        <v>0</v>
      </c>
      <c r="CT29" s="7">
        <f ca="1">COUNTIFS($C$10:$C28,"&lt;"&amp;$C29,$M$10:$M28,$D29&amp;"_"&amp;CT$9)</f>
        <v>0</v>
      </c>
      <c r="CU29" s="18">
        <f ca="1">COUNTIFS($C$10:$C28,"&lt;"&amp;$C29,$M$10:$M28,$D29&amp;"_"&amp;CU$9)</f>
        <v>0</v>
      </c>
      <c r="CV29" s="7">
        <f ca="1">COUNTIFS($C$10:$C28,"&lt;"&amp;$C29,$M$10:$M28,$D29&amp;"_"&amp;CV$9)</f>
        <v>0</v>
      </c>
      <c r="CW29" s="7">
        <f ca="1">COUNTIFS($C$10:$C28,"&lt;"&amp;$C29,$M$10:$M28,$D29&amp;"_"&amp;CW$9)</f>
        <v>0</v>
      </c>
      <c r="CX29" s="7">
        <f ca="1">COUNTIFS($C$10:$C28,"&lt;"&amp;$C29,$M$10:$M28,$D29&amp;"_"&amp;CX$9)</f>
        <v>0</v>
      </c>
      <c r="CY29" s="221">
        <f ca="1">COUNTIFS($C$10:$C28,"&lt;"&amp;$C29,$M$10:$M28,$D29&amp;"_"&amp;CY$9)</f>
        <v>18</v>
      </c>
      <c r="DA29" s="20"/>
      <c r="DB29" s="308">
        <f ca="1">IF(CP29=0,0,SUMIFS($P$10:$P28, $C$10:$C28,"&lt;"&amp;$C29, $M$10:$M28,$D29&amp;"_"&amp;DB$9)/CP29)</f>
        <v>0</v>
      </c>
      <c r="DC29" s="263">
        <f ca="1">IF(CQ29=0,0,SUMIFS($P$10:$P28, $C$10:$C28,"&lt;"&amp;$C29, $M$10:$M28,$D29&amp;"_"&amp;DC$9)/CQ29)</f>
        <v>0</v>
      </c>
      <c r="DD29" s="263">
        <f ca="1">IF(CR29=0,0,SUMIFS($P$10:$P28, $C$10:$C28,"&lt;"&amp;$C29, $M$10:$M28,$D29&amp;"_"&amp;DD$9)/CR29)</f>
        <v>0</v>
      </c>
      <c r="DE29" s="262">
        <f ca="1">IF(CS29=0,0,SUMIFS($P$10:$P28, $C$10:$C28,"&lt;"&amp;$C29, $M$10:$M28,$D29&amp;"_"&amp;DE$9)/CS29)</f>
        <v>0</v>
      </c>
      <c r="DF29" s="263">
        <f ca="1">IF(CT29=0,0,SUMIFS($P$10:$P28, $C$10:$C28,"&lt;"&amp;$C29, $M$10:$M28,$D29&amp;"_"&amp;DF$9)/CT29)</f>
        <v>0</v>
      </c>
      <c r="DG29" s="310">
        <f ca="1">IF(CU29=0,0,SUMIFS($P$10:$P28, $C$10:$C28,"&lt;"&amp;$C29, $M$10:$M28,$D29&amp;"_"&amp;DG$9)/CU29)</f>
        <v>0</v>
      </c>
      <c r="DH29" s="263">
        <f ca="1">IF(CV29=0,0,SUMIFS($P$10:$P28, $C$10:$C28,"&lt;"&amp;$C29, $M$10:$M28,$D29&amp;"_"&amp;DH$9)/CV29)</f>
        <v>0</v>
      </c>
      <c r="DI29" s="263">
        <f ca="1">IF(CW29=0,0,SUMIFS($P$10:$P28, $C$10:$C28,"&lt;"&amp;$C29, $M$10:$M28,$D29&amp;"_"&amp;DI$9)/CW29)</f>
        <v>0</v>
      </c>
      <c r="DJ29" s="264">
        <f ca="1">IF(CX29=0,0,SUMIFS($P$10:$P28, $C$10:$C28,"&lt;"&amp;$C29, $M$10:$M28,$D29&amp;"_"&amp;DJ$9)/CX29)</f>
        <v>0</v>
      </c>
      <c r="DK29" s="264">
        <f ca="1">IF(CY29=0,0,SUMIFS($P$10:$P28, $C$10:$C28,"&lt;"&amp;$C29, $M$10:$M28,$D29&amp;"_"&amp;DK$9)/CY29)</f>
        <v>-1</v>
      </c>
      <c r="DM29" s="104"/>
      <c r="DN29" s="306">
        <f t="shared" ca="1" si="96"/>
        <v>-9999</v>
      </c>
      <c r="DO29" s="15">
        <f t="shared" ca="1" si="58"/>
        <v>-9999</v>
      </c>
      <c r="DP29" s="15">
        <f t="shared" ca="1" si="59"/>
        <v>-9999</v>
      </c>
      <c r="DQ29" s="15">
        <f t="shared" ca="1" si="60"/>
        <v>-9999</v>
      </c>
      <c r="DR29" s="15">
        <f t="shared" ca="1" si="61"/>
        <v>-9999</v>
      </c>
      <c r="DS29" s="15">
        <f t="shared" ca="1" si="62"/>
        <v>-9999</v>
      </c>
      <c r="DT29" s="15">
        <f t="shared" ca="1" si="63"/>
        <v>-9999</v>
      </c>
      <c r="DU29" s="15">
        <f t="shared" ca="1" si="64"/>
        <v>-9999</v>
      </c>
      <c r="DV29" s="52">
        <f t="shared" ca="1" si="65"/>
        <v>-9999</v>
      </c>
      <c r="DW29" s="313">
        <f t="shared" ca="1" si="66"/>
        <v>-0.77670312173056399</v>
      </c>
      <c r="DX29" s="52"/>
      <c r="DY29" s="402">
        <f t="shared" ca="1" si="97"/>
        <v>9</v>
      </c>
      <c r="ED29" s="19">
        <f t="shared" ca="1" si="67"/>
        <v>-1</v>
      </c>
      <c r="EE29" s="1">
        <f t="shared" ca="1" si="68"/>
        <v>1</v>
      </c>
      <c r="EF29" s="1">
        <f t="shared" ca="1" si="69"/>
        <v>-1</v>
      </c>
      <c r="EG29" s="2">
        <f t="shared" ca="1" si="70"/>
        <v>1</v>
      </c>
      <c r="EH29" s="1">
        <f t="shared" ca="1" si="71"/>
        <v>-1</v>
      </c>
      <c r="EI29" s="3">
        <f t="shared" ca="1" si="72"/>
        <v>1</v>
      </c>
      <c r="EJ29" s="1">
        <f t="shared" ca="1" si="73"/>
        <v>0</v>
      </c>
      <c r="EK29" s="1">
        <f t="shared" ca="1" si="74"/>
        <v>0</v>
      </c>
      <c r="EL29" s="20">
        <f t="shared" ca="1" si="75"/>
        <v>-1</v>
      </c>
      <c r="EN29" s="86">
        <f ca="1">MAX(0, SUMPRODUCT($ED29:$EL29,OFFSET(DNN!$E$9:$M$9,EN$9,0)) + OFFSET(DNN!$D$9,EN$9,0))</f>
        <v>0</v>
      </c>
      <c r="EO29" s="84">
        <f ca="1">MAX(0, SUMPRODUCT($ED29:$EL29,OFFSET(DNN!$E$9:$M$9,EO$9,0)) + OFFSET(DNN!$D$9,EO$9,0))</f>
        <v>7.2346022384755949E-3</v>
      </c>
      <c r="EP29" s="84">
        <f ca="1">MAX(0, SUMPRODUCT($ED29:$EL29,OFFSET(DNN!$E$9:$M$9,EP$9,0)) + OFFSET(DNN!$D$9,EP$9,0))</f>
        <v>3.6951849750035152E-3</v>
      </c>
      <c r="EQ29" s="84">
        <f ca="1">MAX(0, SUMPRODUCT($ED29:$EL29,OFFSET(DNN!$E$9:$M$9,EQ$9,0)) + OFFSET(DNN!$D$9,EQ$9,0))</f>
        <v>0</v>
      </c>
      <c r="ER29" s="85">
        <f ca="1">MAX(0, SUMPRODUCT($ED29:$EL29,OFFSET(DNN!$E$9:$M$9,ER$9,0)) + OFFSET(DNN!$D$9,ER$9,0))</f>
        <v>0</v>
      </c>
      <c r="ET29" s="86">
        <f ca="1">MAX(0, SUMPRODUCT($EN29:$ER29,OFFSET(DNN!$Q$9:$U$9,ET$9,0)) + OFFSET(DNN!$P$9,ET$9,0))</f>
        <v>4.3954959453478351E-4</v>
      </c>
      <c r="EU29" s="84">
        <f ca="1">MAX(0, SUMPRODUCT($EN29:$ER29,OFFSET(DNN!$Q$9:$U$9,EU$9,0)) + OFFSET(DNN!$P$9,EU$9,0))</f>
        <v>0</v>
      </c>
      <c r="EV29" s="84">
        <f ca="1">MAX(0, SUMPRODUCT($EN29:$ER29,OFFSET(DNN!$Q$9:$U$9,EV$9,0)) + OFFSET(DNN!$P$9,EV$9,0))</f>
        <v>1.2810123361902579E-3</v>
      </c>
      <c r="EW29" s="84">
        <f ca="1">MAX(0, SUMPRODUCT($EN29:$ER29,OFFSET(DNN!$Q$9:$U$9,EW$9,0)) + OFFSET(DNN!$P$9,EW$9,0))</f>
        <v>7.8382123007882457E-4</v>
      </c>
      <c r="EX29" s="85">
        <f ca="1">MAX(0, SUMPRODUCT($EN29:$ER29,OFFSET(DNN!$Q$9:$U$9,EX$9,0)) + OFFSET(DNN!$P$9,EX$9,0))</f>
        <v>0</v>
      </c>
      <c r="EZ29" s="111">
        <f ca="1">SUMPRODUCT($ET29:$EX29,OFFSET(DNN!$Y$9:$AC$9,EZ$9,0)) + OFFSET(DNN!$X$9,EZ$9,0)</f>
        <v>0.43031618918982212</v>
      </c>
      <c r="FA29" s="97">
        <f ca="1">SUMPRODUCT($ET29:$EX29,OFFSET(DNN!$Y$9:$AC$9,FA$9,0)) + OFFSET(DNN!$X$9,FA$9,0)</f>
        <v>-1.2643439935754107E-5</v>
      </c>
      <c r="FB29" s="97">
        <f ca="1">SUMPRODUCT($ET29:$EX29,OFFSET(DNN!$Y$9:$AC$9,FB$9,0)) + OFFSET(DNN!$X$9,FB$9,0)</f>
        <v>1.5239793458415756E-2</v>
      </c>
      <c r="FC29" s="97">
        <f ca="1">SUMPRODUCT($ET29:$EX29,OFFSET(DNN!$Y$9:$AC$9,FC$9,0)) + OFFSET(DNN!$X$9,FC$9,0)</f>
        <v>-8.8749521084055777E-4</v>
      </c>
      <c r="FD29" s="97">
        <f ca="1">SUMPRODUCT($ET29:$EX29,OFFSET(DNN!$Y$9:$AC$9,FD$9,0)) + OFFSET(DNN!$X$9,FD$9,0)</f>
        <v>-4.235816470721872E-4</v>
      </c>
      <c r="FE29" s="97">
        <f ca="1">SUMPRODUCT($ET29:$EX29,OFFSET(DNN!$Y$9:$AC$9,FE$9,0)) + OFFSET(DNN!$X$9,FE$9,0)</f>
        <v>-1.574182761064886E-5</v>
      </c>
      <c r="FF29" s="97">
        <f ca="1">SUMPRODUCT($ET29:$EX29,OFFSET(DNN!$Y$9:$AC$9,FF$9,0)) + OFFSET(DNN!$X$9,FF$9,0)</f>
        <v>-1.3491460223194656E-3</v>
      </c>
      <c r="FG29" s="97">
        <f ca="1">SUMPRODUCT($ET29:$EX29,OFFSET(DNN!$Y$9:$AC$9,FG$9,0)) + OFFSET(DNN!$X$9,FG$9,0)</f>
        <v>-6.2604808096248285E-2</v>
      </c>
      <c r="FH29" s="97">
        <f ca="1">SUMPRODUCT($ET29:$EX29,OFFSET(DNN!$Y$9:$AC$9,FH$9,0)) + OFFSET(DNN!$X$9,FH$9,0)</f>
        <v>8.6810016937029894E-4</v>
      </c>
      <c r="FI29" s="108">
        <f ca="1">SUMPRODUCT($ET29:$EX29,OFFSET(DNN!$Y$9:$AC$9,FI$9,0)) + OFFSET(DNN!$X$9,FI$9,0)</f>
        <v>-1.3182687612562751</v>
      </c>
      <c r="FJ29" s="98">
        <f ca="1">SUMPRODUCT($ET29:$EX29,OFFSET(DNN!$Y$9:$AC$9,FJ$9,0)) + OFFSET(DNN!$X$9,FJ$9,0)</f>
        <v>-2.2535161745939301E-5</v>
      </c>
      <c r="FL29" s="415">
        <f t="shared" ca="1" si="98"/>
        <v>0.43031618918982212</v>
      </c>
      <c r="FM29" s="130">
        <f t="shared" ca="1" si="99"/>
        <v>1</v>
      </c>
      <c r="FN29" s="131">
        <f t="shared" ca="1" si="100"/>
        <v>0.65029522127322903</v>
      </c>
      <c r="FO29" s="131">
        <f t="shared" ca="1" si="101"/>
        <v>0.66028983545318687</v>
      </c>
      <c r="FP29" s="131">
        <f t="shared" ca="1" si="102"/>
        <v>0.64972655813153501</v>
      </c>
      <c r="FQ29" s="131">
        <f t="shared" ca="1" si="103"/>
        <v>0.65002804502111444</v>
      </c>
      <c r="FR29" s="131">
        <f t="shared" ca="1" si="104"/>
        <v>0.65029320640965171</v>
      </c>
      <c r="FS29" s="131">
        <f t="shared" ca="1" si="105"/>
        <v>0.64942668056342145</v>
      </c>
      <c r="FT29" s="131">
        <f t="shared" ca="1" si="106"/>
        <v>0.61083952513994022</v>
      </c>
      <c r="FU29" s="132">
        <f t="shared" ca="1" si="107"/>
        <v>0.6508682169276182</v>
      </c>
      <c r="FV29" s="131">
        <f t="shared" ca="1" si="108"/>
        <v>0.17402001625314881</v>
      </c>
      <c r="FW29" s="83">
        <f t="shared" ca="1" si="109"/>
        <v>-2.2535161742124597E-5</v>
      </c>
    </row>
    <row r="30" spans="1:179">
      <c r="A30" s="19">
        <f t="shared" si="117"/>
        <v>20</v>
      </c>
      <c r="B30" s="1">
        <f t="shared" ca="1" si="111"/>
        <v>0</v>
      </c>
      <c r="C30" s="20">
        <f t="shared" ca="1" si="112"/>
        <v>20</v>
      </c>
      <c r="D30" s="19" t="str">
        <f t="shared" ca="1" si="113"/>
        <v>〇×〇×〇×--〇</v>
      </c>
      <c r="E30" s="7">
        <f t="shared" ca="1" si="77"/>
        <v>9</v>
      </c>
      <c r="F30" s="7">
        <f t="shared" ca="1" si="78"/>
        <v>1</v>
      </c>
      <c r="G30" s="1" t="str">
        <f t="shared" ca="1" si="116"/>
        <v>〇×〇×〇×--〇</v>
      </c>
      <c r="H30" s="20" t="b">
        <f t="shared" ca="1" si="80"/>
        <v>1</v>
      </c>
      <c r="I30" s="22">
        <f t="shared" ca="1" si="114"/>
        <v>-1</v>
      </c>
      <c r="J30" s="1" t="b">
        <f ca="1">(1&lt;COUNTIF(D$10:D30,D30))</f>
        <v>1</v>
      </c>
      <c r="K30" s="1" t="b">
        <f t="shared" ca="1" si="81"/>
        <v>1</v>
      </c>
      <c r="L30" s="7">
        <f ca="1">MATCH(TRUE,K30:K$1048576,FALSE)-1</f>
        <v>0</v>
      </c>
      <c r="M30" s="24" t="str">
        <f t="shared" ca="1" si="13"/>
        <v>〇×〇×〇×--〇_9</v>
      </c>
      <c r="N30" s="25">
        <f t="shared" ca="1" si="82"/>
        <v>-2.2535161742124597E-5</v>
      </c>
      <c r="O30" s="26">
        <f t="shared" ca="1" si="83"/>
        <v>-1</v>
      </c>
      <c r="P30" s="27">
        <f t="shared" ca="1" si="84"/>
        <v>-1</v>
      </c>
      <c r="R30" s="41" t="str">
        <f ca="1">VLOOKUP(S30,cvt!$B$2:$C$4,2,FALSE)&amp;VLOOKUP(T30,cvt!$B$2:$C$4,2,FALSE)&amp;VLOOKUP(U30,cvt!$B$2:$C$4,2,FALSE)
&amp;VLOOKUP(V30,cvt!$B$2:$C$4,2,FALSE)&amp;VLOOKUP(W30,cvt!$B$2:$C$4,2,FALSE)&amp;VLOOKUP(X30,cvt!$B$2:$C$4,2,FALSE)
&amp;VLOOKUP(Y30,cvt!$B$2:$C$4,2,FALSE)&amp;VLOOKUP(Z30,cvt!$B$2:$C$4,2,FALSE)&amp;VLOOKUP(AA30,cvt!$B$2:$C$4,2,FALSE)</f>
        <v>〇×〇×〇×--〇</v>
      </c>
      <c r="S30" s="7">
        <f ca="1">VLOOKUP(MID($D30,S$9+1,1), cvt!$A$2:$B$4,2, FALSE)</f>
        <v>1</v>
      </c>
      <c r="T30" s="7">
        <f ca="1">VLOOKUP(MID($D30,T$9+1,1), cvt!$A$2:$B$4,2, FALSE)</f>
        <v>-1</v>
      </c>
      <c r="U30" s="7">
        <f ca="1">VLOOKUP(MID($D30,U$9+1,1), cvt!$A$2:$B$4,2, FALSE)</f>
        <v>1</v>
      </c>
      <c r="V30" s="17">
        <f ca="1">VLOOKUP(MID($D30,V$9+1,1), cvt!$A$2:$B$4,2, FALSE)</f>
        <v>-1</v>
      </c>
      <c r="W30" s="7">
        <f ca="1">VLOOKUP(MID($D30,W$9+1,1), cvt!$A$2:$B$4,2, FALSE)</f>
        <v>1</v>
      </c>
      <c r="X30" s="18">
        <f ca="1">VLOOKUP(MID($D30,X$9+1,1), cvt!$A$2:$B$4,2, FALSE)</f>
        <v>-1</v>
      </c>
      <c r="Y30" s="7">
        <f ca="1">VLOOKUP(MID($D30,Y$9+1,1), cvt!$A$2:$B$4,2, FALSE)</f>
        <v>0</v>
      </c>
      <c r="Z30" s="7">
        <f ca="1">VLOOKUP(MID($D30,Z$9+1,1), cvt!$A$2:$B$4,2, FALSE)</f>
        <v>0</v>
      </c>
      <c r="AA30" s="42">
        <f ca="1">VLOOKUP(MID($D30,AA$9+1,1), cvt!$A$2:$B$4,2, FALSE)</f>
        <v>1</v>
      </c>
      <c r="AB30" s="7">
        <f t="shared" ca="1" si="85"/>
        <v>1</v>
      </c>
      <c r="AC30" s="50" t="b">
        <f t="shared" ca="1" si="86"/>
        <v>1</v>
      </c>
      <c r="AE30" s="19" t="str">
        <f ca="1">VLOOKUP(AF30,cvt!$B$2:$C$4,2,FALSE)&amp;VLOOKUP(AG30,cvt!$B$2:$C$4,2,FALSE)&amp;VLOOKUP(AH30,cvt!$B$2:$C$4,2,FALSE)
&amp;VLOOKUP(AI30,cvt!$B$2:$C$4,2,FALSE)&amp;VLOOKUP(AJ30,cvt!$B$2:$C$4,2,FALSE)&amp;VLOOKUP(AK30,cvt!$B$2:$C$4,2,FALSE)
&amp;VLOOKUP(AL30,cvt!$B$2:$C$4,2,FALSE)&amp;VLOOKUP(AM30,cvt!$B$2:$C$4,2,FALSE)&amp;VLOOKUP(AN30,cvt!$B$2:$C$4,2,FALSE)</f>
        <v>〇×〇×〇×--〇</v>
      </c>
      <c r="AF30" s="17">
        <f t="shared" ca="1" si="14"/>
        <v>1</v>
      </c>
      <c r="AG30" s="7">
        <f t="shared" ca="1" si="15"/>
        <v>-1</v>
      </c>
      <c r="AH30" s="7">
        <f t="shared" ca="1" si="16"/>
        <v>1</v>
      </c>
      <c r="AI30" s="17">
        <f t="shared" ca="1" si="17"/>
        <v>-1</v>
      </c>
      <c r="AJ30" s="7">
        <f t="shared" ca="1" si="18"/>
        <v>1</v>
      </c>
      <c r="AK30" s="18">
        <f t="shared" ca="1" si="19"/>
        <v>-1</v>
      </c>
      <c r="AL30" s="7">
        <f t="shared" ca="1" si="20"/>
        <v>0</v>
      </c>
      <c r="AM30" s="7">
        <f t="shared" ca="1" si="21"/>
        <v>0</v>
      </c>
      <c r="AN30" s="18">
        <f t="shared" ca="1" si="22"/>
        <v>1</v>
      </c>
      <c r="AO30" s="7">
        <f t="shared" ca="1" si="115"/>
        <v>1</v>
      </c>
      <c r="AP30" s="50" t="b">
        <f t="shared" ca="1" si="87"/>
        <v>1</v>
      </c>
      <c r="AS30" s="22">
        <f t="shared" ca="1" si="88"/>
        <v>0</v>
      </c>
      <c r="AT30" s="7">
        <f t="shared" ca="1" si="23"/>
        <v>0</v>
      </c>
      <c r="AU30" s="7">
        <f t="shared" ca="1" si="24"/>
        <v>0</v>
      </c>
      <c r="AV30" s="7">
        <f t="shared" ca="1" si="25"/>
        <v>0</v>
      </c>
      <c r="AW30" s="7">
        <f t="shared" ca="1" si="26"/>
        <v>0</v>
      </c>
      <c r="AX30" s="7">
        <f t="shared" ca="1" si="27"/>
        <v>0</v>
      </c>
      <c r="AY30" s="7">
        <f t="shared" ca="1" si="28"/>
        <v>0</v>
      </c>
      <c r="AZ30" s="7">
        <f t="shared" ca="1" si="29"/>
        <v>0</v>
      </c>
      <c r="BA30" s="18">
        <f t="shared" ca="1" si="30"/>
        <v>0</v>
      </c>
      <c r="BB30" s="295">
        <f t="shared" ca="1" si="89"/>
        <v>1</v>
      </c>
      <c r="BD30" s="132"/>
      <c r="BE30" s="297">
        <f t="shared" ca="1" si="90"/>
        <v>1</v>
      </c>
      <c r="BF30" s="298">
        <f t="shared" ca="1" si="31"/>
        <v>0.65029522127322903</v>
      </c>
      <c r="BG30" s="298">
        <f t="shared" ca="1" si="32"/>
        <v>0.66028983545318687</v>
      </c>
      <c r="BH30" s="318">
        <f t="shared" ca="1" si="33"/>
        <v>0.64972655813153501</v>
      </c>
      <c r="BI30" s="298">
        <f t="shared" ca="1" si="34"/>
        <v>0.65002804502111444</v>
      </c>
      <c r="BJ30" s="299">
        <f t="shared" ca="1" si="35"/>
        <v>0.65029320640965171</v>
      </c>
      <c r="BK30" s="298">
        <f t="shared" ca="1" si="36"/>
        <v>0.64942668056342145</v>
      </c>
      <c r="BL30" s="298">
        <f t="shared" ca="1" si="37"/>
        <v>0.61083952513994022</v>
      </c>
      <c r="BM30" s="299">
        <f t="shared" ca="1" si="38"/>
        <v>0.6508682169276182</v>
      </c>
      <c r="BN30" s="295">
        <f t="shared" ca="1" si="39"/>
        <v>0.17402001625314881</v>
      </c>
      <c r="BO30" s="248">
        <f t="shared" ca="1" si="91"/>
        <v>-2.2535161742124597E-5</v>
      </c>
      <c r="BQ30" s="304">
        <f t="shared" ca="1" si="92"/>
        <v>0.1741200162531488</v>
      </c>
      <c r="BR30" s="297">
        <f t="shared" ca="1" si="93"/>
        <v>0</v>
      </c>
      <c r="BS30" s="298">
        <f t="shared" ca="1" si="40"/>
        <v>0</v>
      </c>
      <c r="BT30" s="298">
        <f t="shared" ca="1" si="41"/>
        <v>0</v>
      </c>
      <c r="BU30" s="318">
        <f t="shared" ca="1" si="42"/>
        <v>0</v>
      </c>
      <c r="BV30" s="298">
        <f t="shared" ca="1" si="43"/>
        <v>0</v>
      </c>
      <c r="BW30" s="299">
        <f t="shared" ca="1" si="44"/>
        <v>0</v>
      </c>
      <c r="BX30" s="298">
        <f t="shared" ca="1" si="45"/>
        <v>0</v>
      </c>
      <c r="BY30" s="298">
        <f t="shared" ca="1" si="46"/>
        <v>0</v>
      </c>
      <c r="BZ30" s="298">
        <f t="shared" ca="1" si="47"/>
        <v>0</v>
      </c>
      <c r="CA30" s="315">
        <f t="shared" ca="1" si="48"/>
        <v>0.1741200162531488</v>
      </c>
      <c r="CC30" s="52"/>
      <c r="CD30" s="306">
        <f t="shared" ca="1" si="94"/>
        <v>0</v>
      </c>
      <c r="CE30" s="15">
        <f t="shared" ca="1" si="49"/>
        <v>0</v>
      </c>
      <c r="CF30" s="15">
        <f t="shared" ca="1" si="50"/>
        <v>0</v>
      </c>
      <c r="CG30" s="286">
        <f t="shared" ca="1" si="51"/>
        <v>0</v>
      </c>
      <c r="CH30" s="15">
        <f t="shared" ca="1" si="52"/>
        <v>0</v>
      </c>
      <c r="CI30" s="288">
        <f t="shared" ca="1" si="53"/>
        <v>0</v>
      </c>
      <c r="CJ30" s="15">
        <f t="shared" ca="1" si="54"/>
        <v>0</v>
      </c>
      <c r="CK30" s="15">
        <f t="shared" ca="1" si="55"/>
        <v>0</v>
      </c>
      <c r="CL30" s="15">
        <f t="shared" ca="1" si="56"/>
        <v>0</v>
      </c>
      <c r="CM30" s="313">
        <f t="shared" ca="1" si="57"/>
        <v>1</v>
      </c>
      <c r="CO30" s="320">
        <f t="shared" ca="1" si="95"/>
        <v>19</v>
      </c>
      <c r="CP30" s="22">
        <f ca="1">COUNTIFS($C$10:$C29,"&lt;"&amp;$C30,$M$10:$M29,$D30&amp;"_"&amp;CP$9)</f>
        <v>0</v>
      </c>
      <c r="CQ30" s="7">
        <f ca="1">COUNTIFS($C$10:$C29,"&lt;"&amp;$C30,$M$10:$M29,$D30&amp;"_"&amp;CQ$9)</f>
        <v>0</v>
      </c>
      <c r="CR30" s="7">
        <f ca="1">COUNTIFS($C$10:$C29,"&lt;"&amp;$C30,$M$10:$M29,$D30&amp;"_"&amp;CR$9)</f>
        <v>0</v>
      </c>
      <c r="CS30" s="17">
        <f ca="1">COUNTIFS($C$10:$C29,"&lt;"&amp;$C30,$M$10:$M29,$D30&amp;"_"&amp;CS$9)</f>
        <v>0</v>
      </c>
      <c r="CT30" s="7">
        <f ca="1">COUNTIFS($C$10:$C29,"&lt;"&amp;$C30,$M$10:$M29,$D30&amp;"_"&amp;CT$9)</f>
        <v>0</v>
      </c>
      <c r="CU30" s="18">
        <f ca="1">COUNTIFS($C$10:$C29,"&lt;"&amp;$C30,$M$10:$M29,$D30&amp;"_"&amp;CU$9)</f>
        <v>0</v>
      </c>
      <c r="CV30" s="7">
        <f ca="1">COUNTIFS($C$10:$C29,"&lt;"&amp;$C30,$M$10:$M29,$D30&amp;"_"&amp;CV$9)</f>
        <v>0</v>
      </c>
      <c r="CW30" s="7">
        <f ca="1">COUNTIFS($C$10:$C29,"&lt;"&amp;$C30,$M$10:$M29,$D30&amp;"_"&amp;CW$9)</f>
        <v>0</v>
      </c>
      <c r="CX30" s="7">
        <f ca="1">COUNTIFS($C$10:$C29,"&lt;"&amp;$C30,$M$10:$M29,$D30&amp;"_"&amp;CX$9)</f>
        <v>0</v>
      </c>
      <c r="CY30" s="221">
        <f ca="1">COUNTIFS($C$10:$C29,"&lt;"&amp;$C30,$M$10:$M29,$D30&amp;"_"&amp;CY$9)</f>
        <v>19</v>
      </c>
      <c r="DA30" s="20"/>
      <c r="DB30" s="308">
        <f ca="1">IF(CP30=0,0,SUMIFS($P$10:$P29, $C$10:$C29,"&lt;"&amp;$C30, $M$10:$M29,$D30&amp;"_"&amp;DB$9)/CP30)</f>
        <v>0</v>
      </c>
      <c r="DC30" s="263">
        <f ca="1">IF(CQ30=0,0,SUMIFS($P$10:$P29, $C$10:$C29,"&lt;"&amp;$C30, $M$10:$M29,$D30&amp;"_"&amp;DC$9)/CQ30)</f>
        <v>0</v>
      </c>
      <c r="DD30" s="263">
        <f ca="1">IF(CR30=0,0,SUMIFS($P$10:$P29, $C$10:$C29,"&lt;"&amp;$C30, $M$10:$M29,$D30&amp;"_"&amp;DD$9)/CR30)</f>
        <v>0</v>
      </c>
      <c r="DE30" s="262">
        <f ca="1">IF(CS30=0,0,SUMIFS($P$10:$P29, $C$10:$C29,"&lt;"&amp;$C30, $M$10:$M29,$D30&amp;"_"&amp;DE$9)/CS30)</f>
        <v>0</v>
      </c>
      <c r="DF30" s="263">
        <f ca="1">IF(CT30=0,0,SUMIFS($P$10:$P29, $C$10:$C29,"&lt;"&amp;$C30, $M$10:$M29,$D30&amp;"_"&amp;DF$9)/CT30)</f>
        <v>0</v>
      </c>
      <c r="DG30" s="310">
        <f ca="1">IF(CU30=0,0,SUMIFS($P$10:$P29, $C$10:$C29,"&lt;"&amp;$C30, $M$10:$M29,$D30&amp;"_"&amp;DG$9)/CU30)</f>
        <v>0</v>
      </c>
      <c r="DH30" s="263">
        <f ca="1">IF(CV30=0,0,SUMIFS($P$10:$P29, $C$10:$C29,"&lt;"&amp;$C30, $M$10:$M29,$D30&amp;"_"&amp;DH$9)/CV30)</f>
        <v>0</v>
      </c>
      <c r="DI30" s="263">
        <f ca="1">IF(CW30=0,0,SUMIFS($P$10:$P29, $C$10:$C29,"&lt;"&amp;$C30, $M$10:$M29,$D30&amp;"_"&amp;DI$9)/CW30)</f>
        <v>0</v>
      </c>
      <c r="DJ30" s="264">
        <f ca="1">IF(CX30=0,0,SUMIFS($P$10:$P29, $C$10:$C29,"&lt;"&amp;$C30, $M$10:$M29,$D30&amp;"_"&amp;DJ$9)/CX30)</f>
        <v>0</v>
      </c>
      <c r="DK30" s="264">
        <f ca="1">IF(CY30=0,0,SUMIFS($P$10:$P29, $C$10:$C29,"&lt;"&amp;$C30, $M$10:$M29,$D30&amp;"_"&amp;DK$9)/CY30)</f>
        <v>-1</v>
      </c>
      <c r="DM30" s="104"/>
      <c r="DN30" s="306">
        <f t="shared" ca="1" si="96"/>
        <v>-9999</v>
      </c>
      <c r="DO30" s="15">
        <f t="shared" ca="1" si="58"/>
        <v>-9999</v>
      </c>
      <c r="DP30" s="15">
        <f t="shared" ca="1" si="59"/>
        <v>-9999</v>
      </c>
      <c r="DQ30" s="15">
        <f t="shared" ca="1" si="60"/>
        <v>-9999</v>
      </c>
      <c r="DR30" s="15">
        <f t="shared" ca="1" si="61"/>
        <v>-9999</v>
      </c>
      <c r="DS30" s="15">
        <f t="shared" ca="1" si="62"/>
        <v>-9999</v>
      </c>
      <c r="DT30" s="15">
        <f t="shared" ca="1" si="63"/>
        <v>-9999</v>
      </c>
      <c r="DU30" s="15">
        <f t="shared" ca="1" si="64"/>
        <v>-9999</v>
      </c>
      <c r="DV30" s="52">
        <f t="shared" ca="1" si="65"/>
        <v>-9999</v>
      </c>
      <c r="DW30" s="313">
        <f t="shared" ca="1" si="66"/>
        <v>-0.78205505282296628</v>
      </c>
      <c r="DX30" s="52"/>
      <c r="DY30" s="402">
        <f t="shared" ca="1" si="97"/>
        <v>9</v>
      </c>
      <c r="ED30" s="19">
        <f t="shared" ca="1" si="67"/>
        <v>-1</v>
      </c>
      <c r="EE30" s="1">
        <f t="shared" ca="1" si="68"/>
        <v>1</v>
      </c>
      <c r="EF30" s="1">
        <f t="shared" ca="1" si="69"/>
        <v>-1</v>
      </c>
      <c r="EG30" s="2">
        <f t="shared" ca="1" si="70"/>
        <v>1</v>
      </c>
      <c r="EH30" s="1">
        <f t="shared" ca="1" si="71"/>
        <v>-1</v>
      </c>
      <c r="EI30" s="3">
        <f t="shared" ca="1" si="72"/>
        <v>1</v>
      </c>
      <c r="EJ30" s="1">
        <f t="shared" ca="1" si="73"/>
        <v>0</v>
      </c>
      <c r="EK30" s="1">
        <f t="shared" ca="1" si="74"/>
        <v>0</v>
      </c>
      <c r="EL30" s="20">
        <f t="shared" ca="1" si="75"/>
        <v>-1</v>
      </c>
      <c r="EN30" s="86">
        <f ca="1">MAX(0, SUMPRODUCT($ED30:$EL30,OFFSET(DNN!$E$9:$M$9,EN$9,0)) + OFFSET(DNN!$D$9,EN$9,0))</f>
        <v>0</v>
      </c>
      <c r="EO30" s="84">
        <f ca="1">MAX(0, SUMPRODUCT($ED30:$EL30,OFFSET(DNN!$E$9:$M$9,EO$9,0)) + OFFSET(DNN!$D$9,EO$9,0))</f>
        <v>7.2346022384755949E-3</v>
      </c>
      <c r="EP30" s="84">
        <f ca="1">MAX(0, SUMPRODUCT($ED30:$EL30,OFFSET(DNN!$E$9:$M$9,EP$9,0)) + OFFSET(DNN!$D$9,EP$9,0))</f>
        <v>3.6951849750035152E-3</v>
      </c>
      <c r="EQ30" s="84">
        <f ca="1">MAX(0, SUMPRODUCT($ED30:$EL30,OFFSET(DNN!$E$9:$M$9,EQ$9,0)) + OFFSET(DNN!$D$9,EQ$9,0))</f>
        <v>0</v>
      </c>
      <c r="ER30" s="85">
        <f ca="1">MAX(0, SUMPRODUCT($ED30:$EL30,OFFSET(DNN!$E$9:$M$9,ER$9,0)) + OFFSET(DNN!$D$9,ER$9,0))</f>
        <v>0</v>
      </c>
      <c r="ET30" s="86">
        <f ca="1">MAX(0, SUMPRODUCT($EN30:$ER30,OFFSET(DNN!$Q$9:$U$9,ET$9,0)) + OFFSET(DNN!$P$9,ET$9,0))</f>
        <v>4.3954959453478351E-4</v>
      </c>
      <c r="EU30" s="84">
        <f ca="1">MAX(0, SUMPRODUCT($EN30:$ER30,OFFSET(DNN!$Q$9:$U$9,EU$9,0)) + OFFSET(DNN!$P$9,EU$9,0))</f>
        <v>0</v>
      </c>
      <c r="EV30" s="84">
        <f ca="1">MAX(0, SUMPRODUCT($EN30:$ER30,OFFSET(DNN!$Q$9:$U$9,EV$9,0)) + OFFSET(DNN!$P$9,EV$9,0))</f>
        <v>1.2810123361902579E-3</v>
      </c>
      <c r="EW30" s="84">
        <f ca="1">MAX(0, SUMPRODUCT($EN30:$ER30,OFFSET(DNN!$Q$9:$U$9,EW$9,0)) + OFFSET(DNN!$P$9,EW$9,0))</f>
        <v>7.8382123007882457E-4</v>
      </c>
      <c r="EX30" s="85">
        <f ca="1">MAX(0, SUMPRODUCT($EN30:$ER30,OFFSET(DNN!$Q$9:$U$9,EX$9,0)) + OFFSET(DNN!$P$9,EX$9,0))</f>
        <v>0</v>
      </c>
      <c r="EZ30" s="111">
        <f ca="1">SUMPRODUCT($ET30:$EX30,OFFSET(DNN!$Y$9:$AC$9,EZ$9,0)) + OFFSET(DNN!$X$9,EZ$9,0)</f>
        <v>0.43031618918982212</v>
      </c>
      <c r="FA30" s="97">
        <f ca="1">SUMPRODUCT($ET30:$EX30,OFFSET(DNN!$Y$9:$AC$9,FA$9,0)) + OFFSET(DNN!$X$9,FA$9,0)</f>
        <v>-1.2643439935754107E-5</v>
      </c>
      <c r="FB30" s="97">
        <f ca="1">SUMPRODUCT($ET30:$EX30,OFFSET(DNN!$Y$9:$AC$9,FB$9,0)) + OFFSET(DNN!$X$9,FB$9,0)</f>
        <v>1.5239793458415756E-2</v>
      </c>
      <c r="FC30" s="97">
        <f ca="1">SUMPRODUCT($ET30:$EX30,OFFSET(DNN!$Y$9:$AC$9,FC$9,0)) + OFFSET(DNN!$X$9,FC$9,0)</f>
        <v>-8.8749521084055777E-4</v>
      </c>
      <c r="FD30" s="97">
        <f ca="1">SUMPRODUCT($ET30:$EX30,OFFSET(DNN!$Y$9:$AC$9,FD$9,0)) + OFFSET(DNN!$X$9,FD$9,0)</f>
        <v>-4.235816470721872E-4</v>
      </c>
      <c r="FE30" s="97">
        <f ca="1">SUMPRODUCT($ET30:$EX30,OFFSET(DNN!$Y$9:$AC$9,FE$9,0)) + OFFSET(DNN!$X$9,FE$9,0)</f>
        <v>-1.574182761064886E-5</v>
      </c>
      <c r="FF30" s="97">
        <f ca="1">SUMPRODUCT($ET30:$EX30,OFFSET(DNN!$Y$9:$AC$9,FF$9,0)) + OFFSET(DNN!$X$9,FF$9,0)</f>
        <v>-1.3491460223194656E-3</v>
      </c>
      <c r="FG30" s="97">
        <f ca="1">SUMPRODUCT($ET30:$EX30,OFFSET(DNN!$Y$9:$AC$9,FG$9,0)) + OFFSET(DNN!$X$9,FG$9,0)</f>
        <v>-6.2604808096248285E-2</v>
      </c>
      <c r="FH30" s="97">
        <f ca="1">SUMPRODUCT($ET30:$EX30,OFFSET(DNN!$Y$9:$AC$9,FH$9,0)) + OFFSET(DNN!$X$9,FH$9,0)</f>
        <v>8.6810016937029894E-4</v>
      </c>
      <c r="FI30" s="108">
        <f ca="1">SUMPRODUCT($ET30:$EX30,OFFSET(DNN!$Y$9:$AC$9,FI$9,0)) + OFFSET(DNN!$X$9,FI$9,0)</f>
        <v>-1.3182687612562751</v>
      </c>
      <c r="FJ30" s="98">
        <f ca="1">SUMPRODUCT($ET30:$EX30,OFFSET(DNN!$Y$9:$AC$9,FJ$9,0)) + OFFSET(DNN!$X$9,FJ$9,0)</f>
        <v>-2.2535161745939301E-5</v>
      </c>
      <c r="FL30" s="415">
        <f t="shared" ca="1" si="98"/>
        <v>0.43031618918982212</v>
      </c>
      <c r="FM30" s="130">
        <f t="shared" ca="1" si="99"/>
        <v>1</v>
      </c>
      <c r="FN30" s="131">
        <f t="shared" ca="1" si="100"/>
        <v>0.65029522127322903</v>
      </c>
      <c r="FO30" s="131">
        <f t="shared" ca="1" si="101"/>
        <v>0.66028983545318687</v>
      </c>
      <c r="FP30" s="131">
        <f t="shared" ca="1" si="102"/>
        <v>0.64972655813153501</v>
      </c>
      <c r="FQ30" s="131">
        <f t="shared" ca="1" si="103"/>
        <v>0.65002804502111444</v>
      </c>
      <c r="FR30" s="131">
        <f t="shared" ca="1" si="104"/>
        <v>0.65029320640965171</v>
      </c>
      <c r="FS30" s="131">
        <f t="shared" ca="1" si="105"/>
        <v>0.64942668056342145</v>
      </c>
      <c r="FT30" s="131">
        <f t="shared" ca="1" si="106"/>
        <v>0.61083952513994022</v>
      </c>
      <c r="FU30" s="132">
        <f t="shared" ca="1" si="107"/>
        <v>0.6508682169276182</v>
      </c>
      <c r="FV30" s="131">
        <f t="shared" ca="1" si="108"/>
        <v>0.17402001625314881</v>
      </c>
      <c r="FW30" s="83">
        <f t="shared" ca="1" si="109"/>
        <v>-2.2535161742124597E-5</v>
      </c>
    </row>
    <row r="31" spans="1:179">
      <c r="A31" s="19">
        <f t="shared" si="117"/>
        <v>21</v>
      </c>
      <c r="B31" s="1">
        <f t="shared" ca="1" si="111"/>
        <v>0</v>
      </c>
      <c r="C31" s="20">
        <f t="shared" ca="1" si="112"/>
        <v>21</v>
      </c>
      <c r="D31" s="19" t="str">
        <f t="shared" ca="1" si="113"/>
        <v>〇×〇×〇×--〇</v>
      </c>
      <c r="E31" s="7">
        <f t="shared" ca="1" si="77"/>
        <v>9</v>
      </c>
      <c r="F31" s="7">
        <f t="shared" ca="1" si="78"/>
        <v>1</v>
      </c>
      <c r="G31" s="1" t="str">
        <f t="shared" ca="1" si="116"/>
        <v>〇×〇×〇×--〇</v>
      </c>
      <c r="H31" s="20" t="b">
        <f t="shared" ca="1" si="80"/>
        <v>1</v>
      </c>
      <c r="I31" s="22">
        <f t="shared" ca="1" si="114"/>
        <v>-1</v>
      </c>
      <c r="J31" s="1" t="b">
        <f ca="1">(1&lt;COUNTIF(D$10:D31,D31))</f>
        <v>1</v>
      </c>
      <c r="K31" s="1" t="b">
        <f t="shared" ca="1" si="81"/>
        <v>1</v>
      </c>
      <c r="L31" s="7">
        <f ca="1">MATCH(TRUE,K31:K$1048576,FALSE)-1</f>
        <v>0</v>
      </c>
      <c r="M31" s="24" t="str">
        <f t="shared" ca="1" si="13"/>
        <v>〇×〇×〇×--〇_9</v>
      </c>
      <c r="N31" s="25">
        <f t="shared" ca="1" si="82"/>
        <v>-2.2535161742124597E-5</v>
      </c>
      <c r="O31" s="26">
        <f t="shared" ca="1" si="83"/>
        <v>-1</v>
      </c>
      <c r="P31" s="27">
        <f t="shared" ca="1" si="84"/>
        <v>-1</v>
      </c>
      <c r="R31" s="41" t="str">
        <f ca="1">VLOOKUP(S31,cvt!$B$2:$C$4,2,FALSE)&amp;VLOOKUP(T31,cvt!$B$2:$C$4,2,FALSE)&amp;VLOOKUP(U31,cvt!$B$2:$C$4,2,FALSE)
&amp;VLOOKUP(V31,cvt!$B$2:$C$4,2,FALSE)&amp;VLOOKUP(W31,cvt!$B$2:$C$4,2,FALSE)&amp;VLOOKUP(X31,cvt!$B$2:$C$4,2,FALSE)
&amp;VLOOKUP(Y31,cvt!$B$2:$C$4,2,FALSE)&amp;VLOOKUP(Z31,cvt!$B$2:$C$4,2,FALSE)&amp;VLOOKUP(AA31,cvt!$B$2:$C$4,2,FALSE)</f>
        <v>〇×〇×〇×--〇</v>
      </c>
      <c r="S31" s="7">
        <f ca="1">VLOOKUP(MID($D31,S$9+1,1), cvt!$A$2:$B$4,2, FALSE)</f>
        <v>1</v>
      </c>
      <c r="T31" s="7">
        <f ca="1">VLOOKUP(MID($D31,T$9+1,1), cvt!$A$2:$B$4,2, FALSE)</f>
        <v>-1</v>
      </c>
      <c r="U31" s="7">
        <f ca="1">VLOOKUP(MID($D31,U$9+1,1), cvt!$A$2:$B$4,2, FALSE)</f>
        <v>1</v>
      </c>
      <c r="V31" s="17">
        <f ca="1">VLOOKUP(MID($D31,V$9+1,1), cvt!$A$2:$B$4,2, FALSE)</f>
        <v>-1</v>
      </c>
      <c r="W31" s="7">
        <f ca="1">VLOOKUP(MID($D31,W$9+1,1), cvt!$A$2:$B$4,2, FALSE)</f>
        <v>1</v>
      </c>
      <c r="X31" s="18">
        <f ca="1">VLOOKUP(MID($D31,X$9+1,1), cvt!$A$2:$B$4,2, FALSE)</f>
        <v>-1</v>
      </c>
      <c r="Y31" s="7">
        <f ca="1">VLOOKUP(MID($D31,Y$9+1,1), cvt!$A$2:$B$4,2, FALSE)</f>
        <v>0</v>
      </c>
      <c r="Z31" s="7">
        <f ca="1">VLOOKUP(MID($D31,Z$9+1,1), cvt!$A$2:$B$4,2, FALSE)</f>
        <v>0</v>
      </c>
      <c r="AA31" s="42">
        <f ca="1">VLOOKUP(MID($D31,AA$9+1,1), cvt!$A$2:$B$4,2, FALSE)</f>
        <v>1</v>
      </c>
      <c r="AB31" s="7">
        <f t="shared" ca="1" si="85"/>
        <v>1</v>
      </c>
      <c r="AC31" s="50" t="b">
        <f t="shared" ca="1" si="86"/>
        <v>1</v>
      </c>
      <c r="AE31" s="19" t="str">
        <f ca="1">VLOOKUP(AF31,cvt!$B$2:$C$4,2,FALSE)&amp;VLOOKUP(AG31,cvt!$B$2:$C$4,2,FALSE)&amp;VLOOKUP(AH31,cvt!$B$2:$C$4,2,FALSE)
&amp;VLOOKUP(AI31,cvt!$B$2:$C$4,2,FALSE)&amp;VLOOKUP(AJ31,cvt!$B$2:$C$4,2,FALSE)&amp;VLOOKUP(AK31,cvt!$B$2:$C$4,2,FALSE)
&amp;VLOOKUP(AL31,cvt!$B$2:$C$4,2,FALSE)&amp;VLOOKUP(AM31,cvt!$B$2:$C$4,2,FALSE)&amp;VLOOKUP(AN31,cvt!$B$2:$C$4,2,FALSE)</f>
        <v>〇×〇×〇×--〇</v>
      </c>
      <c r="AF31" s="17">
        <f t="shared" ca="1" si="14"/>
        <v>1</v>
      </c>
      <c r="AG31" s="7">
        <f t="shared" ca="1" si="15"/>
        <v>-1</v>
      </c>
      <c r="AH31" s="7">
        <f t="shared" ca="1" si="16"/>
        <v>1</v>
      </c>
      <c r="AI31" s="17">
        <f t="shared" ca="1" si="17"/>
        <v>-1</v>
      </c>
      <c r="AJ31" s="7">
        <f t="shared" ca="1" si="18"/>
        <v>1</v>
      </c>
      <c r="AK31" s="18">
        <f t="shared" ca="1" si="19"/>
        <v>-1</v>
      </c>
      <c r="AL31" s="7">
        <f t="shared" ca="1" si="20"/>
        <v>0</v>
      </c>
      <c r="AM31" s="7">
        <f t="shared" ca="1" si="21"/>
        <v>0</v>
      </c>
      <c r="AN31" s="18">
        <f t="shared" ca="1" si="22"/>
        <v>1</v>
      </c>
      <c r="AO31" s="7">
        <f t="shared" ca="1" si="115"/>
        <v>1</v>
      </c>
      <c r="AP31" s="50" t="b">
        <f t="shared" ca="1" si="87"/>
        <v>1</v>
      </c>
      <c r="AS31" s="22">
        <f t="shared" ca="1" si="88"/>
        <v>0</v>
      </c>
      <c r="AT31" s="7">
        <f t="shared" ca="1" si="23"/>
        <v>0</v>
      </c>
      <c r="AU31" s="7">
        <f t="shared" ca="1" si="24"/>
        <v>0</v>
      </c>
      <c r="AV31" s="7">
        <f t="shared" ca="1" si="25"/>
        <v>0</v>
      </c>
      <c r="AW31" s="7">
        <f t="shared" ca="1" si="26"/>
        <v>0</v>
      </c>
      <c r="AX31" s="7">
        <f t="shared" ca="1" si="27"/>
        <v>0</v>
      </c>
      <c r="AY31" s="7">
        <f t="shared" ca="1" si="28"/>
        <v>0</v>
      </c>
      <c r="AZ31" s="7">
        <f t="shared" ca="1" si="29"/>
        <v>0</v>
      </c>
      <c r="BA31" s="18">
        <f t="shared" ca="1" si="30"/>
        <v>0</v>
      </c>
      <c r="BB31" s="295">
        <f t="shared" ca="1" si="89"/>
        <v>1</v>
      </c>
      <c r="BD31" s="132"/>
      <c r="BE31" s="297">
        <f t="shared" ca="1" si="90"/>
        <v>1</v>
      </c>
      <c r="BF31" s="298">
        <f t="shared" ca="1" si="31"/>
        <v>0.65029522127322903</v>
      </c>
      <c r="BG31" s="298">
        <f t="shared" ca="1" si="32"/>
        <v>0.66028983545318687</v>
      </c>
      <c r="BH31" s="318">
        <f t="shared" ca="1" si="33"/>
        <v>0.64972655813153501</v>
      </c>
      <c r="BI31" s="298">
        <f t="shared" ca="1" si="34"/>
        <v>0.65002804502111444</v>
      </c>
      <c r="BJ31" s="299">
        <f t="shared" ca="1" si="35"/>
        <v>0.65029320640965171</v>
      </c>
      <c r="BK31" s="298">
        <f t="shared" ca="1" si="36"/>
        <v>0.64942668056342145</v>
      </c>
      <c r="BL31" s="298">
        <f t="shared" ca="1" si="37"/>
        <v>0.61083952513994022</v>
      </c>
      <c r="BM31" s="299">
        <f t="shared" ca="1" si="38"/>
        <v>0.6508682169276182</v>
      </c>
      <c r="BN31" s="295">
        <f t="shared" ca="1" si="39"/>
        <v>0.17402001625314881</v>
      </c>
      <c r="BO31" s="248">
        <f t="shared" ca="1" si="91"/>
        <v>-2.2535161742124597E-5</v>
      </c>
      <c r="BQ31" s="304">
        <f t="shared" ca="1" si="92"/>
        <v>0.1741200162531488</v>
      </c>
      <c r="BR31" s="297">
        <f t="shared" ca="1" si="93"/>
        <v>0</v>
      </c>
      <c r="BS31" s="298">
        <f t="shared" ca="1" si="40"/>
        <v>0</v>
      </c>
      <c r="BT31" s="298">
        <f t="shared" ca="1" si="41"/>
        <v>0</v>
      </c>
      <c r="BU31" s="318">
        <f t="shared" ca="1" si="42"/>
        <v>0</v>
      </c>
      <c r="BV31" s="298">
        <f t="shared" ca="1" si="43"/>
        <v>0</v>
      </c>
      <c r="BW31" s="299">
        <f t="shared" ca="1" si="44"/>
        <v>0</v>
      </c>
      <c r="BX31" s="298">
        <f t="shared" ca="1" si="45"/>
        <v>0</v>
      </c>
      <c r="BY31" s="298">
        <f t="shared" ca="1" si="46"/>
        <v>0</v>
      </c>
      <c r="BZ31" s="298">
        <f t="shared" ca="1" si="47"/>
        <v>0</v>
      </c>
      <c r="CA31" s="315">
        <f t="shared" ca="1" si="48"/>
        <v>0.1741200162531488</v>
      </c>
      <c r="CC31" s="52"/>
      <c r="CD31" s="306">
        <f t="shared" ca="1" si="94"/>
        <v>0</v>
      </c>
      <c r="CE31" s="15">
        <f t="shared" ca="1" si="49"/>
        <v>0</v>
      </c>
      <c r="CF31" s="15">
        <f t="shared" ca="1" si="50"/>
        <v>0</v>
      </c>
      <c r="CG31" s="286">
        <f t="shared" ca="1" si="51"/>
        <v>0</v>
      </c>
      <c r="CH31" s="15">
        <f t="shared" ca="1" si="52"/>
        <v>0</v>
      </c>
      <c r="CI31" s="288">
        <f t="shared" ca="1" si="53"/>
        <v>0</v>
      </c>
      <c r="CJ31" s="15">
        <f t="shared" ca="1" si="54"/>
        <v>0</v>
      </c>
      <c r="CK31" s="15">
        <f t="shared" ca="1" si="55"/>
        <v>0</v>
      </c>
      <c r="CL31" s="15">
        <f t="shared" ca="1" si="56"/>
        <v>0</v>
      </c>
      <c r="CM31" s="313">
        <f t="shared" ca="1" si="57"/>
        <v>1</v>
      </c>
      <c r="CO31" s="320">
        <f t="shared" ca="1" si="95"/>
        <v>20</v>
      </c>
      <c r="CP31" s="22">
        <f ca="1">COUNTIFS($C$10:$C30,"&lt;"&amp;$C31,$M$10:$M30,$D31&amp;"_"&amp;CP$9)</f>
        <v>0</v>
      </c>
      <c r="CQ31" s="7">
        <f ca="1">COUNTIFS($C$10:$C30,"&lt;"&amp;$C31,$M$10:$M30,$D31&amp;"_"&amp;CQ$9)</f>
        <v>0</v>
      </c>
      <c r="CR31" s="7">
        <f ca="1">COUNTIFS($C$10:$C30,"&lt;"&amp;$C31,$M$10:$M30,$D31&amp;"_"&amp;CR$9)</f>
        <v>0</v>
      </c>
      <c r="CS31" s="17">
        <f ca="1">COUNTIFS($C$10:$C30,"&lt;"&amp;$C31,$M$10:$M30,$D31&amp;"_"&amp;CS$9)</f>
        <v>0</v>
      </c>
      <c r="CT31" s="7">
        <f ca="1">COUNTIFS($C$10:$C30,"&lt;"&amp;$C31,$M$10:$M30,$D31&amp;"_"&amp;CT$9)</f>
        <v>0</v>
      </c>
      <c r="CU31" s="18">
        <f ca="1">COUNTIFS($C$10:$C30,"&lt;"&amp;$C31,$M$10:$M30,$D31&amp;"_"&amp;CU$9)</f>
        <v>0</v>
      </c>
      <c r="CV31" s="7">
        <f ca="1">COUNTIFS($C$10:$C30,"&lt;"&amp;$C31,$M$10:$M30,$D31&amp;"_"&amp;CV$9)</f>
        <v>0</v>
      </c>
      <c r="CW31" s="7">
        <f ca="1">COUNTIFS($C$10:$C30,"&lt;"&amp;$C31,$M$10:$M30,$D31&amp;"_"&amp;CW$9)</f>
        <v>0</v>
      </c>
      <c r="CX31" s="7">
        <f ca="1">COUNTIFS($C$10:$C30,"&lt;"&amp;$C31,$M$10:$M30,$D31&amp;"_"&amp;CX$9)</f>
        <v>0</v>
      </c>
      <c r="CY31" s="221">
        <f ca="1">COUNTIFS($C$10:$C30,"&lt;"&amp;$C31,$M$10:$M30,$D31&amp;"_"&amp;CY$9)</f>
        <v>20</v>
      </c>
      <c r="DA31" s="20"/>
      <c r="DB31" s="308">
        <f ca="1">IF(CP31=0,0,SUMIFS($P$10:$P30, $C$10:$C30,"&lt;"&amp;$C31, $M$10:$M30,$D31&amp;"_"&amp;DB$9)/CP31)</f>
        <v>0</v>
      </c>
      <c r="DC31" s="263">
        <f ca="1">IF(CQ31=0,0,SUMIFS($P$10:$P30, $C$10:$C30,"&lt;"&amp;$C31, $M$10:$M30,$D31&amp;"_"&amp;DC$9)/CQ31)</f>
        <v>0</v>
      </c>
      <c r="DD31" s="263">
        <f ca="1">IF(CR31=0,0,SUMIFS($P$10:$P30, $C$10:$C30,"&lt;"&amp;$C31, $M$10:$M30,$D31&amp;"_"&amp;DD$9)/CR31)</f>
        <v>0</v>
      </c>
      <c r="DE31" s="262">
        <f ca="1">IF(CS31=0,0,SUMIFS($P$10:$P30, $C$10:$C30,"&lt;"&amp;$C31, $M$10:$M30,$D31&amp;"_"&amp;DE$9)/CS31)</f>
        <v>0</v>
      </c>
      <c r="DF31" s="263">
        <f ca="1">IF(CT31=0,0,SUMIFS($P$10:$P30, $C$10:$C30,"&lt;"&amp;$C31, $M$10:$M30,$D31&amp;"_"&amp;DF$9)/CT31)</f>
        <v>0</v>
      </c>
      <c r="DG31" s="310">
        <f ca="1">IF(CU31=0,0,SUMIFS($P$10:$P30, $C$10:$C30,"&lt;"&amp;$C31, $M$10:$M30,$D31&amp;"_"&amp;DG$9)/CU31)</f>
        <v>0</v>
      </c>
      <c r="DH31" s="263">
        <f ca="1">IF(CV31=0,0,SUMIFS($P$10:$P30, $C$10:$C30,"&lt;"&amp;$C31, $M$10:$M30,$D31&amp;"_"&amp;DH$9)/CV31)</f>
        <v>0</v>
      </c>
      <c r="DI31" s="263">
        <f ca="1">IF(CW31=0,0,SUMIFS($P$10:$P30, $C$10:$C30,"&lt;"&amp;$C31, $M$10:$M30,$D31&amp;"_"&amp;DI$9)/CW31)</f>
        <v>0</v>
      </c>
      <c r="DJ31" s="264">
        <f ca="1">IF(CX31=0,0,SUMIFS($P$10:$P30, $C$10:$C30,"&lt;"&amp;$C31, $M$10:$M30,$D31&amp;"_"&amp;DJ$9)/CX31)</f>
        <v>0</v>
      </c>
      <c r="DK31" s="264">
        <f ca="1">IF(CY31=0,0,SUMIFS($P$10:$P30, $C$10:$C30,"&lt;"&amp;$C31, $M$10:$M30,$D31&amp;"_"&amp;DK$9)/CY31)</f>
        <v>-1</v>
      </c>
      <c r="DM31" s="104"/>
      <c r="DN31" s="306">
        <f t="shared" ca="1" si="96"/>
        <v>-9999</v>
      </c>
      <c r="DO31" s="15">
        <f t="shared" ca="1" si="58"/>
        <v>-9999</v>
      </c>
      <c r="DP31" s="15">
        <f t="shared" ca="1" si="59"/>
        <v>-9999</v>
      </c>
      <c r="DQ31" s="15">
        <f t="shared" ca="1" si="60"/>
        <v>-9999</v>
      </c>
      <c r="DR31" s="15">
        <f t="shared" ca="1" si="61"/>
        <v>-9999</v>
      </c>
      <c r="DS31" s="15">
        <f t="shared" ca="1" si="62"/>
        <v>-9999</v>
      </c>
      <c r="DT31" s="15">
        <f t="shared" ca="1" si="63"/>
        <v>-9999</v>
      </c>
      <c r="DU31" s="15">
        <f t="shared" ca="1" si="64"/>
        <v>-9999</v>
      </c>
      <c r="DV31" s="52">
        <f t="shared" ca="1" si="65"/>
        <v>-9999</v>
      </c>
      <c r="DW31" s="313">
        <f t="shared" ca="1" si="66"/>
        <v>-0.78704114500001998</v>
      </c>
      <c r="DX31" s="52"/>
      <c r="DY31" s="402">
        <f t="shared" ca="1" si="97"/>
        <v>9</v>
      </c>
      <c r="ED31" s="19">
        <f t="shared" ca="1" si="67"/>
        <v>-1</v>
      </c>
      <c r="EE31" s="1">
        <f t="shared" ca="1" si="68"/>
        <v>1</v>
      </c>
      <c r="EF31" s="1">
        <f t="shared" ca="1" si="69"/>
        <v>-1</v>
      </c>
      <c r="EG31" s="2">
        <f t="shared" ca="1" si="70"/>
        <v>1</v>
      </c>
      <c r="EH31" s="1">
        <f t="shared" ca="1" si="71"/>
        <v>-1</v>
      </c>
      <c r="EI31" s="3">
        <f t="shared" ca="1" si="72"/>
        <v>1</v>
      </c>
      <c r="EJ31" s="1">
        <f t="shared" ca="1" si="73"/>
        <v>0</v>
      </c>
      <c r="EK31" s="1">
        <f t="shared" ca="1" si="74"/>
        <v>0</v>
      </c>
      <c r="EL31" s="20">
        <f t="shared" ca="1" si="75"/>
        <v>-1</v>
      </c>
      <c r="EN31" s="86">
        <f ca="1">MAX(0, SUMPRODUCT($ED31:$EL31,OFFSET(DNN!$E$9:$M$9,EN$9,0)) + OFFSET(DNN!$D$9,EN$9,0))</f>
        <v>0</v>
      </c>
      <c r="EO31" s="84">
        <f ca="1">MAX(0, SUMPRODUCT($ED31:$EL31,OFFSET(DNN!$E$9:$M$9,EO$9,0)) + OFFSET(DNN!$D$9,EO$9,0))</f>
        <v>7.2346022384755949E-3</v>
      </c>
      <c r="EP31" s="84">
        <f ca="1">MAX(0, SUMPRODUCT($ED31:$EL31,OFFSET(DNN!$E$9:$M$9,EP$9,0)) + OFFSET(DNN!$D$9,EP$9,0))</f>
        <v>3.6951849750035152E-3</v>
      </c>
      <c r="EQ31" s="84">
        <f ca="1">MAX(0, SUMPRODUCT($ED31:$EL31,OFFSET(DNN!$E$9:$M$9,EQ$9,0)) + OFFSET(DNN!$D$9,EQ$9,0))</f>
        <v>0</v>
      </c>
      <c r="ER31" s="85">
        <f ca="1">MAX(0, SUMPRODUCT($ED31:$EL31,OFFSET(DNN!$E$9:$M$9,ER$9,0)) + OFFSET(DNN!$D$9,ER$9,0))</f>
        <v>0</v>
      </c>
      <c r="ET31" s="86">
        <f ca="1">MAX(0, SUMPRODUCT($EN31:$ER31,OFFSET(DNN!$Q$9:$U$9,ET$9,0)) + OFFSET(DNN!$P$9,ET$9,0))</f>
        <v>4.3954959453478351E-4</v>
      </c>
      <c r="EU31" s="84">
        <f ca="1">MAX(0, SUMPRODUCT($EN31:$ER31,OFFSET(DNN!$Q$9:$U$9,EU$9,0)) + OFFSET(DNN!$P$9,EU$9,0))</f>
        <v>0</v>
      </c>
      <c r="EV31" s="84">
        <f ca="1">MAX(0, SUMPRODUCT($EN31:$ER31,OFFSET(DNN!$Q$9:$U$9,EV$9,0)) + OFFSET(DNN!$P$9,EV$9,0))</f>
        <v>1.2810123361902579E-3</v>
      </c>
      <c r="EW31" s="84">
        <f ca="1">MAX(0, SUMPRODUCT($EN31:$ER31,OFFSET(DNN!$Q$9:$U$9,EW$9,0)) + OFFSET(DNN!$P$9,EW$9,0))</f>
        <v>7.8382123007882457E-4</v>
      </c>
      <c r="EX31" s="85">
        <f ca="1">MAX(0, SUMPRODUCT($EN31:$ER31,OFFSET(DNN!$Q$9:$U$9,EX$9,0)) + OFFSET(DNN!$P$9,EX$9,0))</f>
        <v>0</v>
      </c>
      <c r="EZ31" s="111">
        <f ca="1">SUMPRODUCT($ET31:$EX31,OFFSET(DNN!$Y$9:$AC$9,EZ$9,0)) + OFFSET(DNN!$X$9,EZ$9,0)</f>
        <v>0.43031618918982212</v>
      </c>
      <c r="FA31" s="97">
        <f ca="1">SUMPRODUCT($ET31:$EX31,OFFSET(DNN!$Y$9:$AC$9,FA$9,0)) + OFFSET(DNN!$X$9,FA$9,0)</f>
        <v>-1.2643439935754107E-5</v>
      </c>
      <c r="FB31" s="97">
        <f ca="1">SUMPRODUCT($ET31:$EX31,OFFSET(DNN!$Y$9:$AC$9,FB$9,0)) + OFFSET(DNN!$X$9,FB$9,0)</f>
        <v>1.5239793458415756E-2</v>
      </c>
      <c r="FC31" s="97">
        <f ca="1">SUMPRODUCT($ET31:$EX31,OFFSET(DNN!$Y$9:$AC$9,FC$9,0)) + OFFSET(DNN!$X$9,FC$9,0)</f>
        <v>-8.8749521084055777E-4</v>
      </c>
      <c r="FD31" s="97">
        <f ca="1">SUMPRODUCT($ET31:$EX31,OFFSET(DNN!$Y$9:$AC$9,FD$9,0)) + OFFSET(DNN!$X$9,FD$9,0)</f>
        <v>-4.235816470721872E-4</v>
      </c>
      <c r="FE31" s="97">
        <f ca="1">SUMPRODUCT($ET31:$EX31,OFFSET(DNN!$Y$9:$AC$9,FE$9,0)) + OFFSET(DNN!$X$9,FE$9,0)</f>
        <v>-1.574182761064886E-5</v>
      </c>
      <c r="FF31" s="97">
        <f ca="1">SUMPRODUCT($ET31:$EX31,OFFSET(DNN!$Y$9:$AC$9,FF$9,0)) + OFFSET(DNN!$X$9,FF$9,0)</f>
        <v>-1.3491460223194656E-3</v>
      </c>
      <c r="FG31" s="97">
        <f ca="1">SUMPRODUCT($ET31:$EX31,OFFSET(DNN!$Y$9:$AC$9,FG$9,0)) + OFFSET(DNN!$X$9,FG$9,0)</f>
        <v>-6.2604808096248285E-2</v>
      </c>
      <c r="FH31" s="97">
        <f ca="1">SUMPRODUCT($ET31:$EX31,OFFSET(DNN!$Y$9:$AC$9,FH$9,0)) + OFFSET(DNN!$X$9,FH$9,0)</f>
        <v>8.6810016937029894E-4</v>
      </c>
      <c r="FI31" s="108">
        <f ca="1">SUMPRODUCT($ET31:$EX31,OFFSET(DNN!$Y$9:$AC$9,FI$9,0)) + OFFSET(DNN!$X$9,FI$9,0)</f>
        <v>-1.3182687612562751</v>
      </c>
      <c r="FJ31" s="98">
        <f ca="1">SUMPRODUCT($ET31:$EX31,OFFSET(DNN!$Y$9:$AC$9,FJ$9,0)) + OFFSET(DNN!$X$9,FJ$9,0)</f>
        <v>-2.2535161745939301E-5</v>
      </c>
      <c r="FL31" s="415">
        <f t="shared" ca="1" si="98"/>
        <v>0.43031618918982212</v>
      </c>
      <c r="FM31" s="130">
        <f t="shared" ca="1" si="99"/>
        <v>1</v>
      </c>
      <c r="FN31" s="131">
        <f t="shared" ca="1" si="100"/>
        <v>0.65029522127322903</v>
      </c>
      <c r="FO31" s="131">
        <f t="shared" ca="1" si="101"/>
        <v>0.66028983545318687</v>
      </c>
      <c r="FP31" s="131">
        <f t="shared" ca="1" si="102"/>
        <v>0.64972655813153501</v>
      </c>
      <c r="FQ31" s="131">
        <f t="shared" ca="1" si="103"/>
        <v>0.65002804502111444</v>
      </c>
      <c r="FR31" s="131">
        <f t="shared" ca="1" si="104"/>
        <v>0.65029320640965171</v>
      </c>
      <c r="FS31" s="131">
        <f t="shared" ca="1" si="105"/>
        <v>0.64942668056342145</v>
      </c>
      <c r="FT31" s="131">
        <f t="shared" ca="1" si="106"/>
        <v>0.61083952513994022</v>
      </c>
      <c r="FU31" s="132">
        <f t="shared" ca="1" si="107"/>
        <v>0.6508682169276182</v>
      </c>
      <c r="FV31" s="131">
        <f t="shared" ca="1" si="108"/>
        <v>0.17402001625314881</v>
      </c>
      <c r="FW31" s="83">
        <f t="shared" ca="1" si="109"/>
        <v>-2.2535161742124597E-5</v>
      </c>
    </row>
    <row r="32" spans="1:179">
      <c r="A32" s="19">
        <f t="shared" si="117"/>
        <v>22</v>
      </c>
      <c r="B32" s="1">
        <f t="shared" ca="1" si="111"/>
        <v>0</v>
      </c>
      <c r="C32" s="20">
        <f t="shared" ca="1" si="112"/>
        <v>22</v>
      </c>
      <c r="D32" s="19" t="str">
        <f t="shared" ca="1" si="113"/>
        <v>〇×〇×〇×--〇</v>
      </c>
      <c r="E32" s="7">
        <f t="shared" ca="1" si="77"/>
        <v>9</v>
      </c>
      <c r="F32" s="7">
        <f t="shared" ca="1" si="78"/>
        <v>1</v>
      </c>
      <c r="G32" s="1" t="str">
        <f t="shared" ca="1" si="116"/>
        <v>〇×〇×〇×--〇</v>
      </c>
      <c r="H32" s="20" t="b">
        <f t="shared" ca="1" si="80"/>
        <v>1</v>
      </c>
      <c r="I32" s="22">
        <f t="shared" ca="1" si="114"/>
        <v>-1</v>
      </c>
      <c r="J32" s="1" t="b">
        <f ca="1">(1&lt;COUNTIF(D$10:D32,D32))</f>
        <v>1</v>
      </c>
      <c r="K32" s="1" t="b">
        <f t="shared" ca="1" si="81"/>
        <v>1</v>
      </c>
      <c r="L32" s="7">
        <f ca="1">MATCH(TRUE,K32:K$1048576,FALSE)-1</f>
        <v>0</v>
      </c>
      <c r="M32" s="24" t="str">
        <f t="shared" ca="1" si="13"/>
        <v>〇×〇×〇×--〇_9</v>
      </c>
      <c r="N32" s="25">
        <f t="shared" ca="1" si="82"/>
        <v>-2.2535161742124597E-5</v>
      </c>
      <c r="O32" s="26">
        <f t="shared" ca="1" si="83"/>
        <v>-1</v>
      </c>
      <c r="P32" s="27">
        <f t="shared" ca="1" si="84"/>
        <v>-1</v>
      </c>
      <c r="R32" s="41" t="str">
        <f ca="1">VLOOKUP(S32,cvt!$B$2:$C$4,2,FALSE)&amp;VLOOKUP(T32,cvt!$B$2:$C$4,2,FALSE)&amp;VLOOKUP(U32,cvt!$B$2:$C$4,2,FALSE)
&amp;VLOOKUP(V32,cvt!$B$2:$C$4,2,FALSE)&amp;VLOOKUP(W32,cvt!$B$2:$C$4,2,FALSE)&amp;VLOOKUP(X32,cvt!$B$2:$C$4,2,FALSE)
&amp;VLOOKUP(Y32,cvt!$B$2:$C$4,2,FALSE)&amp;VLOOKUP(Z32,cvt!$B$2:$C$4,2,FALSE)&amp;VLOOKUP(AA32,cvt!$B$2:$C$4,2,FALSE)</f>
        <v>〇×〇×〇×--〇</v>
      </c>
      <c r="S32" s="7">
        <f ca="1">VLOOKUP(MID($D32,S$9+1,1), cvt!$A$2:$B$4,2, FALSE)</f>
        <v>1</v>
      </c>
      <c r="T32" s="7">
        <f ca="1">VLOOKUP(MID($D32,T$9+1,1), cvt!$A$2:$B$4,2, FALSE)</f>
        <v>-1</v>
      </c>
      <c r="U32" s="7">
        <f ca="1">VLOOKUP(MID($D32,U$9+1,1), cvt!$A$2:$B$4,2, FALSE)</f>
        <v>1</v>
      </c>
      <c r="V32" s="17">
        <f ca="1">VLOOKUP(MID($D32,V$9+1,1), cvt!$A$2:$B$4,2, FALSE)</f>
        <v>-1</v>
      </c>
      <c r="W32" s="7">
        <f ca="1">VLOOKUP(MID($D32,W$9+1,1), cvt!$A$2:$B$4,2, FALSE)</f>
        <v>1</v>
      </c>
      <c r="X32" s="18">
        <f ca="1">VLOOKUP(MID($D32,X$9+1,1), cvt!$A$2:$B$4,2, FALSE)</f>
        <v>-1</v>
      </c>
      <c r="Y32" s="7">
        <f ca="1">VLOOKUP(MID($D32,Y$9+1,1), cvt!$A$2:$B$4,2, FALSE)</f>
        <v>0</v>
      </c>
      <c r="Z32" s="7">
        <f ca="1">VLOOKUP(MID($D32,Z$9+1,1), cvt!$A$2:$B$4,2, FALSE)</f>
        <v>0</v>
      </c>
      <c r="AA32" s="42">
        <f ca="1">VLOOKUP(MID($D32,AA$9+1,1), cvt!$A$2:$B$4,2, FALSE)</f>
        <v>1</v>
      </c>
      <c r="AB32" s="7">
        <f t="shared" ca="1" si="85"/>
        <v>1</v>
      </c>
      <c r="AC32" s="50" t="b">
        <f t="shared" ca="1" si="86"/>
        <v>1</v>
      </c>
      <c r="AE32" s="19" t="str">
        <f ca="1">VLOOKUP(AF32,cvt!$B$2:$C$4,2,FALSE)&amp;VLOOKUP(AG32,cvt!$B$2:$C$4,2,FALSE)&amp;VLOOKUP(AH32,cvt!$B$2:$C$4,2,FALSE)
&amp;VLOOKUP(AI32,cvt!$B$2:$C$4,2,FALSE)&amp;VLOOKUP(AJ32,cvt!$B$2:$C$4,2,FALSE)&amp;VLOOKUP(AK32,cvt!$B$2:$C$4,2,FALSE)
&amp;VLOOKUP(AL32,cvt!$B$2:$C$4,2,FALSE)&amp;VLOOKUP(AM32,cvt!$B$2:$C$4,2,FALSE)&amp;VLOOKUP(AN32,cvt!$B$2:$C$4,2,FALSE)</f>
        <v>〇×〇×〇×--〇</v>
      </c>
      <c r="AF32" s="17">
        <f t="shared" ca="1" si="14"/>
        <v>1</v>
      </c>
      <c r="AG32" s="7">
        <f t="shared" ca="1" si="15"/>
        <v>-1</v>
      </c>
      <c r="AH32" s="7">
        <f t="shared" ca="1" si="16"/>
        <v>1</v>
      </c>
      <c r="AI32" s="17">
        <f t="shared" ca="1" si="17"/>
        <v>-1</v>
      </c>
      <c r="AJ32" s="7">
        <f t="shared" ca="1" si="18"/>
        <v>1</v>
      </c>
      <c r="AK32" s="18">
        <f t="shared" ca="1" si="19"/>
        <v>-1</v>
      </c>
      <c r="AL32" s="7">
        <f t="shared" ca="1" si="20"/>
        <v>0</v>
      </c>
      <c r="AM32" s="7">
        <f t="shared" ca="1" si="21"/>
        <v>0</v>
      </c>
      <c r="AN32" s="18">
        <f t="shared" ca="1" si="22"/>
        <v>1</v>
      </c>
      <c r="AO32" s="7">
        <f t="shared" ca="1" si="115"/>
        <v>1</v>
      </c>
      <c r="AP32" s="50" t="b">
        <f t="shared" ca="1" si="87"/>
        <v>1</v>
      </c>
      <c r="AS32" s="22">
        <f t="shared" ca="1" si="88"/>
        <v>0</v>
      </c>
      <c r="AT32" s="7">
        <f t="shared" ca="1" si="23"/>
        <v>0</v>
      </c>
      <c r="AU32" s="7">
        <f t="shared" ca="1" si="24"/>
        <v>0</v>
      </c>
      <c r="AV32" s="7">
        <f t="shared" ca="1" si="25"/>
        <v>0</v>
      </c>
      <c r="AW32" s="7">
        <f t="shared" ca="1" si="26"/>
        <v>0</v>
      </c>
      <c r="AX32" s="7">
        <f t="shared" ca="1" si="27"/>
        <v>0</v>
      </c>
      <c r="AY32" s="7">
        <f t="shared" ca="1" si="28"/>
        <v>0</v>
      </c>
      <c r="AZ32" s="7">
        <f t="shared" ca="1" si="29"/>
        <v>0</v>
      </c>
      <c r="BA32" s="18">
        <f t="shared" ca="1" si="30"/>
        <v>0</v>
      </c>
      <c r="BB32" s="295">
        <f t="shared" ca="1" si="89"/>
        <v>1</v>
      </c>
      <c r="BD32" s="132"/>
      <c r="BE32" s="297">
        <f t="shared" ca="1" si="90"/>
        <v>1</v>
      </c>
      <c r="BF32" s="298">
        <f t="shared" ca="1" si="31"/>
        <v>0.65029522127322903</v>
      </c>
      <c r="BG32" s="298">
        <f t="shared" ca="1" si="32"/>
        <v>0.66028983545318687</v>
      </c>
      <c r="BH32" s="318">
        <f t="shared" ca="1" si="33"/>
        <v>0.64972655813153501</v>
      </c>
      <c r="BI32" s="298">
        <f t="shared" ca="1" si="34"/>
        <v>0.65002804502111444</v>
      </c>
      <c r="BJ32" s="299">
        <f t="shared" ca="1" si="35"/>
        <v>0.65029320640965171</v>
      </c>
      <c r="BK32" s="298">
        <f t="shared" ca="1" si="36"/>
        <v>0.64942668056342145</v>
      </c>
      <c r="BL32" s="298">
        <f t="shared" ca="1" si="37"/>
        <v>0.61083952513994022</v>
      </c>
      <c r="BM32" s="299">
        <f t="shared" ca="1" si="38"/>
        <v>0.6508682169276182</v>
      </c>
      <c r="BN32" s="295">
        <f t="shared" ca="1" si="39"/>
        <v>0.17402001625314881</v>
      </c>
      <c r="BO32" s="248">
        <f t="shared" ca="1" si="91"/>
        <v>-2.2535161742124597E-5</v>
      </c>
      <c r="BQ32" s="304">
        <f t="shared" ca="1" si="92"/>
        <v>0.1741200162531488</v>
      </c>
      <c r="BR32" s="297">
        <f t="shared" ca="1" si="93"/>
        <v>0</v>
      </c>
      <c r="BS32" s="298">
        <f t="shared" ca="1" si="40"/>
        <v>0</v>
      </c>
      <c r="BT32" s="298">
        <f t="shared" ca="1" si="41"/>
        <v>0</v>
      </c>
      <c r="BU32" s="318">
        <f t="shared" ca="1" si="42"/>
        <v>0</v>
      </c>
      <c r="BV32" s="298">
        <f t="shared" ca="1" si="43"/>
        <v>0</v>
      </c>
      <c r="BW32" s="299">
        <f t="shared" ca="1" si="44"/>
        <v>0</v>
      </c>
      <c r="BX32" s="298">
        <f t="shared" ca="1" si="45"/>
        <v>0</v>
      </c>
      <c r="BY32" s="298">
        <f t="shared" ca="1" si="46"/>
        <v>0</v>
      </c>
      <c r="BZ32" s="298">
        <f t="shared" ca="1" si="47"/>
        <v>0</v>
      </c>
      <c r="CA32" s="315">
        <f t="shared" ca="1" si="48"/>
        <v>0.1741200162531488</v>
      </c>
      <c r="CC32" s="52"/>
      <c r="CD32" s="306">
        <f t="shared" ca="1" si="94"/>
        <v>0</v>
      </c>
      <c r="CE32" s="15">
        <f t="shared" ca="1" si="49"/>
        <v>0</v>
      </c>
      <c r="CF32" s="15">
        <f t="shared" ca="1" si="50"/>
        <v>0</v>
      </c>
      <c r="CG32" s="286">
        <f t="shared" ca="1" si="51"/>
        <v>0</v>
      </c>
      <c r="CH32" s="15">
        <f t="shared" ca="1" si="52"/>
        <v>0</v>
      </c>
      <c r="CI32" s="288">
        <f t="shared" ca="1" si="53"/>
        <v>0</v>
      </c>
      <c r="CJ32" s="15">
        <f t="shared" ca="1" si="54"/>
        <v>0</v>
      </c>
      <c r="CK32" s="15">
        <f t="shared" ca="1" si="55"/>
        <v>0</v>
      </c>
      <c r="CL32" s="15">
        <f t="shared" ca="1" si="56"/>
        <v>0</v>
      </c>
      <c r="CM32" s="313">
        <f t="shared" ca="1" si="57"/>
        <v>1</v>
      </c>
      <c r="CO32" s="320">
        <f t="shared" ca="1" si="95"/>
        <v>21</v>
      </c>
      <c r="CP32" s="22">
        <f ca="1">COUNTIFS($C$10:$C31,"&lt;"&amp;$C32,$M$10:$M31,$D32&amp;"_"&amp;CP$9)</f>
        <v>0</v>
      </c>
      <c r="CQ32" s="7">
        <f ca="1">COUNTIFS($C$10:$C31,"&lt;"&amp;$C32,$M$10:$M31,$D32&amp;"_"&amp;CQ$9)</f>
        <v>0</v>
      </c>
      <c r="CR32" s="7">
        <f ca="1">COUNTIFS($C$10:$C31,"&lt;"&amp;$C32,$M$10:$M31,$D32&amp;"_"&amp;CR$9)</f>
        <v>0</v>
      </c>
      <c r="CS32" s="17">
        <f ca="1">COUNTIFS($C$10:$C31,"&lt;"&amp;$C32,$M$10:$M31,$D32&amp;"_"&amp;CS$9)</f>
        <v>0</v>
      </c>
      <c r="CT32" s="7">
        <f ca="1">COUNTIFS($C$10:$C31,"&lt;"&amp;$C32,$M$10:$M31,$D32&amp;"_"&amp;CT$9)</f>
        <v>0</v>
      </c>
      <c r="CU32" s="18">
        <f ca="1">COUNTIFS($C$10:$C31,"&lt;"&amp;$C32,$M$10:$M31,$D32&amp;"_"&amp;CU$9)</f>
        <v>0</v>
      </c>
      <c r="CV32" s="7">
        <f ca="1">COUNTIFS($C$10:$C31,"&lt;"&amp;$C32,$M$10:$M31,$D32&amp;"_"&amp;CV$9)</f>
        <v>0</v>
      </c>
      <c r="CW32" s="7">
        <f ca="1">COUNTIFS($C$10:$C31,"&lt;"&amp;$C32,$M$10:$M31,$D32&amp;"_"&amp;CW$9)</f>
        <v>0</v>
      </c>
      <c r="CX32" s="7">
        <f ca="1">COUNTIFS($C$10:$C31,"&lt;"&amp;$C32,$M$10:$M31,$D32&amp;"_"&amp;CX$9)</f>
        <v>0</v>
      </c>
      <c r="CY32" s="221">
        <f ca="1">COUNTIFS($C$10:$C31,"&lt;"&amp;$C32,$M$10:$M31,$D32&amp;"_"&amp;CY$9)</f>
        <v>21</v>
      </c>
      <c r="DA32" s="20"/>
      <c r="DB32" s="308">
        <f ca="1">IF(CP32=0,0,SUMIFS($P$10:$P31, $C$10:$C31,"&lt;"&amp;$C32, $M$10:$M31,$D32&amp;"_"&amp;DB$9)/CP32)</f>
        <v>0</v>
      </c>
      <c r="DC32" s="263">
        <f ca="1">IF(CQ32=0,0,SUMIFS($P$10:$P31, $C$10:$C31,"&lt;"&amp;$C32, $M$10:$M31,$D32&amp;"_"&amp;DC$9)/CQ32)</f>
        <v>0</v>
      </c>
      <c r="DD32" s="263">
        <f ca="1">IF(CR32=0,0,SUMIFS($P$10:$P31, $C$10:$C31,"&lt;"&amp;$C32, $M$10:$M31,$D32&amp;"_"&amp;DD$9)/CR32)</f>
        <v>0</v>
      </c>
      <c r="DE32" s="262">
        <f ca="1">IF(CS32=0,0,SUMIFS($P$10:$P31, $C$10:$C31,"&lt;"&amp;$C32, $M$10:$M31,$D32&amp;"_"&amp;DE$9)/CS32)</f>
        <v>0</v>
      </c>
      <c r="DF32" s="263">
        <f ca="1">IF(CT32=0,0,SUMIFS($P$10:$P31, $C$10:$C31,"&lt;"&amp;$C32, $M$10:$M31,$D32&amp;"_"&amp;DF$9)/CT32)</f>
        <v>0</v>
      </c>
      <c r="DG32" s="310">
        <f ca="1">IF(CU32=0,0,SUMIFS($P$10:$P31, $C$10:$C31,"&lt;"&amp;$C32, $M$10:$M31,$D32&amp;"_"&amp;DG$9)/CU32)</f>
        <v>0</v>
      </c>
      <c r="DH32" s="263">
        <f ca="1">IF(CV32=0,0,SUMIFS($P$10:$P31, $C$10:$C31,"&lt;"&amp;$C32, $M$10:$M31,$D32&amp;"_"&amp;DH$9)/CV32)</f>
        <v>0</v>
      </c>
      <c r="DI32" s="263">
        <f ca="1">IF(CW32=0,0,SUMIFS($P$10:$P31, $C$10:$C31,"&lt;"&amp;$C32, $M$10:$M31,$D32&amp;"_"&amp;DI$9)/CW32)</f>
        <v>0</v>
      </c>
      <c r="DJ32" s="264">
        <f ca="1">IF(CX32=0,0,SUMIFS($P$10:$P31, $C$10:$C31,"&lt;"&amp;$C32, $M$10:$M31,$D32&amp;"_"&amp;DJ$9)/CX32)</f>
        <v>0</v>
      </c>
      <c r="DK32" s="264">
        <f ca="1">IF(CY32=0,0,SUMIFS($P$10:$P31, $C$10:$C31,"&lt;"&amp;$C32, $M$10:$M31,$D32&amp;"_"&amp;DK$9)/CY32)</f>
        <v>-1</v>
      </c>
      <c r="DM32" s="104"/>
      <c r="DN32" s="306">
        <f t="shared" ca="1" si="96"/>
        <v>-9999</v>
      </c>
      <c r="DO32" s="15">
        <f t="shared" ca="1" si="58"/>
        <v>-9999</v>
      </c>
      <c r="DP32" s="15">
        <f t="shared" ca="1" si="59"/>
        <v>-9999</v>
      </c>
      <c r="DQ32" s="15">
        <f t="shared" ca="1" si="60"/>
        <v>-9999</v>
      </c>
      <c r="DR32" s="15">
        <f t="shared" ca="1" si="61"/>
        <v>-9999</v>
      </c>
      <c r="DS32" s="15">
        <f t="shared" ca="1" si="62"/>
        <v>-9999</v>
      </c>
      <c r="DT32" s="15">
        <f t="shared" ca="1" si="63"/>
        <v>-9999</v>
      </c>
      <c r="DU32" s="15">
        <f t="shared" ca="1" si="64"/>
        <v>-9999</v>
      </c>
      <c r="DV32" s="52">
        <f t="shared" ca="1" si="65"/>
        <v>-9999</v>
      </c>
      <c r="DW32" s="313">
        <f t="shared" ca="1" si="66"/>
        <v>-0.79170110477473454</v>
      </c>
      <c r="DX32" s="52"/>
      <c r="DY32" s="402">
        <f t="shared" ca="1" si="97"/>
        <v>9</v>
      </c>
      <c r="ED32" s="19">
        <f t="shared" ca="1" si="67"/>
        <v>-1</v>
      </c>
      <c r="EE32" s="1">
        <f t="shared" ca="1" si="68"/>
        <v>1</v>
      </c>
      <c r="EF32" s="1">
        <f t="shared" ca="1" si="69"/>
        <v>-1</v>
      </c>
      <c r="EG32" s="2">
        <f t="shared" ca="1" si="70"/>
        <v>1</v>
      </c>
      <c r="EH32" s="1">
        <f t="shared" ca="1" si="71"/>
        <v>-1</v>
      </c>
      <c r="EI32" s="3">
        <f t="shared" ca="1" si="72"/>
        <v>1</v>
      </c>
      <c r="EJ32" s="1">
        <f t="shared" ca="1" si="73"/>
        <v>0</v>
      </c>
      <c r="EK32" s="1">
        <f t="shared" ca="1" si="74"/>
        <v>0</v>
      </c>
      <c r="EL32" s="20">
        <f t="shared" ca="1" si="75"/>
        <v>-1</v>
      </c>
      <c r="EN32" s="86">
        <f ca="1">MAX(0, SUMPRODUCT($ED32:$EL32,OFFSET(DNN!$E$9:$M$9,EN$9,0)) + OFFSET(DNN!$D$9,EN$9,0))</f>
        <v>0</v>
      </c>
      <c r="EO32" s="84">
        <f ca="1">MAX(0, SUMPRODUCT($ED32:$EL32,OFFSET(DNN!$E$9:$M$9,EO$9,0)) + OFFSET(DNN!$D$9,EO$9,0))</f>
        <v>7.2346022384755949E-3</v>
      </c>
      <c r="EP32" s="84">
        <f ca="1">MAX(0, SUMPRODUCT($ED32:$EL32,OFFSET(DNN!$E$9:$M$9,EP$9,0)) + OFFSET(DNN!$D$9,EP$9,0))</f>
        <v>3.6951849750035152E-3</v>
      </c>
      <c r="EQ32" s="84">
        <f ca="1">MAX(0, SUMPRODUCT($ED32:$EL32,OFFSET(DNN!$E$9:$M$9,EQ$9,0)) + OFFSET(DNN!$D$9,EQ$9,0))</f>
        <v>0</v>
      </c>
      <c r="ER32" s="85">
        <f ca="1">MAX(0, SUMPRODUCT($ED32:$EL32,OFFSET(DNN!$E$9:$M$9,ER$9,0)) + OFFSET(DNN!$D$9,ER$9,0))</f>
        <v>0</v>
      </c>
      <c r="ET32" s="86">
        <f ca="1">MAX(0, SUMPRODUCT($EN32:$ER32,OFFSET(DNN!$Q$9:$U$9,ET$9,0)) + OFFSET(DNN!$P$9,ET$9,0))</f>
        <v>4.3954959453478351E-4</v>
      </c>
      <c r="EU32" s="84">
        <f ca="1">MAX(0, SUMPRODUCT($EN32:$ER32,OFFSET(DNN!$Q$9:$U$9,EU$9,0)) + OFFSET(DNN!$P$9,EU$9,0))</f>
        <v>0</v>
      </c>
      <c r="EV32" s="84">
        <f ca="1">MAX(0, SUMPRODUCT($EN32:$ER32,OFFSET(DNN!$Q$9:$U$9,EV$9,0)) + OFFSET(DNN!$P$9,EV$9,0))</f>
        <v>1.2810123361902579E-3</v>
      </c>
      <c r="EW32" s="84">
        <f ca="1">MAX(0, SUMPRODUCT($EN32:$ER32,OFFSET(DNN!$Q$9:$U$9,EW$9,0)) + OFFSET(DNN!$P$9,EW$9,0))</f>
        <v>7.8382123007882457E-4</v>
      </c>
      <c r="EX32" s="85">
        <f ca="1">MAX(0, SUMPRODUCT($EN32:$ER32,OFFSET(DNN!$Q$9:$U$9,EX$9,0)) + OFFSET(DNN!$P$9,EX$9,0))</f>
        <v>0</v>
      </c>
      <c r="EZ32" s="111">
        <f ca="1">SUMPRODUCT($ET32:$EX32,OFFSET(DNN!$Y$9:$AC$9,EZ$9,0)) + OFFSET(DNN!$X$9,EZ$9,0)</f>
        <v>0.43031618918982212</v>
      </c>
      <c r="FA32" s="97">
        <f ca="1">SUMPRODUCT($ET32:$EX32,OFFSET(DNN!$Y$9:$AC$9,FA$9,0)) + OFFSET(DNN!$X$9,FA$9,0)</f>
        <v>-1.2643439935754107E-5</v>
      </c>
      <c r="FB32" s="97">
        <f ca="1">SUMPRODUCT($ET32:$EX32,OFFSET(DNN!$Y$9:$AC$9,FB$9,0)) + OFFSET(DNN!$X$9,FB$9,0)</f>
        <v>1.5239793458415756E-2</v>
      </c>
      <c r="FC32" s="97">
        <f ca="1">SUMPRODUCT($ET32:$EX32,OFFSET(DNN!$Y$9:$AC$9,FC$9,0)) + OFFSET(DNN!$X$9,FC$9,0)</f>
        <v>-8.8749521084055777E-4</v>
      </c>
      <c r="FD32" s="97">
        <f ca="1">SUMPRODUCT($ET32:$EX32,OFFSET(DNN!$Y$9:$AC$9,FD$9,0)) + OFFSET(DNN!$X$9,FD$9,0)</f>
        <v>-4.235816470721872E-4</v>
      </c>
      <c r="FE32" s="97">
        <f ca="1">SUMPRODUCT($ET32:$EX32,OFFSET(DNN!$Y$9:$AC$9,FE$9,0)) + OFFSET(DNN!$X$9,FE$9,0)</f>
        <v>-1.574182761064886E-5</v>
      </c>
      <c r="FF32" s="97">
        <f ca="1">SUMPRODUCT($ET32:$EX32,OFFSET(DNN!$Y$9:$AC$9,FF$9,0)) + OFFSET(DNN!$X$9,FF$9,0)</f>
        <v>-1.3491460223194656E-3</v>
      </c>
      <c r="FG32" s="97">
        <f ca="1">SUMPRODUCT($ET32:$EX32,OFFSET(DNN!$Y$9:$AC$9,FG$9,0)) + OFFSET(DNN!$X$9,FG$9,0)</f>
        <v>-6.2604808096248285E-2</v>
      </c>
      <c r="FH32" s="97">
        <f ca="1">SUMPRODUCT($ET32:$EX32,OFFSET(DNN!$Y$9:$AC$9,FH$9,0)) + OFFSET(DNN!$X$9,FH$9,0)</f>
        <v>8.6810016937029894E-4</v>
      </c>
      <c r="FI32" s="108">
        <f ca="1">SUMPRODUCT($ET32:$EX32,OFFSET(DNN!$Y$9:$AC$9,FI$9,0)) + OFFSET(DNN!$X$9,FI$9,0)</f>
        <v>-1.3182687612562751</v>
      </c>
      <c r="FJ32" s="98">
        <f ca="1">SUMPRODUCT($ET32:$EX32,OFFSET(DNN!$Y$9:$AC$9,FJ$9,0)) + OFFSET(DNN!$X$9,FJ$9,0)</f>
        <v>-2.2535161745939301E-5</v>
      </c>
      <c r="FL32" s="415">
        <f t="shared" ca="1" si="98"/>
        <v>0.43031618918982212</v>
      </c>
      <c r="FM32" s="130">
        <f t="shared" ca="1" si="99"/>
        <v>1</v>
      </c>
      <c r="FN32" s="131">
        <f t="shared" ca="1" si="100"/>
        <v>0.65029522127322903</v>
      </c>
      <c r="FO32" s="131">
        <f t="shared" ca="1" si="101"/>
        <v>0.66028983545318687</v>
      </c>
      <c r="FP32" s="131">
        <f t="shared" ca="1" si="102"/>
        <v>0.64972655813153501</v>
      </c>
      <c r="FQ32" s="131">
        <f t="shared" ca="1" si="103"/>
        <v>0.65002804502111444</v>
      </c>
      <c r="FR32" s="131">
        <f t="shared" ca="1" si="104"/>
        <v>0.65029320640965171</v>
      </c>
      <c r="FS32" s="131">
        <f t="shared" ca="1" si="105"/>
        <v>0.64942668056342145</v>
      </c>
      <c r="FT32" s="131">
        <f t="shared" ca="1" si="106"/>
        <v>0.61083952513994022</v>
      </c>
      <c r="FU32" s="132">
        <f t="shared" ca="1" si="107"/>
        <v>0.6508682169276182</v>
      </c>
      <c r="FV32" s="131">
        <f t="shared" ca="1" si="108"/>
        <v>0.17402001625314881</v>
      </c>
      <c r="FW32" s="83">
        <f t="shared" ca="1" si="109"/>
        <v>-2.2535161742124597E-5</v>
      </c>
    </row>
    <row r="33" spans="1:179">
      <c r="A33" s="19">
        <f t="shared" si="117"/>
        <v>23</v>
      </c>
      <c r="B33" s="1">
        <f t="shared" ca="1" si="111"/>
        <v>0</v>
      </c>
      <c r="C33" s="20">
        <f t="shared" ca="1" si="112"/>
        <v>23</v>
      </c>
      <c r="D33" s="19" t="str">
        <f t="shared" ca="1" si="113"/>
        <v>〇×〇×〇×--〇</v>
      </c>
      <c r="E33" s="7">
        <f t="shared" ca="1" si="77"/>
        <v>9</v>
      </c>
      <c r="F33" s="7">
        <f t="shared" ca="1" si="78"/>
        <v>1</v>
      </c>
      <c r="G33" s="1" t="str">
        <f t="shared" ca="1" si="116"/>
        <v>〇×〇×〇×--〇</v>
      </c>
      <c r="H33" s="20" t="b">
        <f t="shared" ca="1" si="80"/>
        <v>1</v>
      </c>
      <c r="I33" s="22">
        <f t="shared" ca="1" si="114"/>
        <v>-1</v>
      </c>
      <c r="J33" s="1" t="b">
        <f ca="1">(1&lt;COUNTIF(D$10:D33,D33))</f>
        <v>1</v>
      </c>
      <c r="K33" s="1" t="b">
        <f t="shared" ca="1" si="81"/>
        <v>1</v>
      </c>
      <c r="L33" s="7">
        <f ca="1">MATCH(TRUE,K33:K$1048576,FALSE)-1</f>
        <v>0</v>
      </c>
      <c r="M33" s="24" t="str">
        <f t="shared" ca="1" si="13"/>
        <v>〇×〇×〇×--〇_9</v>
      </c>
      <c r="N33" s="25">
        <f t="shared" ca="1" si="82"/>
        <v>-2.2535161742124597E-5</v>
      </c>
      <c r="O33" s="26">
        <f t="shared" ca="1" si="83"/>
        <v>-1</v>
      </c>
      <c r="P33" s="27">
        <f t="shared" ca="1" si="84"/>
        <v>-1</v>
      </c>
      <c r="R33" s="41" t="str">
        <f ca="1">VLOOKUP(S33,cvt!$B$2:$C$4,2,FALSE)&amp;VLOOKUP(T33,cvt!$B$2:$C$4,2,FALSE)&amp;VLOOKUP(U33,cvt!$B$2:$C$4,2,FALSE)
&amp;VLOOKUP(V33,cvt!$B$2:$C$4,2,FALSE)&amp;VLOOKUP(W33,cvt!$B$2:$C$4,2,FALSE)&amp;VLOOKUP(X33,cvt!$B$2:$C$4,2,FALSE)
&amp;VLOOKUP(Y33,cvt!$B$2:$C$4,2,FALSE)&amp;VLOOKUP(Z33,cvt!$B$2:$C$4,2,FALSE)&amp;VLOOKUP(AA33,cvt!$B$2:$C$4,2,FALSE)</f>
        <v>〇×〇×〇×--〇</v>
      </c>
      <c r="S33" s="7">
        <f ca="1">VLOOKUP(MID($D33,S$9+1,1), cvt!$A$2:$B$4,2, FALSE)</f>
        <v>1</v>
      </c>
      <c r="T33" s="7">
        <f ca="1">VLOOKUP(MID($D33,T$9+1,1), cvt!$A$2:$B$4,2, FALSE)</f>
        <v>-1</v>
      </c>
      <c r="U33" s="7">
        <f ca="1">VLOOKUP(MID($D33,U$9+1,1), cvt!$A$2:$B$4,2, FALSE)</f>
        <v>1</v>
      </c>
      <c r="V33" s="17">
        <f ca="1">VLOOKUP(MID($D33,V$9+1,1), cvt!$A$2:$B$4,2, FALSE)</f>
        <v>-1</v>
      </c>
      <c r="W33" s="7">
        <f ca="1">VLOOKUP(MID($D33,W$9+1,1), cvt!$A$2:$B$4,2, FALSE)</f>
        <v>1</v>
      </c>
      <c r="X33" s="18">
        <f ca="1">VLOOKUP(MID($D33,X$9+1,1), cvt!$A$2:$B$4,2, FALSE)</f>
        <v>-1</v>
      </c>
      <c r="Y33" s="7">
        <f ca="1">VLOOKUP(MID($D33,Y$9+1,1), cvt!$A$2:$B$4,2, FALSE)</f>
        <v>0</v>
      </c>
      <c r="Z33" s="7">
        <f ca="1">VLOOKUP(MID($D33,Z$9+1,1), cvt!$A$2:$B$4,2, FALSE)</f>
        <v>0</v>
      </c>
      <c r="AA33" s="42">
        <f ca="1">VLOOKUP(MID($D33,AA$9+1,1), cvt!$A$2:$B$4,2, FALSE)</f>
        <v>1</v>
      </c>
      <c r="AB33" s="7">
        <f t="shared" ca="1" si="85"/>
        <v>1</v>
      </c>
      <c r="AC33" s="50" t="b">
        <f t="shared" ca="1" si="86"/>
        <v>1</v>
      </c>
      <c r="AE33" s="19" t="str">
        <f ca="1">VLOOKUP(AF33,cvt!$B$2:$C$4,2,FALSE)&amp;VLOOKUP(AG33,cvt!$B$2:$C$4,2,FALSE)&amp;VLOOKUP(AH33,cvt!$B$2:$C$4,2,FALSE)
&amp;VLOOKUP(AI33,cvt!$B$2:$C$4,2,FALSE)&amp;VLOOKUP(AJ33,cvt!$B$2:$C$4,2,FALSE)&amp;VLOOKUP(AK33,cvt!$B$2:$C$4,2,FALSE)
&amp;VLOOKUP(AL33,cvt!$B$2:$C$4,2,FALSE)&amp;VLOOKUP(AM33,cvt!$B$2:$C$4,2,FALSE)&amp;VLOOKUP(AN33,cvt!$B$2:$C$4,2,FALSE)</f>
        <v>〇×〇×〇×--〇</v>
      </c>
      <c r="AF33" s="17">
        <f t="shared" ca="1" si="14"/>
        <v>1</v>
      </c>
      <c r="AG33" s="7">
        <f t="shared" ca="1" si="15"/>
        <v>-1</v>
      </c>
      <c r="AH33" s="7">
        <f t="shared" ca="1" si="16"/>
        <v>1</v>
      </c>
      <c r="AI33" s="17">
        <f t="shared" ca="1" si="17"/>
        <v>-1</v>
      </c>
      <c r="AJ33" s="7">
        <f t="shared" ca="1" si="18"/>
        <v>1</v>
      </c>
      <c r="AK33" s="18">
        <f t="shared" ca="1" si="19"/>
        <v>-1</v>
      </c>
      <c r="AL33" s="7">
        <f t="shared" ca="1" si="20"/>
        <v>0</v>
      </c>
      <c r="AM33" s="7">
        <f t="shared" ca="1" si="21"/>
        <v>0</v>
      </c>
      <c r="AN33" s="18">
        <f t="shared" ca="1" si="22"/>
        <v>1</v>
      </c>
      <c r="AO33" s="7">
        <f t="shared" ca="1" si="115"/>
        <v>1</v>
      </c>
      <c r="AP33" s="50" t="b">
        <f t="shared" ca="1" si="87"/>
        <v>1</v>
      </c>
      <c r="AS33" s="22">
        <f t="shared" ca="1" si="88"/>
        <v>0</v>
      </c>
      <c r="AT33" s="7">
        <f t="shared" ca="1" si="23"/>
        <v>0</v>
      </c>
      <c r="AU33" s="7">
        <f t="shared" ca="1" si="24"/>
        <v>0</v>
      </c>
      <c r="AV33" s="7">
        <f t="shared" ca="1" si="25"/>
        <v>0</v>
      </c>
      <c r="AW33" s="7">
        <f t="shared" ca="1" si="26"/>
        <v>0</v>
      </c>
      <c r="AX33" s="7">
        <f t="shared" ca="1" si="27"/>
        <v>0</v>
      </c>
      <c r="AY33" s="7">
        <f t="shared" ca="1" si="28"/>
        <v>0</v>
      </c>
      <c r="AZ33" s="7">
        <f t="shared" ca="1" si="29"/>
        <v>0</v>
      </c>
      <c r="BA33" s="18">
        <f t="shared" ca="1" si="30"/>
        <v>0</v>
      </c>
      <c r="BB33" s="295">
        <f t="shared" ca="1" si="89"/>
        <v>1</v>
      </c>
      <c r="BD33" s="132"/>
      <c r="BE33" s="297">
        <f t="shared" ca="1" si="90"/>
        <v>1</v>
      </c>
      <c r="BF33" s="298">
        <f t="shared" ca="1" si="31"/>
        <v>0.65029522127322903</v>
      </c>
      <c r="BG33" s="298">
        <f t="shared" ca="1" si="32"/>
        <v>0.66028983545318687</v>
      </c>
      <c r="BH33" s="318">
        <f t="shared" ca="1" si="33"/>
        <v>0.64972655813153501</v>
      </c>
      <c r="BI33" s="298">
        <f t="shared" ca="1" si="34"/>
        <v>0.65002804502111444</v>
      </c>
      <c r="BJ33" s="299">
        <f t="shared" ca="1" si="35"/>
        <v>0.65029320640965171</v>
      </c>
      <c r="BK33" s="298">
        <f t="shared" ca="1" si="36"/>
        <v>0.64942668056342145</v>
      </c>
      <c r="BL33" s="298">
        <f t="shared" ca="1" si="37"/>
        <v>0.61083952513994022</v>
      </c>
      <c r="BM33" s="299">
        <f t="shared" ca="1" si="38"/>
        <v>0.6508682169276182</v>
      </c>
      <c r="BN33" s="295">
        <f t="shared" ca="1" si="39"/>
        <v>0.17402001625314881</v>
      </c>
      <c r="BO33" s="248">
        <f t="shared" ca="1" si="91"/>
        <v>-2.2535161742124597E-5</v>
      </c>
      <c r="BQ33" s="304">
        <f t="shared" ca="1" si="92"/>
        <v>0.42412001625314877</v>
      </c>
      <c r="BR33" s="297">
        <f t="shared" ca="1" si="93"/>
        <v>0</v>
      </c>
      <c r="BS33" s="298">
        <f t="shared" ca="1" si="40"/>
        <v>0</v>
      </c>
      <c r="BT33" s="298">
        <f t="shared" ca="1" si="41"/>
        <v>0</v>
      </c>
      <c r="BU33" s="318">
        <f t="shared" ca="1" si="42"/>
        <v>0</v>
      </c>
      <c r="BV33" s="298">
        <f t="shared" ca="1" si="43"/>
        <v>0</v>
      </c>
      <c r="BW33" s="299">
        <f t="shared" ca="1" si="44"/>
        <v>0</v>
      </c>
      <c r="BX33" s="298">
        <f t="shared" ca="1" si="45"/>
        <v>0</v>
      </c>
      <c r="BY33" s="298">
        <f t="shared" ca="1" si="46"/>
        <v>0</v>
      </c>
      <c r="BZ33" s="298">
        <f t="shared" ca="1" si="47"/>
        <v>0</v>
      </c>
      <c r="CA33" s="315">
        <f t="shared" ca="1" si="48"/>
        <v>0.42412001625314877</v>
      </c>
      <c r="CC33" s="52"/>
      <c r="CD33" s="306">
        <f t="shared" ca="1" si="94"/>
        <v>0</v>
      </c>
      <c r="CE33" s="15">
        <f t="shared" ca="1" si="49"/>
        <v>0</v>
      </c>
      <c r="CF33" s="15">
        <f t="shared" ca="1" si="50"/>
        <v>0</v>
      </c>
      <c r="CG33" s="286">
        <f t="shared" ca="1" si="51"/>
        <v>0</v>
      </c>
      <c r="CH33" s="15">
        <f t="shared" ca="1" si="52"/>
        <v>0</v>
      </c>
      <c r="CI33" s="288">
        <f t="shared" ca="1" si="53"/>
        <v>0</v>
      </c>
      <c r="CJ33" s="15">
        <f t="shared" ca="1" si="54"/>
        <v>0</v>
      </c>
      <c r="CK33" s="15">
        <f t="shared" ca="1" si="55"/>
        <v>0</v>
      </c>
      <c r="CL33" s="15">
        <f t="shared" ca="1" si="56"/>
        <v>0</v>
      </c>
      <c r="CM33" s="313">
        <f t="shared" ca="1" si="57"/>
        <v>1</v>
      </c>
      <c r="CO33" s="320">
        <f t="shared" ca="1" si="95"/>
        <v>22</v>
      </c>
      <c r="CP33" s="22">
        <f ca="1">COUNTIFS($C$10:$C32,"&lt;"&amp;$C33,$M$10:$M32,$D33&amp;"_"&amp;CP$9)</f>
        <v>0</v>
      </c>
      <c r="CQ33" s="7">
        <f ca="1">COUNTIFS($C$10:$C32,"&lt;"&amp;$C33,$M$10:$M32,$D33&amp;"_"&amp;CQ$9)</f>
        <v>0</v>
      </c>
      <c r="CR33" s="7">
        <f ca="1">COUNTIFS($C$10:$C32,"&lt;"&amp;$C33,$M$10:$M32,$D33&amp;"_"&amp;CR$9)</f>
        <v>0</v>
      </c>
      <c r="CS33" s="17">
        <f ca="1">COUNTIFS($C$10:$C32,"&lt;"&amp;$C33,$M$10:$M32,$D33&amp;"_"&amp;CS$9)</f>
        <v>0</v>
      </c>
      <c r="CT33" s="7">
        <f ca="1">COUNTIFS($C$10:$C32,"&lt;"&amp;$C33,$M$10:$M32,$D33&amp;"_"&amp;CT$9)</f>
        <v>0</v>
      </c>
      <c r="CU33" s="18">
        <f ca="1">COUNTIFS($C$10:$C32,"&lt;"&amp;$C33,$M$10:$M32,$D33&amp;"_"&amp;CU$9)</f>
        <v>0</v>
      </c>
      <c r="CV33" s="7">
        <f ca="1">COUNTIFS($C$10:$C32,"&lt;"&amp;$C33,$M$10:$M32,$D33&amp;"_"&amp;CV$9)</f>
        <v>0</v>
      </c>
      <c r="CW33" s="7">
        <f ca="1">COUNTIFS($C$10:$C32,"&lt;"&amp;$C33,$M$10:$M32,$D33&amp;"_"&amp;CW$9)</f>
        <v>0</v>
      </c>
      <c r="CX33" s="7">
        <f ca="1">COUNTIFS($C$10:$C32,"&lt;"&amp;$C33,$M$10:$M32,$D33&amp;"_"&amp;CX$9)</f>
        <v>0</v>
      </c>
      <c r="CY33" s="221">
        <f ca="1">COUNTIFS($C$10:$C32,"&lt;"&amp;$C33,$M$10:$M32,$D33&amp;"_"&amp;CY$9)</f>
        <v>22</v>
      </c>
      <c r="DA33" s="20"/>
      <c r="DB33" s="308">
        <f ca="1">IF(CP33=0,0,SUMIFS($P$10:$P32, $C$10:$C32,"&lt;"&amp;$C33, $M$10:$M32,$D33&amp;"_"&amp;DB$9)/CP33)</f>
        <v>0</v>
      </c>
      <c r="DC33" s="263">
        <f ca="1">IF(CQ33=0,0,SUMIFS($P$10:$P32, $C$10:$C32,"&lt;"&amp;$C33, $M$10:$M32,$D33&amp;"_"&amp;DC$9)/CQ33)</f>
        <v>0</v>
      </c>
      <c r="DD33" s="263">
        <f ca="1">IF(CR33=0,0,SUMIFS($P$10:$P32, $C$10:$C32,"&lt;"&amp;$C33, $M$10:$M32,$D33&amp;"_"&amp;DD$9)/CR33)</f>
        <v>0</v>
      </c>
      <c r="DE33" s="262">
        <f ca="1">IF(CS33=0,0,SUMIFS($P$10:$P32, $C$10:$C32,"&lt;"&amp;$C33, $M$10:$M32,$D33&amp;"_"&amp;DE$9)/CS33)</f>
        <v>0</v>
      </c>
      <c r="DF33" s="263">
        <f ca="1">IF(CT33=0,0,SUMIFS($P$10:$P32, $C$10:$C32,"&lt;"&amp;$C33, $M$10:$M32,$D33&amp;"_"&amp;DF$9)/CT33)</f>
        <v>0</v>
      </c>
      <c r="DG33" s="310">
        <f ca="1">IF(CU33=0,0,SUMIFS($P$10:$P32, $C$10:$C32,"&lt;"&amp;$C33, $M$10:$M32,$D33&amp;"_"&amp;DG$9)/CU33)</f>
        <v>0</v>
      </c>
      <c r="DH33" s="263">
        <f ca="1">IF(CV33=0,0,SUMIFS($P$10:$P32, $C$10:$C32,"&lt;"&amp;$C33, $M$10:$M32,$D33&amp;"_"&amp;DH$9)/CV33)</f>
        <v>0</v>
      </c>
      <c r="DI33" s="263">
        <f ca="1">IF(CW33=0,0,SUMIFS($P$10:$P32, $C$10:$C32,"&lt;"&amp;$C33, $M$10:$M32,$D33&amp;"_"&amp;DI$9)/CW33)</f>
        <v>0</v>
      </c>
      <c r="DJ33" s="264">
        <f ca="1">IF(CX33=0,0,SUMIFS($P$10:$P32, $C$10:$C32,"&lt;"&amp;$C33, $M$10:$M32,$D33&amp;"_"&amp;DJ$9)/CX33)</f>
        <v>0</v>
      </c>
      <c r="DK33" s="264">
        <f ca="1">IF(CY33=0,0,SUMIFS($P$10:$P32, $C$10:$C32,"&lt;"&amp;$C33, $M$10:$M32,$D33&amp;"_"&amp;DK$9)/CY33)</f>
        <v>-1</v>
      </c>
      <c r="DM33" s="104"/>
      <c r="DN33" s="306">
        <f t="shared" ca="1" si="96"/>
        <v>-9999</v>
      </c>
      <c r="DO33" s="15">
        <f t="shared" ca="1" si="58"/>
        <v>-9999</v>
      </c>
      <c r="DP33" s="15">
        <f t="shared" ca="1" si="59"/>
        <v>-9999</v>
      </c>
      <c r="DQ33" s="15">
        <f t="shared" ca="1" si="60"/>
        <v>-9999</v>
      </c>
      <c r="DR33" s="15">
        <f t="shared" ca="1" si="61"/>
        <v>-9999</v>
      </c>
      <c r="DS33" s="15">
        <f t="shared" ca="1" si="62"/>
        <v>-9999</v>
      </c>
      <c r="DT33" s="15">
        <f t="shared" ca="1" si="63"/>
        <v>-9999</v>
      </c>
      <c r="DU33" s="15">
        <f t="shared" ca="1" si="64"/>
        <v>-9999</v>
      </c>
      <c r="DV33" s="52">
        <f t="shared" ca="1" si="65"/>
        <v>-9999</v>
      </c>
      <c r="DW33" s="313">
        <f t="shared" ca="1" si="66"/>
        <v>-0.79606888000767695</v>
      </c>
      <c r="DX33" s="52"/>
      <c r="DY33" s="402">
        <f t="shared" ca="1" si="97"/>
        <v>9</v>
      </c>
      <c r="ED33" s="19">
        <f t="shared" ca="1" si="67"/>
        <v>-1</v>
      </c>
      <c r="EE33" s="1">
        <f t="shared" ca="1" si="68"/>
        <v>1</v>
      </c>
      <c r="EF33" s="1">
        <f t="shared" ca="1" si="69"/>
        <v>-1</v>
      </c>
      <c r="EG33" s="2">
        <f t="shared" ca="1" si="70"/>
        <v>1</v>
      </c>
      <c r="EH33" s="1">
        <f t="shared" ca="1" si="71"/>
        <v>-1</v>
      </c>
      <c r="EI33" s="3">
        <f t="shared" ca="1" si="72"/>
        <v>1</v>
      </c>
      <c r="EJ33" s="1">
        <f t="shared" ca="1" si="73"/>
        <v>0</v>
      </c>
      <c r="EK33" s="1">
        <f t="shared" ca="1" si="74"/>
        <v>0</v>
      </c>
      <c r="EL33" s="20">
        <f t="shared" ca="1" si="75"/>
        <v>-1</v>
      </c>
      <c r="EN33" s="86">
        <f ca="1">MAX(0, SUMPRODUCT($ED33:$EL33,OFFSET(DNN!$E$9:$M$9,EN$9,0)) + OFFSET(DNN!$D$9,EN$9,0))</f>
        <v>0</v>
      </c>
      <c r="EO33" s="84">
        <f ca="1">MAX(0, SUMPRODUCT($ED33:$EL33,OFFSET(DNN!$E$9:$M$9,EO$9,0)) + OFFSET(DNN!$D$9,EO$9,0))</f>
        <v>7.2346022384755949E-3</v>
      </c>
      <c r="EP33" s="84">
        <f ca="1">MAX(0, SUMPRODUCT($ED33:$EL33,OFFSET(DNN!$E$9:$M$9,EP$9,0)) + OFFSET(DNN!$D$9,EP$9,0))</f>
        <v>3.6951849750035152E-3</v>
      </c>
      <c r="EQ33" s="84">
        <f ca="1">MAX(0, SUMPRODUCT($ED33:$EL33,OFFSET(DNN!$E$9:$M$9,EQ$9,0)) + OFFSET(DNN!$D$9,EQ$9,0))</f>
        <v>0</v>
      </c>
      <c r="ER33" s="85">
        <f ca="1">MAX(0, SUMPRODUCT($ED33:$EL33,OFFSET(DNN!$E$9:$M$9,ER$9,0)) + OFFSET(DNN!$D$9,ER$9,0))</f>
        <v>0</v>
      </c>
      <c r="ET33" s="86">
        <f ca="1">MAX(0, SUMPRODUCT($EN33:$ER33,OFFSET(DNN!$Q$9:$U$9,ET$9,0)) + OFFSET(DNN!$P$9,ET$9,0))</f>
        <v>4.3954959453478351E-4</v>
      </c>
      <c r="EU33" s="84">
        <f ca="1">MAX(0, SUMPRODUCT($EN33:$ER33,OFFSET(DNN!$Q$9:$U$9,EU$9,0)) + OFFSET(DNN!$P$9,EU$9,0))</f>
        <v>0</v>
      </c>
      <c r="EV33" s="84">
        <f ca="1">MAX(0, SUMPRODUCT($EN33:$ER33,OFFSET(DNN!$Q$9:$U$9,EV$9,0)) + OFFSET(DNN!$P$9,EV$9,0))</f>
        <v>1.2810123361902579E-3</v>
      </c>
      <c r="EW33" s="84">
        <f ca="1">MAX(0, SUMPRODUCT($EN33:$ER33,OFFSET(DNN!$Q$9:$U$9,EW$9,0)) + OFFSET(DNN!$P$9,EW$9,0))</f>
        <v>7.8382123007882457E-4</v>
      </c>
      <c r="EX33" s="85">
        <f ca="1">MAX(0, SUMPRODUCT($EN33:$ER33,OFFSET(DNN!$Q$9:$U$9,EX$9,0)) + OFFSET(DNN!$P$9,EX$9,0))</f>
        <v>0</v>
      </c>
      <c r="EZ33" s="111">
        <f ca="1">SUMPRODUCT($ET33:$EX33,OFFSET(DNN!$Y$9:$AC$9,EZ$9,0)) + OFFSET(DNN!$X$9,EZ$9,0)</f>
        <v>0.43031618918982212</v>
      </c>
      <c r="FA33" s="97">
        <f ca="1">SUMPRODUCT($ET33:$EX33,OFFSET(DNN!$Y$9:$AC$9,FA$9,0)) + OFFSET(DNN!$X$9,FA$9,0)</f>
        <v>-1.2643439935754107E-5</v>
      </c>
      <c r="FB33" s="97">
        <f ca="1">SUMPRODUCT($ET33:$EX33,OFFSET(DNN!$Y$9:$AC$9,FB$9,0)) + OFFSET(DNN!$X$9,FB$9,0)</f>
        <v>1.5239793458415756E-2</v>
      </c>
      <c r="FC33" s="97">
        <f ca="1">SUMPRODUCT($ET33:$EX33,OFFSET(DNN!$Y$9:$AC$9,FC$9,0)) + OFFSET(DNN!$X$9,FC$9,0)</f>
        <v>-8.8749521084055777E-4</v>
      </c>
      <c r="FD33" s="97">
        <f ca="1">SUMPRODUCT($ET33:$EX33,OFFSET(DNN!$Y$9:$AC$9,FD$9,0)) + OFFSET(DNN!$X$9,FD$9,0)</f>
        <v>-4.235816470721872E-4</v>
      </c>
      <c r="FE33" s="97">
        <f ca="1">SUMPRODUCT($ET33:$EX33,OFFSET(DNN!$Y$9:$AC$9,FE$9,0)) + OFFSET(DNN!$X$9,FE$9,0)</f>
        <v>-1.574182761064886E-5</v>
      </c>
      <c r="FF33" s="97">
        <f ca="1">SUMPRODUCT($ET33:$EX33,OFFSET(DNN!$Y$9:$AC$9,FF$9,0)) + OFFSET(DNN!$X$9,FF$9,0)</f>
        <v>-1.3491460223194656E-3</v>
      </c>
      <c r="FG33" s="97">
        <f ca="1">SUMPRODUCT($ET33:$EX33,OFFSET(DNN!$Y$9:$AC$9,FG$9,0)) + OFFSET(DNN!$X$9,FG$9,0)</f>
        <v>-6.2604808096248285E-2</v>
      </c>
      <c r="FH33" s="97">
        <f ca="1">SUMPRODUCT($ET33:$EX33,OFFSET(DNN!$Y$9:$AC$9,FH$9,0)) + OFFSET(DNN!$X$9,FH$9,0)</f>
        <v>8.6810016937029894E-4</v>
      </c>
      <c r="FI33" s="108">
        <f ca="1">SUMPRODUCT($ET33:$EX33,OFFSET(DNN!$Y$9:$AC$9,FI$9,0)) + OFFSET(DNN!$X$9,FI$9,0)</f>
        <v>-1.3182687612562751</v>
      </c>
      <c r="FJ33" s="98">
        <f ca="1">SUMPRODUCT($ET33:$EX33,OFFSET(DNN!$Y$9:$AC$9,FJ$9,0)) + OFFSET(DNN!$X$9,FJ$9,0)</f>
        <v>-2.2535161745939301E-5</v>
      </c>
      <c r="FL33" s="415">
        <f t="shared" ca="1" si="98"/>
        <v>0.43031618918982212</v>
      </c>
      <c r="FM33" s="130">
        <f t="shared" ca="1" si="99"/>
        <v>1</v>
      </c>
      <c r="FN33" s="131">
        <f t="shared" ca="1" si="100"/>
        <v>0.65029522127322903</v>
      </c>
      <c r="FO33" s="131">
        <f t="shared" ca="1" si="101"/>
        <v>0.66028983545318687</v>
      </c>
      <c r="FP33" s="131">
        <f t="shared" ca="1" si="102"/>
        <v>0.64972655813153501</v>
      </c>
      <c r="FQ33" s="131">
        <f t="shared" ca="1" si="103"/>
        <v>0.65002804502111444</v>
      </c>
      <c r="FR33" s="131">
        <f t="shared" ca="1" si="104"/>
        <v>0.65029320640965171</v>
      </c>
      <c r="FS33" s="131">
        <f t="shared" ca="1" si="105"/>
        <v>0.64942668056342145</v>
      </c>
      <c r="FT33" s="131">
        <f t="shared" ca="1" si="106"/>
        <v>0.61083952513994022</v>
      </c>
      <c r="FU33" s="132">
        <f t="shared" ca="1" si="107"/>
        <v>0.6508682169276182</v>
      </c>
      <c r="FV33" s="131">
        <f t="shared" ca="1" si="108"/>
        <v>0.17402001625314881</v>
      </c>
      <c r="FW33" s="83">
        <f t="shared" ca="1" si="109"/>
        <v>-2.2535161742124597E-5</v>
      </c>
    </row>
    <row r="34" spans="1:179">
      <c r="A34" s="19">
        <f t="shared" si="117"/>
        <v>24</v>
      </c>
      <c r="B34" s="1">
        <f t="shared" ca="1" si="111"/>
        <v>0</v>
      </c>
      <c r="C34" s="20">
        <f t="shared" ca="1" si="112"/>
        <v>24</v>
      </c>
      <c r="D34" s="19" t="str">
        <f t="shared" ca="1" si="113"/>
        <v>〇×〇×〇×--〇</v>
      </c>
      <c r="E34" s="7">
        <f t="shared" ca="1" si="77"/>
        <v>9</v>
      </c>
      <c r="F34" s="7">
        <f t="shared" ca="1" si="78"/>
        <v>1</v>
      </c>
      <c r="G34" s="1" t="str">
        <f t="shared" ca="1" si="116"/>
        <v>〇×〇×〇×--〇</v>
      </c>
      <c r="H34" s="20" t="b">
        <f t="shared" ca="1" si="80"/>
        <v>1</v>
      </c>
      <c r="I34" s="22">
        <f t="shared" ca="1" si="114"/>
        <v>-1</v>
      </c>
      <c r="J34" s="1" t="b">
        <f ca="1">(1&lt;COUNTIF(D$10:D34,D34))</f>
        <v>1</v>
      </c>
      <c r="K34" s="1" t="b">
        <f t="shared" ca="1" si="81"/>
        <v>1</v>
      </c>
      <c r="L34" s="7">
        <f ca="1">MATCH(TRUE,K34:K$1048576,FALSE)-1</f>
        <v>0</v>
      </c>
      <c r="M34" s="24" t="str">
        <f t="shared" ca="1" si="13"/>
        <v>〇×〇×〇×--〇_9</v>
      </c>
      <c r="N34" s="25">
        <f t="shared" ca="1" si="82"/>
        <v>-2.2535161742124597E-5</v>
      </c>
      <c r="O34" s="26">
        <f t="shared" ca="1" si="83"/>
        <v>-1</v>
      </c>
      <c r="P34" s="27">
        <f t="shared" ca="1" si="84"/>
        <v>-1</v>
      </c>
      <c r="R34" s="41" t="str">
        <f ca="1">VLOOKUP(S34,cvt!$B$2:$C$4,2,FALSE)&amp;VLOOKUP(T34,cvt!$B$2:$C$4,2,FALSE)&amp;VLOOKUP(U34,cvt!$B$2:$C$4,2,FALSE)
&amp;VLOOKUP(V34,cvt!$B$2:$C$4,2,FALSE)&amp;VLOOKUP(W34,cvt!$B$2:$C$4,2,FALSE)&amp;VLOOKUP(X34,cvt!$B$2:$C$4,2,FALSE)
&amp;VLOOKUP(Y34,cvt!$B$2:$C$4,2,FALSE)&amp;VLOOKUP(Z34,cvt!$B$2:$C$4,2,FALSE)&amp;VLOOKUP(AA34,cvt!$B$2:$C$4,2,FALSE)</f>
        <v>〇×〇×〇×--〇</v>
      </c>
      <c r="S34" s="7">
        <f ca="1">VLOOKUP(MID($D34,S$9+1,1), cvt!$A$2:$B$4,2, FALSE)</f>
        <v>1</v>
      </c>
      <c r="T34" s="7">
        <f ca="1">VLOOKUP(MID($D34,T$9+1,1), cvt!$A$2:$B$4,2, FALSE)</f>
        <v>-1</v>
      </c>
      <c r="U34" s="7">
        <f ca="1">VLOOKUP(MID($D34,U$9+1,1), cvt!$A$2:$B$4,2, FALSE)</f>
        <v>1</v>
      </c>
      <c r="V34" s="17">
        <f ca="1">VLOOKUP(MID($D34,V$9+1,1), cvt!$A$2:$B$4,2, FALSE)</f>
        <v>-1</v>
      </c>
      <c r="W34" s="7">
        <f ca="1">VLOOKUP(MID($D34,W$9+1,1), cvt!$A$2:$B$4,2, FALSE)</f>
        <v>1</v>
      </c>
      <c r="X34" s="18">
        <f ca="1">VLOOKUP(MID($D34,X$9+1,1), cvt!$A$2:$B$4,2, FALSE)</f>
        <v>-1</v>
      </c>
      <c r="Y34" s="7">
        <f ca="1">VLOOKUP(MID($D34,Y$9+1,1), cvt!$A$2:$B$4,2, FALSE)</f>
        <v>0</v>
      </c>
      <c r="Z34" s="7">
        <f ca="1">VLOOKUP(MID($D34,Z$9+1,1), cvt!$A$2:$B$4,2, FALSE)</f>
        <v>0</v>
      </c>
      <c r="AA34" s="42">
        <f ca="1">VLOOKUP(MID($D34,AA$9+1,1), cvt!$A$2:$B$4,2, FALSE)</f>
        <v>1</v>
      </c>
      <c r="AB34" s="7">
        <f t="shared" ca="1" si="85"/>
        <v>1</v>
      </c>
      <c r="AC34" s="50" t="b">
        <f t="shared" ca="1" si="86"/>
        <v>1</v>
      </c>
      <c r="AE34" s="19" t="str">
        <f ca="1">VLOOKUP(AF34,cvt!$B$2:$C$4,2,FALSE)&amp;VLOOKUP(AG34,cvt!$B$2:$C$4,2,FALSE)&amp;VLOOKUP(AH34,cvt!$B$2:$C$4,2,FALSE)
&amp;VLOOKUP(AI34,cvt!$B$2:$C$4,2,FALSE)&amp;VLOOKUP(AJ34,cvt!$B$2:$C$4,2,FALSE)&amp;VLOOKUP(AK34,cvt!$B$2:$C$4,2,FALSE)
&amp;VLOOKUP(AL34,cvt!$B$2:$C$4,2,FALSE)&amp;VLOOKUP(AM34,cvt!$B$2:$C$4,2,FALSE)&amp;VLOOKUP(AN34,cvt!$B$2:$C$4,2,FALSE)</f>
        <v>〇×〇×〇×--〇</v>
      </c>
      <c r="AF34" s="17">
        <f t="shared" ca="1" si="14"/>
        <v>1</v>
      </c>
      <c r="AG34" s="7">
        <f t="shared" ca="1" si="15"/>
        <v>-1</v>
      </c>
      <c r="AH34" s="7">
        <f t="shared" ca="1" si="16"/>
        <v>1</v>
      </c>
      <c r="AI34" s="17">
        <f t="shared" ca="1" si="17"/>
        <v>-1</v>
      </c>
      <c r="AJ34" s="7">
        <f t="shared" ca="1" si="18"/>
        <v>1</v>
      </c>
      <c r="AK34" s="18">
        <f t="shared" ca="1" si="19"/>
        <v>-1</v>
      </c>
      <c r="AL34" s="7">
        <f t="shared" ca="1" si="20"/>
        <v>0</v>
      </c>
      <c r="AM34" s="7">
        <f t="shared" ca="1" si="21"/>
        <v>0</v>
      </c>
      <c r="AN34" s="18">
        <f t="shared" ca="1" si="22"/>
        <v>1</v>
      </c>
      <c r="AO34" s="7">
        <f t="shared" ca="1" si="115"/>
        <v>1</v>
      </c>
      <c r="AP34" s="50" t="b">
        <f t="shared" ca="1" si="87"/>
        <v>1</v>
      </c>
      <c r="AS34" s="22">
        <f t="shared" ca="1" si="88"/>
        <v>0</v>
      </c>
      <c r="AT34" s="7">
        <f t="shared" ca="1" si="23"/>
        <v>0</v>
      </c>
      <c r="AU34" s="7">
        <f t="shared" ca="1" si="24"/>
        <v>0</v>
      </c>
      <c r="AV34" s="7">
        <f t="shared" ca="1" si="25"/>
        <v>0</v>
      </c>
      <c r="AW34" s="7">
        <f t="shared" ca="1" si="26"/>
        <v>0</v>
      </c>
      <c r="AX34" s="7">
        <f t="shared" ca="1" si="27"/>
        <v>0</v>
      </c>
      <c r="AY34" s="7">
        <f t="shared" ca="1" si="28"/>
        <v>0</v>
      </c>
      <c r="AZ34" s="7">
        <f t="shared" ca="1" si="29"/>
        <v>0</v>
      </c>
      <c r="BA34" s="18">
        <f t="shared" ca="1" si="30"/>
        <v>0</v>
      </c>
      <c r="BB34" s="295">
        <f t="shared" ca="1" si="89"/>
        <v>1</v>
      </c>
      <c r="BD34" s="132"/>
      <c r="BE34" s="297">
        <f t="shared" ca="1" si="90"/>
        <v>1</v>
      </c>
      <c r="BF34" s="298">
        <f t="shared" ca="1" si="31"/>
        <v>0.65029522127322903</v>
      </c>
      <c r="BG34" s="298">
        <f t="shared" ca="1" si="32"/>
        <v>0.66028983545318687</v>
      </c>
      <c r="BH34" s="318">
        <f t="shared" ca="1" si="33"/>
        <v>0.64972655813153501</v>
      </c>
      <c r="BI34" s="298">
        <f t="shared" ca="1" si="34"/>
        <v>0.65002804502111444</v>
      </c>
      <c r="BJ34" s="299">
        <f t="shared" ca="1" si="35"/>
        <v>0.65029320640965171</v>
      </c>
      <c r="BK34" s="298">
        <f t="shared" ca="1" si="36"/>
        <v>0.64942668056342145</v>
      </c>
      <c r="BL34" s="298">
        <f t="shared" ca="1" si="37"/>
        <v>0.61083952513994022</v>
      </c>
      <c r="BM34" s="299">
        <f t="shared" ca="1" si="38"/>
        <v>0.6508682169276182</v>
      </c>
      <c r="BN34" s="295">
        <f t="shared" ca="1" si="39"/>
        <v>0.17402001625314881</v>
      </c>
      <c r="BO34" s="248">
        <f t="shared" ca="1" si="91"/>
        <v>-2.2535161742124597E-5</v>
      </c>
      <c r="BQ34" s="304">
        <f t="shared" ca="1" si="92"/>
        <v>0.42412001625314877</v>
      </c>
      <c r="BR34" s="297">
        <f t="shared" ca="1" si="93"/>
        <v>0</v>
      </c>
      <c r="BS34" s="298">
        <f t="shared" ca="1" si="40"/>
        <v>0</v>
      </c>
      <c r="BT34" s="298">
        <f t="shared" ca="1" si="41"/>
        <v>0</v>
      </c>
      <c r="BU34" s="318">
        <f t="shared" ca="1" si="42"/>
        <v>0</v>
      </c>
      <c r="BV34" s="298">
        <f t="shared" ca="1" si="43"/>
        <v>0</v>
      </c>
      <c r="BW34" s="299">
        <f t="shared" ca="1" si="44"/>
        <v>0</v>
      </c>
      <c r="BX34" s="298">
        <f t="shared" ca="1" si="45"/>
        <v>0</v>
      </c>
      <c r="BY34" s="298">
        <f t="shared" ca="1" si="46"/>
        <v>0</v>
      </c>
      <c r="BZ34" s="298">
        <f t="shared" ca="1" si="47"/>
        <v>0</v>
      </c>
      <c r="CA34" s="315">
        <f t="shared" ca="1" si="48"/>
        <v>0.42412001625314877</v>
      </c>
      <c r="CC34" s="52"/>
      <c r="CD34" s="306">
        <f t="shared" ca="1" si="94"/>
        <v>0</v>
      </c>
      <c r="CE34" s="15">
        <f t="shared" ca="1" si="49"/>
        <v>0</v>
      </c>
      <c r="CF34" s="15">
        <f t="shared" ca="1" si="50"/>
        <v>0</v>
      </c>
      <c r="CG34" s="286">
        <f t="shared" ca="1" si="51"/>
        <v>0</v>
      </c>
      <c r="CH34" s="15">
        <f t="shared" ca="1" si="52"/>
        <v>0</v>
      </c>
      <c r="CI34" s="288">
        <f t="shared" ca="1" si="53"/>
        <v>0</v>
      </c>
      <c r="CJ34" s="15">
        <f t="shared" ca="1" si="54"/>
        <v>0</v>
      </c>
      <c r="CK34" s="15">
        <f t="shared" ca="1" si="55"/>
        <v>0</v>
      </c>
      <c r="CL34" s="15">
        <f t="shared" ca="1" si="56"/>
        <v>0</v>
      </c>
      <c r="CM34" s="313">
        <f t="shared" ca="1" si="57"/>
        <v>1</v>
      </c>
      <c r="CO34" s="320">
        <f t="shared" ca="1" si="95"/>
        <v>23</v>
      </c>
      <c r="CP34" s="22">
        <f ca="1">COUNTIFS($C$10:$C33,"&lt;"&amp;$C34,$M$10:$M33,$D34&amp;"_"&amp;CP$9)</f>
        <v>0</v>
      </c>
      <c r="CQ34" s="7">
        <f ca="1">COUNTIFS($C$10:$C33,"&lt;"&amp;$C34,$M$10:$M33,$D34&amp;"_"&amp;CQ$9)</f>
        <v>0</v>
      </c>
      <c r="CR34" s="7">
        <f ca="1">COUNTIFS($C$10:$C33,"&lt;"&amp;$C34,$M$10:$M33,$D34&amp;"_"&amp;CR$9)</f>
        <v>0</v>
      </c>
      <c r="CS34" s="17">
        <f ca="1">COUNTIFS($C$10:$C33,"&lt;"&amp;$C34,$M$10:$M33,$D34&amp;"_"&amp;CS$9)</f>
        <v>0</v>
      </c>
      <c r="CT34" s="7">
        <f ca="1">COUNTIFS($C$10:$C33,"&lt;"&amp;$C34,$M$10:$M33,$D34&amp;"_"&amp;CT$9)</f>
        <v>0</v>
      </c>
      <c r="CU34" s="18">
        <f ca="1">COUNTIFS($C$10:$C33,"&lt;"&amp;$C34,$M$10:$M33,$D34&amp;"_"&amp;CU$9)</f>
        <v>0</v>
      </c>
      <c r="CV34" s="7">
        <f ca="1">COUNTIFS($C$10:$C33,"&lt;"&amp;$C34,$M$10:$M33,$D34&amp;"_"&amp;CV$9)</f>
        <v>0</v>
      </c>
      <c r="CW34" s="7">
        <f ca="1">COUNTIFS($C$10:$C33,"&lt;"&amp;$C34,$M$10:$M33,$D34&amp;"_"&amp;CW$9)</f>
        <v>0</v>
      </c>
      <c r="CX34" s="7">
        <f ca="1">COUNTIFS($C$10:$C33,"&lt;"&amp;$C34,$M$10:$M33,$D34&amp;"_"&amp;CX$9)</f>
        <v>0</v>
      </c>
      <c r="CY34" s="221">
        <f ca="1">COUNTIFS($C$10:$C33,"&lt;"&amp;$C34,$M$10:$M33,$D34&amp;"_"&amp;CY$9)</f>
        <v>23</v>
      </c>
      <c r="DA34" s="20"/>
      <c r="DB34" s="308">
        <f ca="1">IF(CP34=0,0,SUMIFS($P$10:$P33, $C$10:$C33,"&lt;"&amp;$C34, $M$10:$M33,$D34&amp;"_"&amp;DB$9)/CP34)</f>
        <v>0</v>
      </c>
      <c r="DC34" s="263">
        <f ca="1">IF(CQ34=0,0,SUMIFS($P$10:$P33, $C$10:$C33,"&lt;"&amp;$C34, $M$10:$M33,$D34&amp;"_"&amp;DC$9)/CQ34)</f>
        <v>0</v>
      </c>
      <c r="DD34" s="263">
        <f ca="1">IF(CR34=0,0,SUMIFS($P$10:$P33, $C$10:$C33,"&lt;"&amp;$C34, $M$10:$M33,$D34&amp;"_"&amp;DD$9)/CR34)</f>
        <v>0</v>
      </c>
      <c r="DE34" s="262">
        <f ca="1">IF(CS34=0,0,SUMIFS($P$10:$P33, $C$10:$C33,"&lt;"&amp;$C34, $M$10:$M33,$D34&amp;"_"&amp;DE$9)/CS34)</f>
        <v>0</v>
      </c>
      <c r="DF34" s="263">
        <f ca="1">IF(CT34=0,0,SUMIFS($P$10:$P33, $C$10:$C33,"&lt;"&amp;$C34, $M$10:$M33,$D34&amp;"_"&amp;DF$9)/CT34)</f>
        <v>0</v>
      </c>
      <c r="DG34" s="310">
        <f ca="1">IF(CU34=0,0,SUMIFS($P$10:$P33, $C$10:$C33,"&lt;"&amp;$C34, $M$10:$M33,$D34&amp;"_"&amp;DG$9)/CU34)</f>
        <v>0</v>
      </c>
      <c r="DH34" s="263">
        <f ca="1">IF(CV34=0,0,SUMIFS($P$10:$P33, $C$10:$C33,"&lt;"&amp;$C34, $M$10:$M33,$D34&amp;"_"&amp;DH$9)/CV34)</f>
        <v>0</v>
      </c>
      <c r="DI34" s="263">
        <f ca="1">IF(CW34=0,0,SUMIFS($P$10:$P33, $C$10:$C33,"&lt;"&amp;$C34, $M$10:$M33,$D34&amp;"_"&amp;DI$9)/CW34)</f>
        <v>0</v>
      </c>
      <c r="DJ34" s="264">
        <f ca="1">IF(CX34=0,0,SUMIFS($P$10:$P33, $C$10:$C33,"&lt;"&amp;$C34, $M$10:$M33,$D34&amp;"_"&amp;DJ$9)/CX34)</f>
        <v>0</v>
      </c>
      <c r="DK34" s="264">
        <f ca="1">IF(CY34=0,0,SUMIFS($P$10:$P33, $C$10:$C33,"&lt;"&amp;$C34, $M$10:$M33,$D34&amp;"_"&amp;DK$9)/CY34)</f>
        <v>-1</v>
      </c>
      <c r="DM34" s="104"/>
      <c r="DN34" s="306">
        <f t="shared" ca="1" si="96"/>
        <v>-9999</v>
      </c>
      <c r="DO34" s="15">
        <f t="shared" ca="1" si="58"/>
        <v>-9999</v>
      </c>
      <c r="DP34" s="15">
        <f t="shared" ca="1" si="59"/>
        <v>-9999</v>
      </c>
      <c r="DQ34" s="15">
        <f t="shared" ca="1" si="60"/>
        <v>-9999</v>
      </c>
      <c r="DR34" s="15">
        <f t="shared" ca="1" si="61"/>
        <v>-9999</v>
      </c>
      <c r="DS34" s="15">
        <f t="shared" ca="1" si="62"/>
        <v>-9999</v>
      </c>
      <c r="DT34" s="15">
        <f t="shared" ca="1" si="63"/>
        <v>-9999</v>
      </c>
      <c r="DU34" s="15">
        <f t="shared" ca="1" si="64"/>
        <v>-9999</v>
      </c>
      <c r="DV34" s="52">
        <f t="shared" ca="1" si="65"/>
        <v>-9999</v>
      </c>
      <c r="DW34" s="313">
        <f t="shared" ca="1" si="66"/>
        <v>-0.80017368652863674</v>
      </c>
      <c r="DX34" s="52"/>
      <c r="DY34" s="402">
        <f t="shared" ca="1" si="97"/>
        <v>9</v>
      </c>
      <c r="ED34" s="19">
        <f t="shared" ca="1" si="67"/>
        <v>-1</v>
      </c>
      <c r="EE34" s="1">
        <f t="shared" ca="1" si="68"/>
        <v>1</v>
      </c>
      <c r="EF34" s="1">
        <f t="shared" ca="1" si="69"/>
        <v>-1</v>
      </c>
      <c r="EG34" s="2">
        <f t="shared" ca="1" si="70"/>
        <v>1</v>
      </c>
      <c r="EH34" s="1">
        <f t="shared" ca="1" si="71"/>
        <v>-1</v>
      </c>
      <c r="EI34" s="3">
        <f t="shared" ca="1" si="72"/>
        <v>1</v>
      </c>
      <c r="EJ34" s="1">
        <f t="shared" ca="1" si="73"/>
        <v>0</v>
      </c>
      <c r="EK34" s="1">
        <f t="shared" ca="1" si="74"/>
        <v>0</v>
      </c>
      <c r="EL34" s="20">
        <f t="shared" ca="1" si="75"/>
        <v>-1</v>
      </c>
      <c r="EN34" s="86">
        <f ca="1">MAX(0, SUMPRODUCT($ED34:$EL34,OFFSET(DNN!$E$9:$M$9,EN$9,0)) + OFFSET(DNN!$D$9,EN$9,0))</f>
        <v>0</v>
      </c>
      <c r="EO34" s="84">
        <f ca="1">MAX(0, SUMPRODUCT($ED34:$EL34,OFFSET(DNN!$E$9:$M$9,EO$9,0)) + OFFSET(DNN!$D$9,EO$9,0))</f>
        <v>7.2346022384755949E-3</v>
      </c>
      <c r="EP34" s="84">
        <f ca="1">MAX(0, SUMPRODUCT($ED34:$EL34,OFFSET(DNN!$E$9:$M$9,EP$9,0)) + OFFSET(DNN!$D$9,EP$9,0))</f>
        <v>3.6951849750035152E-3</v>
      </c>
      <c r="EQ34" s="84">
        <f ca="1">MAX(0, SUMPRODUCT($ED34:$EL34,OFFSET(DNN!$E$9:$M$9,EQ$9,0)) + OFFSET(DNN!$D$9,EQ$9,0))</f>
        <v>0</v>
      </c>
      <c r="ER34" s="85">
        <f ca="1">MAX(0, SUMPRODUCT($ED34:$EL34,OFFSET(DNN!$E$9:$M$9,ER$9,0)) + OFFSET(DNN!$D$9,ER$9,0))</f>
        <v>0</v>
      </c>
      <c r="ET34" s="86">
        <f ca="1">MAX(0, SUMPRODUCT($EN34:$ER34,OFFSET(DNN!$Q$9:$U$9,ET$9,0)) + OFFSET(DNN!$P$9,ET$9,0))</f>
        <v>4.3954959453478351E-4</v>
      </c>
      <c r="EU34" s="84">
        <f ca="1">MAX(0, SUMPRODUCT($EN34:$ER34,OFFSET(DNN!$Q$9:$U$9,EU$9,0)) + OFFSET(DNN!$P$9,EU$9,0))</f>
        <v>0</v>
      </c>
      <c r="EV34" s="84">
        <f ca="1">MAX(0, SUMPRODUCT($EN34:$ER34,OFFSET(DNN!$Q$9:$U$9,EV$9,0)) + OFFSET(DNN!$P$9,EV$9,0))</f>
        <v>1.2810123361902579E-3</v>
      </c>
      <c r="EW34" s="84">
        <f ca="1">MAX(0, SUMPRODUCT($EN34:$ER34,OFFSET(DNN!$Q$9:$U$9,EW$9,0)) + OFFSET(DNN!$P$9,EW$9,0))</f>
        <v>7.8382123007882457E-4</v>
      </c>
      <c r="EX34" s="85">
        <f ca="1">MAX(0, SUMPRODUCT($EN34:$ER34,OFFSET(DNN!$Q$9:$U$9,EX$9,0)) + OFFSET(DNN!$P$9,EX$9,0))</f>
        <v>0</v>
      </c>
      <c r="EZ34" s="111">
        <f ca="1">SUMPRODUCT($ET34:$EX34,OFFSET(DNN!$Y$9:$AC$9,EZ$9,0)) + OFFSET(DNN!$X$9,EZ$9,0)</f>
        <v>0.43031618918982212</v>
      </c>
      <c r="FA34" s="97">
        <f ca="1">SUMPRODUCT($ET34:$EX34,OFFSET(DNN!$Y$9:$AC$9,FA$9,0)) + OFFSET(DNN!$X$9,FA$9,0)</f>
        <v>-1.2643439935754107E-5</v>
      </c>
      <c r="FB34" s="97">
        <f ca="1">SUMPRODUCT($ET34:$EX34,OFFSET(DNN!$Y$9:$AC$9,FB$9,0)) + OFFSET(DNN!$X$9,FB$9,0)</f>
        <v>1.5239793458415756E-2</v>
      </c>
      <c r="FC34" s="97">
        <f ca="1">SUMPRODUCT($ET34:$EX34,OFFSET(DNN!$Y$9:$AC$9,FC$9,0)) + OFFSET(DNN!$X$9,FC$9,0)</f>
        <v>-8.8749521084055777E-4</v>
      </c>
      <c r="FD34" s="97">
        <f ca="1">SUMPRODUCT($ET34:$EX34,OFFSET(DNN!$Y$9:$AC$9,FD$9,0)) + OFFSET(DNN!$X$9,FD$9,0)</f>
        <v>-4.235816470721872E-4</v>
      </c>
      <c r="FE34" s="97">
        <f ca="1">SUMPRODUCT($ET34:$EX34,OFFSET(DNN!$Y$9:$AC$9,FE$9,0)) + OFFSET(DNN!$X$9,FE$9,0)</f>
        <v>-1.574182761064886E-5</v>
      </c>
      <c r="FF34" s="97">
        <f ca="1">SUMPRODUCT($ET34:$EX34,OFFSET(DNN!$Y$9:$AC$9,FF$9,0)) + OFFSET(DNN!$X$9,FF$9,0)</f>
        <v>-1.3491460223194656E-3</v>
      </c>
      <c r="FG34" s="97">
        <f ca="1">SUMPRODUCT($ET34:$EX34,OFFSET(DNN!$Y$9:$AC$9,FG$9,0)) + OFFSET(DNN!$X$9,FG$9,0)</f>
        <v>-6.2604808096248285E-2</v>
      </c>
      <c r="FH34" s="97">
        <f ca="1">SUMPRODUCT($ET34:$EX34,OFFSET(DNN!$Y$9:$AC$9,FH$9,0)) + OFFSET(DNN!$X$9,FH$9,0)</f>
        <v>8.6810016937029894E-4</v>
      </c>
      <c r="FI34" s="108">
        <f ca="1">SUMPRODUCT($ET34:$EX34,OFFSET(DNN!$Y$9:$AC$9,FI$9,0)) + OFFSET(DNN!$X$9,FI$9,0)</f>
        <v>-1.3182687612562751</v>
      </c>
      <c r="FJ34" s="98">
        <f ca="1">SUMPRODUCT($ET34:$EX34,OFFSET(DNN!$Y$9:$AC$9,FJ$9,0)) + OFFSET(DNN!$X$9,FJ$9,0)</f>
        <v>-2.2535161745939301E-5</v>
      </c>
      <c r="FL34" s="415">
        <f t="shared" ca="1" si="98"/>
        <v>0.43031618918982212</v>
      </c>
      <c r="FM34" s="130">
        <f t="shared" ca="1" si="99"/>
        <v>1</v>
      </c>
      <c r="FN34" s="131">
        <f t="shared" ca="1" si="100"/>
        <v>0.65029522127322903</v>
      </c>
      <c r="FO34" s="131">
        <f t="shared" ca="1" si="101"/>
        <v>0.66028983545318687</v>
      </c>
      <c r="FP34" s="131">
        <f t="shared" ca="1" si="102"/>
        <v>0.64972655813153501</v>
      </c>
      <c r="FQ34" s="131">
        <f t="shared" ca="1" si="103"/>
        <v>0.65002804502111444</v>
      </c>
      <c r="FR34" s="131">
        <f t="shared" ca="1" si="104"/>
        <v>0.65029320640965171</v>
      </c>
      <c r="FS34" s="131">
        <f t="shared" ca="1" si="105"/>
        <v>0.64942668056342145</v>
      </c>
      <c r="FT34" s="131">
        <f t="shared" ca="1" si="106"/>
        <v>0.61083952513994022</v>
      </c>
      <c r="FU34" s="132">
        <f t="shared" ca="1" si="107"/>
        <v>0.6508682169276182</v>
      </c>
      <c r="FV34" s="131">
        <f t="shared" ca="1" si="108"/>
        <v>0.17402001625314881</v>
      </c>
      <c r="FW34" s="83">
        <f t="shared" ca="1" si="109"/>
        <v>-2.2535161742124597E-5</v>
      </c>
    </row>
    <row r="35" spans="1:179">
      <c r="A35" s="19">
        <f t="shared" si="117"/>
        <v>25</v>
      </c>
      <c r="B35" s="1">
        <f t="shared" ca="1" si="111"/>
        <v>0</v>
      </c>
      <c r="C35" s="20">
        <f t="shared" ca="1" si="112"/>
        <v>25</v>
      </c>
      <c r="D35" s="19" t="str">
        <f t="shared" ca="1" si="113"/>
        <v>〇×〇×〇×--〇</v>
      </c>
      <c r="E35" s="7">
        <f t="shared" ca="1" si="77"/>
        <v>9</v>
      </c>
      <c r="F35" s="7">
        <f t="shared" ca="1" si="78"/>
        <v>1</v>
      </c>
      <c r="G35" s="1" t="str">
        <f t="shared" ca="1" si="116"/>
        <v>〇×〇×〇×--〇</v>
      </c>
      <c r="H35" s="20" t="b">
        <f t="shared" ca="1" si="80"/>
        <v>1</v>
      </c>
      <c r="I35" s="22">
        <f t="shared" ca="1" si="114"/>
        <v>-1</v>
      </c>
      <c r="J35" s="1" t="b">
        <f ca="1">(1&lt;COUNTIF(D$10:D35,D35))</f>
        <v>1</v>
      </c>
      <c r="K35" s="1" t="b">
        <f t="shared" ca="1" si="81"/>
        <v>1</v>
      </c>
      <c r="L35" s="7">
        <f ca="1">MATCH(TRUE,K35:K$1048576,FALSE)-1</f>
        <v>0</v>
      </c>
      <c r="M35" s="24" t="str">
        <f t="shared" ca="1" si="13"/>
        <v>〇×〇×〇×--〇_9</v>
      </c>
      <c r="N35" s="25">
        <f t="shared" ca="1" si="82"/>
        <v>-2.2535161742124597E-5</v>
      </c>
      <c r="O35" s="26">
        <f t="shared" ca="1" si="83"/>
        <v>-1</v>
      </c>
      <c r="P35" s="27">
        <f t="shared" ca="1" si="84"/>
        <v>-1</v>
      </c>
      <c r="R35" s="41" t="str">
        <f ca="1">VLOOKUP(S35,cvt!$B$2:$C$4,2,FALSE)&amp;VLOOKUP(T35,cvt!$B$2:$C$4,2,FALSE)&amp;VLOOKUP(U35,cvt!$B$2:$C$4,2,FALSE)
&amp;VLOOKUP(V35,cvt!$B$2:$C$4,2,FALSE)&amp;VLOOKUP(W35,cvt!$B$2:$C$4,2,FALSE)&amp;VLOOKUP(X35,cvt!$B$2:$C$4,2,FALSE)
&amp;VLOOKUP(Y35,cvt!$B$2:$C$4,2,FALSE)&amp;VLOOKUP(Z35,cvt!$B$2:$C$4,2,FALSE)&amp;VLOOKUP(AA35,cvt!$B$2:$C$4,2,FALSE)</f>
        <v>〇×〇×〇×--〇</v>
      </c>
      <c r="S35" s="7">
        <f ca="1">VLOOKUP(MID($D35,S$9+1,1), cvt!$A$2:$B$4,2, FALSE)</f>
        <v>1</v>
      </c>
      <c r="T35" s="7">
        <f ca="1">VLOOKUP(MID($D35,T$9+1,1), cvt!$A$2:$B$4,2, FALSE)</f>
        <v>-1</v>
      </c>
      <c r="U35" s="7">
        <f ca="1">VLOOKUP(MID($D35,U$9+1,1), cvt!$A$2:$B$4,2, FALSE)</f>
        <v>1</v>
      </c>
      <c r="V35" s="17">
        <f ca="1">VLOOKUP(MID($D35,V$9+1,1), cvt!$A$2:$B$4,2, FALSE)</f>
        <v>-1</v>
      </c>
      <c r="W35" s="7">
        <f ca="1">VLOOKUP(MID($D35,W$9+1,1), cvt!$A$2:$B$4,2, FALSE)</f>
        <v>1</v>
      </c>
      <c r="X35" s="18">
        <f ca="1">VLOOKUP(MID($D35,X$9+1,1), cvt!$A$2:$B$4,2, FALSE)</f>
        <v>-1</v>
      </c>
      <c r="Y35" s="7">
        <f ca="1">VLOOKUP(MID($D35,Y$9+1,1), cvt!$A$2:$B$4,2, FALSE)</f>
        <v>0</v>
      </c>
      <c r="Z35" s="7">
        <f ca="1">VLOOKUP(MID($D35,Z$9+1,1), cvt!$A$2:$B$4,2, FALSE)</f>
        <v>0</v>
      </c>
      <c r="AA35" s="42">
        <f ca="1">VLOOKUP(MID($D35,AA$9+1,1), cvt!$A$2:$B$4,2, FALSE)</f>
        <v>1</v>
      </c>
      <c r="AB35" s="7">
        <f t="shared" ca="1" si="85"/>
        <v>1</v>
      </c>
      <c r="AC35" s="50" t="b">
        <f t="shared" ca="1" si="86"/>
        <v>1</v>
      </c>
      <c r="AE35" s="19" t="str">
        <f ca="1">VLOOKUP(AF35,cvt!$B$2:$C$4,2,FALSE)&amp;VLOOKUP(AG35,cvt!$B$2:$C$4,2,FALSE)&amp;VLOOKUP(AH35,cvt!$B$2:$C$4,2,FALSE)
&amp;VLOOKUP(AI35,cvt!$B$2:$C$4,2,FALSE)&amp;VLOOKUP(AJ35,cvt!$B$2:$C$4,2,FALSE)&amp;VLOOKUP(AK35,cvt!$B$2:$C$4,2,FALSE)
&amp;VLOOKUP(AL35,cvt!$B$2:$C$4,2,FALSE)&amp;VLOOKUP(AM35,cvt!$B$2:$C$4,2,FALSE)&amp;VLOOKUP(AN35,cvt!$B$2:$C$4,2,FALSE)</f>
        <v>〇×〇×〇×--〇</v>
      </c>
      <c r="AF35" s="17">
        <f t="shared" ca="1" si="14"/>
        <v>1</v>
      </c>
      <c r="AG35" s="7">
        <f t="shared" ca="1" si="15"/>
        <v>-1</v>
      </c>
      <c r="AH35" s="7">
        <f t="shared" ca="1" si="16"/>
        <v>1</v>
      </c>
      <c r="AI35" s="17">
        <f t="shared" ca="1" si="17"/>
        <v>-1</v>
      </c>
      <c r="AJ35" s="7">
        <f t="shared" ca="1" si="18"/>
        <v>1</v>
      </c>
      <c r="AK35" s="18">
        <f t="shared" ca="1" si="19"/>
        <v>-1</v>
      </c>
      <c r="AL35" s="7">
        <f t="shared" ca="1" si="20"/>
        <v>0</v>
      </c>
      <c r="AM35" s="7">
        <f t="shared" ca="1" si="21"/>
        <v>0</v>
      </c>
      <c r="AN35" s="18">
        <f t="shared" ca="1" si="22"/>
        <v>1</v>
      </c>
      <c r="AO35" s="7">
        <f t="shared" ca="1" si="115"/>
        <v>1</v>
      </c>
      <c r="AP35" s="50" t="b">
        <f t="shared" ca="1" si="87"/>
        <v>1</v>
      </c>
      <c r="AS35" s="22">
        <f t="shared" ca="1" si="88"/>
        <v>0</v>
      </c>
      <c r="AT35" s="7">
        <f t="shared" ca="1" si="23"/>
        <v>0</v>
      </c>
      <c r="AU35" s="7">
        <f t="shared" ca="1" si="24"/>
        <v>0</v>
      </c>
      <c r="AV35" s="7">
        <f t="shared" ca="1" si="25"/>
        <v>0</v>
      </c>
      <c r="AW35" s="7">
        <f t="shared" ca="1" si="26"/>
        <v>0</v>
      </c>
      <c r="AX35" s="7">
        <f t="shared" ca="1" si="27"/>
        <v>0</v>
      </c>
      <c r="AY35" s="7">
        <f t="shared" ca="1" si="28"/>
        <v>0</v>
      </c>
      <c r="AZ35" s="7">
        <f t="shared" ca="1" si="29"/>
        <v>0</v>
      </c>
      <c r="BA35" s="18">
        <f t="shared" ca="1" si="30"/>
        <v>0</v>
      </c>
      <c r="BB35" s="295">
        <f t="shared" ca="1" si="89"/>
        <v>1</v>
      </c>
      <c r="BD35" s="132"/>
      <c r="BE35" s="297">
        <f t="shared" ca="1" si="90"/>
        <v>1</v>
      </c>
      <c r="BF35" s="298">
        <f t="shared" ca="1" si="31"/>
        <v>0.65029522127322903</v>
      </c>
      <c r="BG35" s="298">
        <f t="shared" ca="1" si="32"/>
        <v>0.66028983545318687</v>
      </c>
      <c r="BH35" s="318">
        <f t="shared" ca="1" si="33"/>
        <v>0.64972655813153501</v>
      </c>
      <c r="BI35" s="298">
        <f t="shared" ca="1" si="34"/>
        <v>0.65002804502111444</v>
      </c>
      <c r="BJ35" s="299">
        <f t="shared" ca="1" si="35"/>
        <v>0.65029320640965171</v>
      </c>
      <c r="BK35" s="298">
        <f t="shared" ca="1" si="36"/>
        <v>0.64942668056342145</v>
      </c>
      <c r="BL35" s="298">
        <f t="shared" ca="1" si="37"/>
        <v>0.61083952513994022</v>
      </c>
      <c r="BM35" s="299">
        <f t="shared" ca="1" si="38"/>
        <v>0.6508682169276182</v>
      </c>
      <c r="BN35" s="295">
        <f t="shared" ca="1" si="39"/>
        <v>0.17402001625314881</v>
      </c>
      <c r="BO35" s="248">
        <f t="shared" ca="1" si="91"/>
        <v>-2.2535161742124597E-5</v>
      </c>
      <c r="BQ35" s="304">
        <f t="shared" ca="1" si="92"/>
        <v>0.1741200162531488</v>
      </c>
      <c r="BR35" s="297">
        <f t="shared" ca="1" si="93"/>
        <v>0</v>
      </c>
      <c r="BS35" s="298">
        <f t="shared" ca="1" si="40"/>
        <v>0</v>
      </c>
      <c r="BT35" s="298">
        <f t="shared" ca="1" si="41"/>
        <v>0</v>
      </c>
      <c r="BU35" s="318">
        <f t="shared" ca="1" si="42"/>
        <v>0</v>
      </c>
      <c r="BV35" s="298">
        <f t="shared" ca="1" si="43"/>
        <v>0</v>
      </c>
      <c r="BW35" s="299">
        <f t="shared" ca="1" si="44"/>
        <v>0</v>
      </c>
      <c r="BX35" s="298">
        <f t="shared" ca="1" si="45"/>
        <v>0</v>
      </c>
      <c r="BY35" s="298">
        <f t="shared" ca="1" si="46"/>
        <v>0</v>
      </c>
      <c r="BZ35" s="298">
        <f t="shared" ca="1" si="47"/>
        <v>0</v>
      </c>
      <c r="CA35" s="315">
        <f t="shared" ca="1" si="48"/>
        <v>0.1741200162531488</v>
      </c>
      <c r="CC35" s="52"/>
      <c r="CD35" s="306">
        <f t="shared" ca="1" si="94"/>
        <v>0</v>
      </c>
      <c r="CE35" s="15">
        <f t="shared" ca="1" si="49"/>
        <v>0</v>
      </c>
      <c r="CF35" s="15">
        <f t="shared" ca="1" si="50"/>
        <v>0</v>
      </c>
      <c r="CG35" s="286">
        <f t="shared" ca="1" si="51"/>
        <v>0</v>
      </c>
      <c r="CH35" s="15">
        <f t="shared" ca="1" si="52"/>
        <v>0</v>
      </c>
      <c r="CI35" s="288">
        <f t="shared" ca="1" si="53"/>
        <v>0</v>
      </c>
      <c r="CJ35" s="15">
        <f t="shared" ca="1" si="54"/>
        <v>0</v>
      </c>
      <c r="CK35" s="15">
        <f t="shared" ca="1" si="55"/>
        <v>0</v>
      </c>
      <c r="CL35" s="15">
        <f t="shared" ca="1" si="56"/>
        <v>0</v>
      </c>
      <c r="CM35" s="313">
        <f t="shared" ca="1" si="57"/>
        <v>1</v>
      </c>
      <c r="CO35" s="320">
        <f t="shared" ca="1" si="95"/>
        <v>24</v>
      </c>
      <c r="CP35" s="22">
        <f ca="1">COUNTIFS($C$10:$C34,"&lt;"&amp;$C35,$M$10:$M34,$D35&amp;"_"&amp;CP$9)</f>
        <v>0</v>
      </c>
      <c r="CQ35" s="7">
        <f ca="1">COUNTIFS($C$10:$C34,"&lt;"&amp;$C35,$M$10:$M34,$D35&amp;"_"&amp;CQ$9)</f>
        <v>0</v>
      </c>
      <c r="CR35" s="7">
        <f ca="1">COUNTIFS($C$10:$C34,"&lt;"&amp;$C35,$M$10:$M34,$D35&amp;"_"&amp;CR$9)</f>
        <v>0</v>
      </c>
      <c r="CS35" s="17">
        <f ca="1">COUNTIFS($C$10:$C34,"&lt;"&amp;$C35,$M$10:$M34,$D35&amp;"_"&amp;CS$9)</f>
        <v>0</v>
      </c>
      <c r="CT35" s="7">
        <f ca="1">COUNTIFS($C$10:$C34,"&lt;"&amp;$C35,$M$10:$M34,$D35&amp;"_"&amp;CT$9)</f>
        <v>0</v>
      </c>
      <c r="CU35" s="18">
        <f ca="1">COUNTIFS($C$10:$C34,"&lt;"&amp;$C35,$M$10:$M34,$D35&amp;"_"&amp;CU$9)</f>
        <v>0</v>
      </c>
      <c r="CV35" s="7">
        <f ca="1">COUNTIFS($C$10:$C34,"&lt;"&amp;$C35,$M$10:$M34,$D35&amp;"_"&amp;CV$9)</f>
        <v>0</v>
      </c>
      <c r="CW35" s="7">
        <f ca="1">COUNTIFS($C$10:$C34,"&lt;"&amp;$C35,$M$10:$M34,$D35&amp;"_"&amp;CW$9)</f>
        <v>0</v>
      </c>
      <c r="CX35" s="7">
        <f ca="1">COUNTIFS($C$10:$C34,"&lt;"&amp;$C35,$M$10:$M34,$D35&amp;"_"&amp;CX$9)</f>
        <v>0</v>
      </c>
      <c r="CY35" s="221">
        <f ca="1">COUNTIFS($C$10:$C34,"&lt;"&amp;$C35,$M$10:$M34,$D35&amp;"_"&amp;CY$9)</f>
        <v>24</v>
      </c>
      <c r="DA35" s="20"/>
      <c r="DB35" s="308">
        <f ca="1">IF(CP35=0,0,SUMIFS($P$10:$P34, $C$10:$C34,"&lt;"&amp;$C35, $M$10:$M34,$D35&amp;"_"&amp;DB$9)/CP35)</f>
        <v>0</v>
      </c>
      <c r="DC35" s="263">
        <f ca="1">IF(CQ35=0,0,SUMIFS($P$10:$P34, $C$10:$C34,"&lt;"&amp;$C35, $M$10:$M34,$D35&amp;"_"&amp;DC$9)/CQ35)</f>
        <v>0</v>
      </c>
      <c r="DD35" s="263">
        <f ca="1">IF(CR35=0,0,SUMIFS($P$10:$P34, $C$10:$C34,"&lt;"&amp;$C35, $M$10:$M34,$D35&amp;"_"&amp;DD$9)/CR35)</f>
        <v>0</v>
      </c>
      <c r="DE35" s="262">
        <f ca="1">IF(CS35=0,0,SUMIFS($P$10:$P34, $C$10:$C34,"&lt;"&amp;$C35, $M$10:$M34,$D35&amp;"_"&amp;DE$9)/CS35)</f>
        <v>0</v>
      </c>
      <c r="DF35" s="263">
        <f ca="1">IF(CT35=0,0,SUMIFS($P$10:$P34, $C$10:$C34,"&lt;"&amp;$C35, $M$10:$M34,$D35&amp;"_"&amp;DF$9)/CT35)</f>
        <v>0</v>
      </c>
      <c r="DG35" s="310">
        <f ca="1">IF(CU35=0,0,SUMIFS($P$10:$P34, $C$10:$C34,"&lt;"&amp;$C35, $M$10:$M34,$D35&amp;"_"&amp;DG$9)/CU35)</f>
        <v>0</v>
      </c>
      <c r="DH35" s="263">
        <f ca="1">IF(CV35=0,0,SUMIFS($P$10:$P34, $C$10:$C34,"&lt;"&amp;$C35, $M$10:$M34,$D35&amp;"_"&amp;DH$9)/CV35)</f>
        <v>0</v>
      </c>
      <c r="DI35" s="263">
        <f ca="1">IF(CW35=0,0,SUMIFS($P$10:$P34, $C$10:$C34,"&lt;"&amp;$C35, $M$10:$M34,$D35&amp;"_"&amp;DI$9)/CW35)</f>
        <v>0</v>
      </c>
      <c r="DJ35" s="264">
        <f ca="1">IF(CX35=0,0,SUMIFS($P$10:$P34, $C$10:$C34,"&lt;"&amp;$C35, $M$10:$M34,$D35&amp;"_"&amp;DJ$9)/CX35)</f>
        <v>0</v>
      </c>
      <c r="DK35" s="264">
        <f ca="1">IF(CY35=0,0,SUMIFS($P$10:$P34, $C$10:$C34,"&lt;"&amp;$C35, $M$10:$M34,$D35&amp;"_"&amp;DK$9)/CY35)</f>
        <v>-1</v>
      </c>
      <c r="DM35" s="104"/>
      <c r="DN35" s="306">
        <f t="shared" ca="1" si="96"/>
        <v>-9999</v>
      </c>
      <c r="DO35" s="15">
        <f t="shared" ca="1" si="58"/>
        <v>-9999</v>
      </c>
      <c r="DP35" s="15">
        <f t="shared" ca="1" si="59"/>
        <v>-9999</v>
      </c>
      <c r="DQ35" s="15">
        <f t="shared" ca="1" si="60"/>
        <v>-9999</v>
      </c>
      <c r="DR35" s="15">
        <f t="shared" ca="1" si="61"/>
        <v>-9999</v>
      </c>
      <c r="DS35" s="15">
        <f t="shared" ca="1" si="62"/>
        <v>-9999</v>
      </c>
      <c r="DT35" s="15">
        <f t="shared" ca="1" si="63"/>
        <v>-9999</v>
      </c>
      <c r="DU35" s="15">
        <f t="shared" ca="1" si="64"/>
        <v>-9999</v>
      </c>
      <c r="DV35" s="52">
        <f t="shared" ca="1" si="65"/>
        <v>-9999</v>
      </c>
      <c r="DW35" s="313">
        <f t="shared" ca="1" si="66"/>
        <v>-0.80404082057734572</v>
      </c>
      <c r="DX35" s="52"/>
      <c r="DY35" s="402">
        <f t="shared" ca="1" si="97"/>
        <v>9</v>
      </c>
      <c r="ED35" s="19">
        <f t="shared" ca="1" si="67"/>
        <v>-1</v>
      </c>
      <c r="EE35" s="1">
        <f t="shared" ca="1" si="68"/>
        <v>1</v>
      </c>
      <c r="EF35" s="1">
        <f t="shared" ca="1" si="69"/>
        <v>-1</v>
      </c>
      <c r="EG35" s="2">
        <f t="shared" ca="1" si="70"/>
        <v>1</v>
      </c>
      <c r="EH35" s="1">
        <f t="shared" ca="1" si="71"/>
        <v>-1</v>
      </c>
      <c r="EI35" s="3">
        <f t="shared" ca="1" si="72"/>
        <v>1</v>
      </c>
      <c r="EJ35" s="1">
        <f t="shared" ca="1" si="73"/>
        <v>0</v>
      </c>
      <c r="EK35" s="1">
        <f t="shared" ca="1" si="74"/>
        <v>0</v>
      </c>
      <c r="EL35" s="20">
        <f t="shared" ca="1" si="75"/>
        <v>-1</v>
      </c>
      <c r="EN35" s="86">
        <f ca="1">MAX(0, SUMPRODUCT($ED35:$EL35,OFFSET(DNN!$E$9:$M$9,EN$9,0)) + OFFSET(DNN!$D$9,EN$9,0))</f>
        <v>0</v>
      </c>
      <c r="EO35" s="84">
        <f ca="1">MAX(0, SUMPRODUCT($ED35:$EL35,OFFSET(DNN!$E$9:$M$9,EO$9,0)) + OFFSET(DNN!$D$9,EO$9,0))</f>
        <v>7.2346022384755949E-3</v>
      </c>
      <c r="EP35" s="84">
        <f ca="1">MAX(0, SUMPRODUCT($ED35:$EL35,OFFSET(DNN!$E$9:$M$9,EP$9,0)) + OFFSET(DNN!$D$9,EP$9,0))</f>
        <v>3.6951849750035152E-3</v>
      </c>
      <c r="EQ35" s="84">
        <f ca="1">MAX(0, SUMPRODUCT($ED35:$EL35,OFFSET(DNN!$E$9:$M$9,EQ$9,0)) + OFFSET(DNN!$D$9,EQ$9,0))</f>
        <v>0</v>
      </c>
      <c r="ER35" s="85">
        <f ca="1">MAX(0, SUMPRODUCT($ED35:$EL35,OFFSET(DNN!$E$9:$M$9,ER$9,0)) + OFFSET(DNN!$D$9,ER$9,0))</f>
        <v>0</v>
      </c>
      <c r="ET35" s="86">
        <f ca="1">MAX(0, SUMPRODUCT($EN35:$ER35,OFFSET(DNN!$Q$9:$U$9,ET$9,0)) + OFFSET(DNN!$P$9,ET$9,0))</f>
        <v>4.3954959453478351E-4</v>
      </c>
      <c r="EU35" s="84">
        <f ca="1">MAX(0, SUMPRODUCT($EN35:$ER35,OFFSET(DNN!$Q$9:$U$9,EU$9,0)) + OFFSET(DNN!$P$9,EU$9,0))</f>
        <v>0</v>
      </c>
      <c r="EV35" s="84">
        <f ca="1">MAX(0, SUMPRODUCT($EN35:$ER35,OFFSET(DNN!$Q$9:$U$9,EV$9,0)) + OFFSET(DNN!$P$9,EV$9,0))</f>
        <v>1.2810123361902579E-3</v>
      </c>
      <c r="EW35" s="84">
        <f ca="1">MAX(0, SUMPRODUCT($EN35:$ER35,OFFSET(DNN!$Q$9:$U$9,EW$9,0)) + OFFSET(DNN!$P$9,EW$9,0))</f>
        <v>7.8382123007882457E-4</v>
      </c>
      <c r="EX35" s="85">
        <f ca="1">MAX(0, SUMPRODUCT($EN35:$ER35,OFFSET(DNN!$Q$9:$U$9,EX$9,0)) + OFFSET(DNN!$P$9,EX$9,0))</f>
        <v>0</v>
      </c>
      <c r="EZ35" s="111">
        <f ca="1">SUMPRODUCT($ET35:$EX35,OFFSET(DNN!$Y$9:$AC$9,EZ$9,0)) + OFFSET(DNN!$X$9,EZ$9,0)</f>
        <v>0.43031618918982212</v>
      </c>
      <c r="FA35" s="97">
        <f ca="1">SUMPRODUCT($ET35:$EX35,OFFSET(DNN!$Y$9:$AC$9,FA$9,0)) + OFFSET(DNN!$X$9,FA$9,0)</f>
        <v>-1.2643439935754107E-5</v>
      </c>
      <c r="FB35" s="97">
        <f ca="1">SUMPRODUCT($ET35:$EX35,OFFSET(DNN!$Y$9:$AC$9,FB$9,0)) + OFFSET(DNN!$X$9,FB$9,0)</f>
        <v>1.5239793458415756E-2</v>
      </c>
      <c r="FC35" s="97">
        <f ca="1">SUMPRODUCT($ET35:$EX35,OFFSET(DNN!$Y$9:$AC$9,FC$9,0)) + OFFSET(DNN!$X$9,FC$9,0)</f>
        <v>-8.8749521084055777E-4</v>
      </c>
      <c r="FD35" s="97">
        <f ca="1">SUMPRODUCT($ET35:$EX35,OFFSET(DNN!$Y$9:$AC$9,FD$9,0)) + OFFSET(DNN!$X$9,FD$9,0)</f>
        <v>-4.235816470721872E-4</v>
      </c>
      <c r="FE35" s="97">
        <f ca="1">SUMPRODUCT($ET35:$EX35,OFFSET(DNN!$Y$9:$AC$9,FE$9,0)) + OFFSET(DNN!$X$9,FE$9,0)</f>
        <v>-1.574182761064886E-5</v>
      </c>
      <c r="FF35" s="97">
        <f ca="1">SUMPRODUCT($ET35:$EX35,OFFSET(DNN!$Y$9:$AC$9,FF$9,0)) + OFFSET(DNN!$X$9,FF$9,0)</f>
        <v>-1.3491460223194656E-3</v>
      </c>
      <c r="FG35" s="97">
        <f ca="1">SUMPRODUCT($ET35:$EX35,OFFSET(DNN!$Y$9:$AC$9,FG$9,0)) + OFFSET(DNN!$X$9,FG$9,0)</f>
        <v>-6.2604808096248285E-2</v>
      </c>
      <c r="FH35" s="97">
        <f ca="1">SUMPRODUCT($ET35:$EX35,OFFSET(DNN!$Y$9:$AC$9,FH$9,0)) + OFFSET(DNN!$X$9,FH$9,0)</f>
        <v>8.6810016937029894E-4</v>
      </c>
      <c r="FI35" s="108">
        <f ca="1">SUMPRODUCT($ET35:$EX35,OFFSET(DNN!$Y$9:$AC$9,FI$9,0)) + OFFSET(DNN!$X$9,FI$9,0)</f>
        <v>-1.3182687612562751</v>
      </c>
      <c r="FJ35" s="98">
        <f ca="1">SUMPRODUCT($ET35:$EX35,OFFSET(DNN!$Y$9:$AC$9,FJ$9,0)) + OFFSET(DNN!$X$9,FJ$9,0)</f>
        <v>-2.2535161745939301E-5</v>
      </c>
      <c r="FL35" s="415">
        <f t="shared" ca="1" si="98"/>
        <v>0.43031618918982212</v>
      </c>
      <c r="FM35" s="130">
        <f t="shared" ca="1" si="99"/>
        <v>1</v>
      </c>
      <c r="FN35" s="131">
        <f t="shared" ca="1" si="100"/>
        <v>0.65029522127322903</v>
      </c>
      <c r="FO35" s="131">
        <f t="shared" ca="1" si="101"/>
        <v>0.66028983545318687</v>
      </c>
      <c r="FP35" s="131">
        <f t="shared" ca="1" si="102"/>
        <v>0.64972655813153501</v>
      </c>
      <c r="FQ35" s="131">
        <f t="shared" ca="1" si="103"/>
        <v>0.65002804502111444</v>
      </c>
      <c r="FR35" s="131">
        <f t="shared" ca="1" si="104"/>
        <v>0.65029320640965171</v>
      </c>
      <c r="FS35" s="131">
        <f t="shared" ca="1" si="105"/>
        <v>0.64942668056342145</v>
      </c>
      <c r="FT35" s="131">
        <f t="shared" ca="1" si="106"/>
        <v>0.61083952513994022</v>
      </c>
      <c r="FU35" s="132">
        <f t="shared" ca="1" si="107"/>
        <v>0.6508682169276182</v>
      </c>
      <c r="FV35" s="131">
        <f t="shared" ca="1" si="108"/>
        <v>0.17402001625314881</v>
      </c>
      <c r="FW35" s="83">
        <f t="shared" ca="1" si="109"/>
        <v>-2.2535161742124597E-5</v>
      </c>
    </row>
    <row r="36" spans="1:179">
      <c r="A36" s="19">
        <f t="shared" si="117"/>
        <v>26</v>
      </c>
      <c r="B36" s="1">
        <f t="shared" ca="1" si="111"/>
        <v>0</v>
      </c>
      <c r="C36" s="20">
        <f t="shared" ca="1" si="112"/>
        <v>26</v>
      </c>
      <c r="D36" s="19" t="str">
        <f t="shared" ca="1" si="113"/>
        <v>〇×〇×〇×--〇</v>
      </c>
      <c r="E36" s="7">
        <f t="shared" ca="1" si="77"/>
        <v>9</v>
      </c>
      <c r="F36" s="7">
        <f t="shared" ca="1" si="78"/>
        <v>1</v>
      </c>
      <c r="G36" s="1" t="str">
        <f t="shared" ca="1" si="116"/>
        <v>〇×〇×〇×--〇</v>
      </c>
      <c r="H36" s="20" t="b">
        <f t="shared" ca="1" si="80"/>
        <v>1</v>
      </c>
      <c r="I36" s="22">
        <f t="shared" ca="1" si="114"/>
        <v>-1</v>
      </c>
      <c r="J36" s="1" t="b">
        <f ca="1">(1&lt;COUNTIF(D$10:D36,D36))</f>
        <v>1</v>
      </c>
      <c r="K36" s="1" t="b">
        <f t="shared" ca="1" si="81"/>
        <v>1</v>
      </c>
      <c r="L36" s="7">
        <f ca="1">MATCH(TRUE,K36:K$1048576,FALSE)-1</f>
        <v>0</v>
      </c>
      <c r="M36" s="24" t="str">
        <f t="shared" ca="1" si="13"/>
        <v>〇×〇×〇×--〇_9</v>
      </c>
      <c r="N36" s="25">
        <f t="shared" ca="1" si="82"/>
        <v>-2.2535161742124597E-5</v>
      </c>
      <c r="O36" s="26">
        <f t="shared" ca="1" si="83"/>
        <v>-1</v>
      </c>
      <c r="P36" s="27">
        <f t="shared" ca="1" si="84"/>
        <v>-1</v>
      </c>
      <c r="R36" s="41" t="str">
        <f ca="1">VLOOKUP(S36,cvt!$B$2:$C$4,2,FALSE)&amp;VLOOKUP(T36,cvt!$B$2:$C$4,2,FALSE)&amp;VLOOKUP(U36,cvt!$B$2:$C$4,2,FALSE)
&amp;VLOOKUP(V36,cvt!$B$2:$C$4,2,FALSE)&amp;VLOOKUP(W36,cvt!$B$2:$C$4,2,FALSE)&amp;VLOOKUP(X36,cvt!$B$2:$C$4,2,FALSE)
&amp;VLOOKUP(Y36,cvt!$B$2:$C$4,2,FALSE)&amp;VLOOKUP(Z36,cvt!$B$2:$C$4,2,FALSE)&amp;VLOOKUP(AA36,cvt!$B$2:$C$4,2,FALSE)</f>
        <v>〇×〇×〇×--〇</v>
      </c>
      <c r="S36" s="7">
        <f ca="1">VLOOKUP(MID($D36,S$9+1,1), cvt!$A$2:$B$4,2, FALSE)</f>
        <v>1</v>
      </c>
      <c r="T36" s="7">
        <f ca="1">VLOOKUP(MID($D36,T$9+1,1), cvt!$A$2:$B$4,2, FALSE)</f>
        <v>-1</v>
      </c>
      <c r="U36" s="7">
        <f ca="1">VLOOKUP(MID($D36,U$9+1,1), cvt!$A$2:$B$4,2, FALSE)</f>
        <v>1</v>
      </c>
      <c r="V36" s="17">
        <f ca="1">VLOOKUP(MID($D36,V$9+1,1), cvt!$A$2:$B$4,2, FALSE)</f>
        <v>-1</v>
      </c>
      <c r="W36" s="7">
        <f ca="1">VLOOKUP(MID($D36,W$9+1,1), cvt!$A$2:$B$4,2, FALSE)</f>
        <v>1</v>
      </c>
      <c r="X36" s="18">
        <f ca="1">VLOOKUP(MID($D36,X$9+1,1), cvt!$A$2:$B$4,2, FALSE)</f>
        <v>-1</v>
      </c>
      <c r="Y36" s="7">
        <f ca="1">VLOOKUP(MID($D36,Y$9+1,1), cvt!$A$2:$B$4,2, FALSE)</f>
        <v>0</v>
      </c>
      <c r="Z36" s="7">
        <f ca="1">VLOOKUP(MID($D36,Z$9+1,1), cvt!$A$2:$B$4,2, FALSE)</f>
        <v>0</v>
      </c>
      <c r="AA36" s="42">
        <f ca="1">VLOOKUP(MID($D36,AA$9+1,1), cvt!$A$2:$B$4,2, FALSE)</f>
        <v>1</v>
      </c>
      <c r="AB36" s="7">
        <f t="shared" ca="1" si="85"/>
        <v>1</v>
      </c>
      <c r="AC36" s="50" t="b">
        <f t="shared" ca="1" si="86"/>
        <v>1</v>
      </c>
      <c r="AE36" s="19" t="str">
        <f ca="1">VLOOKUP(AF36,cvt!$B$2:$C$4,2,FALSE)&amp;VLOOKUP(AG36,cvt!$B$2:$C$4,2,FALSE)&amp;VLOOKUP(AH36,cvt!$B$2:$C$4,2,FALSE)
&amp;VLOOKUP(AI36,cvt!$B$2:$C$4,2,FALSE)&amp;VLOOKUP(AJ36,cvt!$B$2:$C$4,2,FALSE)&amp;VLOOKUP(AK36,cvt!$B$2:$C$4,2,FALSE)
&amp;VLOOKUP(AL36,cvt!$B$2:$C$4,2,FALSE)&amp;VLOOKUP(AM36,cvt!$B$2:$C$4,2,FALSE)&amp;VLOOKUP(AN36,cvt!$B$2:$C$4,2,FALSE)</f>
        <v>〇×〇×〇×--〇</v>
      </c>
      <c r="AF36" s="17">
        <f t="shared" ca="1" si="14"/>
        <v>1</v>
      </c>
      <c r="AG36" s="7">
        <f t="shared" ca="1" si="15"/>
        <v>-1</v>
      </c>
      <c r="AH36" s="7">
        <f t="shared" ca="1" si="16"/>
        <v>1</v>
      </c>
      <c r="AI36" s="17">
        <f t="shared" ca="1" si="17"/>
        <v>-1</v>
      </c>
      <c r="AJ36" s="7">
        <f t="shared" ca="1" si="18"/>
        <v>1</v>
      </c>
      <c r="AK36" s="18">
        <f t="shared" ca="1" si="19"/>
        <v>-1</v>
      </c>
      <c r="AL36" s="7">
        <f t="shared" ca="1" si="20"/>
        <v>0</v>
      </c>
      <c r="AM36" s="7">
        <f t="shared" ca="1" si="21"/>
        <v>0</v>
      </c>
      <c r="AN36" s="18">
        <f t="shared" ca="1" si="22"/>
        <v>1</v>
      </c>
      <c r="AO36" s="7">
        <f t="shared" ca="1" si="115"/>
        <v>1</v>
      </c>
      <c r="AP36" s="50" t="b">
        <f t="shared" ca="1" si="87"/>
        <v>1</v>
      </c>
      <c r="AS36" s="22">
        <f t="shared" ca="1" si="88"/>
        <v>0</v>
      </c>
      <c r="AT36" s="7">
        <f t="shared" ca="1" si="23"/>
        <v>0</v>
      </c>
      <c r="AU36" s="7">
        <f t="shared" ca="1" si="24"/>
        <v>0</v>
      </c>
      <c r="AV36" s="7">
        <f t="shared" ca="1" si="25"/>
        <v>0</v>
      </c>
      <c r="AW36" s="7">
        <f t="shared" ca="1" si="26"/>
        <v>0</v>
      </c>
      <c r="AX36" s="7">
        <f t="shared" ca="1" si="27"/>
        <v>0</v>
      </c>
      <c r="AY36" s="7">
        <f t="shared" ca="1" si="28"/>
        <v>0</v>
      </c>
      <c r="AZ36" s="7">
        <f t="shared" ca="1" si="29"/>
        <v>0</v>
      </c>
      <c r="BA36" s="18">
        <f t="shared" ca="1" si="30"/>
        <v>0</v>
      </c>
      <c r="BB36" s="295">
        <f t="shared" ca="1" si="89"/>
        <v>1</v>
      </c>
      <c r="BD36" s="132"/>
      <c r="BE36" s="297">
        <f t="shared" ca="1" si="90"/>
        <v>1</v>
      </c>
      <c r="BF36" s="298">
        <f t="shared" ca="1" si="31"/>
        <v>0.65029522127322903</v>
      </c>
      <c r="BG36" s="298">
        <f t="shared" ca="1" si="32"/>
        <v>0.66028983545318687</v>
      </c>
      <c r="BH36" s="318">
        <f t="shared" ca="1" si="33"/>
        <v>0.64972655813153501</v>
      </c>
      <c r="BI36" s="298">
        <f t="shared" ca="1" si="34"/>
        <v>0.65002804502111444</v>
      </c>
      <c r="BJ36" s="299">
        <f t="shared" ca="1" si="35"/>
        <v>0.65029320640965171</v>
      </c>
      <c r="BK36" s="298">
        <f t="shared" ca="1" si="36"/>
        <v>0.64942668056342145</v>
      </c>
      <c r="BL36" s="298">
        <f t="shared" ca="1" si="37"/>
        <v>0.61083952513994022</v>
      </c>
      <c r="BM36" s="299">
        <f t="shared" ca="1" si="38"/>
        <v>0.6508682169276182</v>
      </c>
      <c r="BN36" s="295">
        <f t="shared" ca="1" si="39"/>
        <v>0.17402001625314881</v>
      </c>
      <c r="BO36" s="248">
        <f t="shared" ca="1" si="91"/>
        <v>-2.2535161742124597E-5</v>
      </c>
      <c r="BQ36" s="304">
        <f t="shared" ca="1" si="92"/>
        <v>0.42412001625314877</v>
      </c>
      <c r="BR36" s="297">
        <f t="shared" ca="1" si="93"/>
        <v>0</v>
      </c>
      <c r="BS36" s="298">
        <f t="shared" ca="1" si="40"/>
        <v>0</v>
      </c>
      <c r="BT36" s="298">
        <f t="shared" ca="1" si="41"/>
        <v>0</v>
      </c>
      <c r="BU36" s="318">
        <f t="shared" ca="1" si="42"/>
        <v>0</v>
      </c>
      <c r="BV36" s="298">
        <f t="shared" ca="1" si="43"/>
        <v>0</v>
      </c>
      <c r="BW36" s="299">
        <f t="shared" ca="1" si="44"/>
        <v>0</v>
      </c>
      <c r="BX36" s="298">
        <f t="shared" ca="1" si="45"/>
        <v>0</v>
      </c>
      <c r="BY36" s="298">
        <f t="shared" ca="1" si="46"/>
        <v>0</v>
      </c>
      <c r="BZ36" s="298">
        <f t="shared" ca="1" si="47"/>
        <v>0</v>
      </c>
      <c r="CA36" s="315">
        <f t="shared" ca="1" si="48"/>
        <v>0.42412001625314877</v>
      </c>
      <c r="CC36" s="52"/>
      <c r="CD36" s="306">
        <f t="shared" ca="1" si="94"/>
        <v>0</v>
      </c>
      <c r="CE36" s="15">
        <f t="shared" ca="1" si="49"/>
        <v>0</v>
      </c>
      <c r="CF36" s="15">
        <f t="shared" ca="1" si="50"/>
        <v>0</v>
      </c>
      <c r="CG36" s="286">
        <f t="shared" ca="1" si="51"/>
        <v>0</v>
      </c>
      <c r="CH36" s="15">
        <f t="shared" ca="1" si="52"/>
        <v>0</v>
      </c>
      <c r="CI36" s="288">
        <f t="shared" ca="1" si="53"/>
        <v>0</v>
      </c>
      <c r="CJ36" s="15">
        <f t="shared" ca="1" si="54"/>
        <v>0</v>
      </c>
      <c r="CK36" s="15">
        <f t="shared" ca="1" si="55"/>
        <v>0</v>
      </c>
      <c r="CL36" s="15">
        <f t="shared" ca="1" si="56"/>
        <v>0</v>
      </c>
      <c r="CM36" s="313">
        <f t="shared" ca="1" si="57"/>
        <v>1</v>
      </c>
      <c r="CO36" s="320">
        <f t="shared" ca="1" si="95"/>
        <v>25</v>
      </c>
      <c r="CP36" s="22">
        <f ca="1">COUNTIFS($C$10:$C35,"&lt;"&amp;$C36,$M$10:$M35,$D36&amp;"_"&amp;CP$9)</f>
        <v>0</v>
      </c>
      <c r="CQ36" s="7">
        <f ca="1">COUNTIFS($C$10:$C35,"&lt;"&amp;$C36,$M$10:$M35,$D36&amp;"_"&amp;CQ$9)</f>
        <v>0</v>
      </c>
      <c r="CR36" s="7">
        <f ca="1">COUNTIFS($C$10:$C35,"&lt;"&amp;$C36,$M$10:$M35,$D36&amp;"_"&amp;CR$9)</f>
        <v>0</v>
      </c>
      <c r="CS36" s="17">
        <f ca="1">COUNTIFS($C$10:$C35,"&lt;"&amp;$C36,$M$10:$M35,$D36&amp;"_"&amp;CS$9)</f>
        <v>0</v>
      </c>
      <c r="CT36" s="7">
        <f ca="1">COUNTIFS($C$10:$C35,"&lt;"&amp;$C36,$M$10:$M35,$D36&amp;"_"&amp;CT$9)</f>
        <v>0</v>
      </c>
      <c r="CU36" s="18">
        <f ca="1">COUNTIFS($C$10:$C35,"&lt;"&amp;$C36,$M$10:$M35,$D36&amp;"_"&amp;CU$9)</f>
        <v>0</v>
      </c>
      <c r="CV36" s="7">
        <f ca="1">COUNTIFS($C$10:$C35,"&lt;"&amp;$C36,$M$10:$M35,$D36&amp;"_"&amp;CV$9)</f>
        <v>0</v>
      </c>
      <c r="CW36" s="7">
        <f ca="1">COUNTIFS($C$10:$C35,"&lt;"&amp;$C36,$M$10:$M35,$D36&amp;"_"&amp;CW$9)</f>
        <v>0</v>
      </c>
      <c r="CX36" s="7">
        <f ca="1">COUNTIFS($C$10:$C35,"&lt;"&amp;$C36,$M$10:$M35,$D36&amp;"_"&amp;CX$9)</f>
        <v>0</v>
      </c>
      <c r="CY36" s="221">
        <f ca="1">COUNTIFS($C$10:$C35,"&lt;"&amp;$C36,$M$10:$M35,$D36&amp;"_"&amp;CY$9)</f>
        <v>25</v>
      </c>
      <c r="DA36" s="20"/>
      <c r="DB36" s="308">
        <f ca="1">IF(CP36=0,0,SUMIFS($P$10:$P35, $C$10:$C35,"&lt;"&amp;$C36, $M$10:$M35,$D36&amp;"_"&amp;DB$9)/CP36)</f>
        <v>0</v>
      </c>
      <c r="DC36" s="263">
        <f ca="1">IF(CQ36=0,0,SUMIFS($P$10:$P35, $C$10:$C35,"&lt;"&amp;$C36, $M$10:$M35,$D36&amp;"_"&amp;DC$9)/CQ36)</f>
        <v>0</v>
      </c>
      <c r="DD36" s="263">
        <f ca="1">IF(CR36=0,0,SUMIFS($P$10:$P35, $C$10:$C35,"&lt;"&amp;$C36, $M$10:$M35,$D36&amp;"_"&amp;DD$9)/CR36)</f>
        <v>0</v>
      </c>
      <c r="DE36" s="262">
        <f ca="1">IF(CS36=0,0,SUMIFS($P$10:$P35, $C$10:$C35,"&lt;"&amp;$C36, $M$10:$M35,$D36&amp;"_"&amp;DE$9)/CS36)</f>
        <v>0</v>
      </c>
      <c r="DF36" s="263">
        <f ca="1">IF(CT36=0,0,SUMIFS($P$10:$P35, $C$10:$C35,"&lt;"&amp;$C36, $M$10:$M35,$D36&amp;"_"&amp;DF$9)/CT36)</f>
        <v>0</v>
      </c>
      <c r="DG36" s="310">
        <f ca="1">IF(CU36=0,0,SUMIFS($P$10:$P35, $C$10:$C35,"&lt;"&amp;$C36, $M$10:$M35,$D36&amp;"_"&amp;DG$9)/CU36)</f>
        <v>0</v>
      </c>
      <c r="DH36" s="263">
        <f ca="1">IF(CV36=0,0,SUMIFS($P$10:$P35, $C$10:$C35,"&lt;"&amp;$C36, $M$10:$M35,$D36&amp;"_"&amp;DH$9)/CV36)</f>
        <v>0</v>
      </c>
      <c r="DI36" s="263">
        <f ca="1">IF(CW36=0,0,SUMIFS($P$10:$P35, $C$10:$C35,"&lt;"&amp;$C36, $M$10:$M35,$D36&amp;"_"&amp;DI$9)/CW36)</f>
        <v>0</v>
      </c>
      <c r="DJ36" s="264">
        <f ca="1">IF(CX36=0,0,SUMIFS($P$10:$P35, $C$10:$C35,"&lt;"&amp;$C36, $M$10:$M35,$D36&amp;"_"&amp;DJ$9)/CX36)</f>
        <v>0</v>
      </c>
      <c r="DK36" s="264">
        <f ca="1">IF(CY36=0,0,SUMIFS($P$10:$P35, $C$10:$C35,"&lt;"&amp;$C36, $M$10:$M35,$D36&amp;"_"&amp;DK$9)/CY36)</f>
        <v>-1</v>
      </c>
      <c r="DM36" s="104"/>
      <c r="DN36" s="306">
        <f t="shared" ca="1" si="96"/>
        <v>-9999</v>
      </c>
      <c r="DO36" s="15">
        <f t="shared" ca="1" si="58"/>
        <v>-9999</v>
      </c>
      <c r="DP36" s="15">
        <f t="shared" ca="1" si="59"/>
        <v>-9999</v>
      </c>
      <c r="DQ36" s="15">
        <f t="shared" ca="1" si="60"/>
        <v>-9999</v>
      </c>
      <c r="DR36" s="15">
        <f t="shared" ca="1" si="61"/>
        <v>-9999</v>
      </c>
      <c r="DS36" s="15">
        <f t="shared" ca="1" si="62"/>
        <v>-9999</v>
      </c>
      <c r="DT36" s="15">
        <f t="shared" ca="1" si="63"/>
        <v>-9999</v>
      </c>
      <c r="DU36" s="15">
        <f t="shared" ca="1" si="64"/>
        <v>-9999</v>
      </c>
      <c r="DV36" s="52">
        <f t="shared" ca="1" si="65"/>
        <v>-9999</v>
      </c>
      <c r="DW36" s="313">
        <f t="shared" ca="1" si="66"/>
        <v>-0.80769230769230771</v>
      </c>
      <c r="DX36" s="52"/>
      <c r="DY36" s="402">
        <f t="shared" ca="1" si="97"/>
        <v>9</v>
      </c>
      <c r="ED36" s="19">
        <f t="shared" ca="1" si="67"/>
        <v>-1</v>
      </c>
      <c r="EE36" s="1">
        <f t="shared" ca="1" si="68"/>
        <v>1</v>
      </c>
      <c r="EF36" s="1">
        <f t="shared" ca="1" si="69"/>
        <v>-1</v>
      </c>
      <c r="EG36" s="2">
        <f t="shared" ca="1" si="70"/>
        <v>1</v>
      </c>
      <c r="EH36" s="1">
        <f t="shared" ca="1" si="71"/>
        <v>-1</v>
      </c>
      <c r="EI36" s="3">
        <f t="shared" ca="1" si="72"/>
        <v>1</v>
      </c>
      <c r="EJ36" s="1">
        <f t="shared" ca="1" si="73"/>
        <v>0</v>
      </c>
      <c r="EK36" s="1">
        <f t="shared" ca="1" si="74"/>
        <v>0</v>
      </c>
      <c r="EL36" s="20">
        <f t="shared" ca="1" si="75"/>
        <v>-1</v>
      </c>
      <c r="EN36" s="86">
        <f ca="1">MAX(0, SUMPRODUCT($ED36:$EL36,OFFSET(DNN!$E$9:$M$9,EN$9,0)) + OFFSET(DNN!$D$9,EN$9,0))</f>
        <v>0</v>
      </c>
      <c r="EO36" s="84">
        <f ca="1">MAX(0, SUMPRODUCT($ED36:$EL36,OFFSET(DNN!$E$9:$M$9,EO$9,0)) + OFFSET(DNN!$D$9,EO$9,0))</f>
        <v>7.2346022384755949E-3</v>
      </c>
      <c r="EP36" s="84">
        <f ca="1">MAX(0, SUMPRODUCT($ED36:$EL36,OFFSET(DNN!$E$9:$M$9,EP$9,0)) + OFFSET(DNN!$D$9,EP$9,0))</f>
        <v>3.6951849750035152E-3</v>
      </c>
      <c r="EQ36" s="84">
        <f ca="1">MAX(0, SUMPRODUCT($ED36:$EL36,OFFSET(DNN!$E$9:$M$9,EQ$9,0)) + OFFSET(DNN!$D$9,EQ$9,0))</f>
        <v>0</v>
      </c>
      <c r="ER36" s="85">
        <f ca="1">MAX(0, SUMPRODUCT($ED36:$EL36,OFFSET(DNN!$E$9:$M$9,ER$9,0)) + OFFSET(DNN!$D$9,ER$9,0))</f>
        <v>0</v>
      </c>
      <c r="ET36" s="86">
        <f ca="1">MAX(0, SUMPRODUCT($EN36:$ER36,OFFSET(DNN!$Q$9:$U$9,ET$9,0)) + OFFSET(DNN!$P$9,ET$9,0))</f>
        <v>4.3954959453478351E-4</v>
      </c>
      <c r="EU36" s="84">
        <f ca="1">MAX(0, SUMPRODUCT($EN36:$ER36,OFFSET(DNN!$Q$9:$U$9,EU$9,0)) + OFFSET(DNN!$P$9,EU$9,0))</f>
        <v>0</v>
      </c>
      <c r="EV36" s="84">
        <f ca="1">MAX(0, SUMPRODUCT($EN36:$ER36,OFFSET(DNN!$Q$9:$U$9,EV$9,0)) + OFFSET(DNN!$P$9,EV$9,0))</f>
        <v>1.2810123361902579E-3</v>
      </c>
      <c r="EW36" s="84">
        <f ca="1">MAX(0, SUMPRODUCT($EN36:$ER36,OFFSET(DNN!$Q$9:$U$9,EW$9,0)) + OFFSET(DNN!$P$9,EW$9,0))</f>
        <v>7.8382123007882457E-4</v>
      </c>
      <c r="EX36" s="85">
        <f ca="1">MAX(0, SUMPRODUCT($EN36:$ER36,OFFSET(DNN!$Q$9:$U$9,EX$9,0)) + OFFSET(DNN!$P$9,EX$9,0))</f>
        <v>0</v>
      </c>
      <c r="EZ36" s="111">
        <f ca="1">SUMPRODUCT($ET36:$EX36,OFFSET(DNN!$Y$9:$AC$9,EZ$9,0)) + OFFSET(DNN!$X$9,EZ$9,0)</f>
        <v>0.43031618918982212</v>
      </c>
      <c r="FA36" s="97">
        <f ca="1">SUMPRODUCT($ET36:$EX36,OFFSET(DNN!$Y$9:$AC$9,FA$9,0)) + OFFSET(DNN!$X$9,FA$9,0)</f>
        <v>-1.2643439935754107E-5</v>
      </c>
      <c r="FB36" s="97">
        <f ca="1">SUMPRODUCT($ET36:$EX36,OFFSET(DNN!$Y$9:$AC$9,FB$9,0)) + OFFSET(DNN!$X$9,FB$9,0)</f>
        <v>1.5239793458415756E-2</v>
      </c>
      <c r="FC36" s="97">
        <f ca="1">SUMPRODUCT($ET36:$EX36,OFFSET(DNN!$Y$9:$AC$9,FC$9,0)) + OFFSET(DNN!$X$9,FC$9,0)</f>
        <v>-8.8749521084055777E-4</v>
      </c>
      <c r="FD36" s="97">
        <f ca="1">SUMPRODUCT($ET36:$EX36,OFFSET(DNN!$Y$9:$AC$9,FD$9,0)) + OFFSET(DNN!$X$9,FD$9,0)</f>
        <v>-4.235816470721872E-4</v>
      </c>
      <c r="FE36" s="97">
        <f ca="1">SUMPRODUCT($ET36:$EX36,OFFSET(DNN!$Y$9:$AC$9,FE$9,0)) + OFFSET(DNN!$X$9,FE$9,0)</f>
        <v>-1.574182761064886E-5</v>
      </c>
      <c r="FF36" s="97">
        <f ca="1">SUMPRODUCT($ET36:$EX36,OFFSET(DNN!$Y$9:$AC$9,FF$9,0)) + OFFSET(DNN!$X$9,FF$9,0)</f>
        <v>-1.3491460223194656E-3</v>
      </c>
      <c r="FG36" s="97">
        <f ca="1">SUMPRODUCT($ET36:$EX36,OFFSET(DNN!$Y$9:$AC$9,FG$9,0)) + OFFSET(DNN!$X$9,FG$9,0)</f>
        <v>-6.2604808096248285E-2</v>
      </c>
      <c r="FH36" s="97">
        <f ca="1">SUMPRODUCT($ET36:$EX36,OFFSET(DNN!$Y$9:$AC$9,FH$9,0)) + OFFSET(DNN!$X$9,FH$9,0)</f>
        <v>8.6810016937029894E-4</v>
      </c>
      <c r="FI36" s="108">
        <f ca="1">SUMPRODUCT($ET36:$EX36,OFFSET(DNN!$Y$9:$AC$9,FI$9,0)) + OFFSET(DNN!$X$9,FI$9,0)</f>
        <v>-1.3182687612562751</v>
      </c>
      <c r="FJ36" s="98">
        <f ca="1">SUMPRODUCT($ET36:$EX36,OFFSET(DNN!$Y$9:$AC$9,FJ$9,0)) + OFFSET(DNN!$X$9,FJ$9,0)</f>
        <v>-2.2535161745939301E-5</v>
      </c>
      <c r="FL36" s="415">
        <f t="shared" ca="1" si="98"/>
        <v>0.43031618918982212</v>
      </c>
      <c r="FM36" s="130">
        <f t="shared" ca="1" si="99"/>
        <v>1</v>
      </c>
      <c r="FN36" s="131">
        <f t="shared" ca="1" si="100"/>
        <v>0.65029522127322903</v>
      </c>
      <c r="FO36" s="131">
        <f t="shared" ca="1" si="101"/>
        <v>0.66028983545318687</v>
      </c>
      <c r="FP36" s="131">
        <f t="shared" ca="1" si="102"/>
        <v>0.64972655813153501</v>
      </c>
      <c r="FQ36" s="131">
        <f t="shared" ca="1" si="103"/>
        <v>0.65002804502111444</v>
      </c>
      <c r="FR36" s="131">
        <f t="shared" ca="1" si="104"/>
        <v>0.65029320640965171</v>
      </c>
      <c r="FS36" s="131">
        <f t="shared" ca="1" si="105"/>
        <v>0.64942668056342145</v>
      </c>
      <c r="FT36" s="131">
        <f t="shared" ca="1" si="106"/>
        <v>0.61083952513994022</v>
      </c>
      <c r="FU36" s="132">
        <f t="shared" ca="1" si="107"/>
        <v>0.6508682169276182</v>
      </c>
      <c r="FV36" s="131">
        <f t="shared" ca="1" si="108"/>
        <v>0.17402001625314881</v>
      </c>
      <c r="FW36" s="83">
        <f t="shared" ca="1" si="109"/>
        <v>-2.2535161742124597E-5</v>
      </c>
    </row>
    <row r="37" spans="1:179">
      <c r="A37" s="19">
        <f t="shared" si="117"/>
        <v>27</v>
      </c>
      <c r="B37" s="1">
        <f t="shared" ca="1" si="111"/>
        <v>0</v>
      </c>
      <c r="C37" s="20">
        <f t="shared" ca="1" si="112"/>
        <v>27</v>
      </c>
      <c r="D37" s="19" t="str">
        <f t="shared" ca="1" si="113"/>
        <v>〇×〇×〇×--〇</v>
      </c>
      <c r="E37" s="7">
        <f t="shared" ca="1" si="77"/>
        <v>9</v>
      </c>
      <c r="F37" s="7">
        <f t="shared" ca="1" si="78"/>
        <v>1</v>
      </c>
      <c r="G37" s="1" t="str">
        <f t="shared" ca="1" si="116"/>
        <v>〇×〇×〇×--〇</v>
      </c>
      <c r="H37" s="20" t="b">
        <f t="shared" ca="1" si="80"/>
        <v>1</v>
      </c>
      <c r="I37" s="22">
        <f t="shared" ca="1" si="114"/>
        <v>-1</v>
      </c>
      <c r="J37" s="1" t="b">
        <f ca="1">(1&lt;COUNTIF(D$10:D37,D37))</f>
        <v>1</v>
      </c>
      <c r="K37" s="1" t="b">
        <f t="shared" ca="1" si="81"/>
        <v>1</v>
      </c>
      <c r="L37" s="7">
        <f ca="1">MATCH(TRUE,K37:K$1048576,FALSE)-1</f>
        <v>0</v>
      </c>
      <c r="M37" s="24" t="str">
        <f t="shared" ca="1" si="13"/>
        <v>〇×〇×〇×--〇_9</v>
      </c>
      <c r="N37" s="25">
        <f t="shared" ca="1" si="82"/>
        <v>-2.2535161742124597E-5</v>
      </c>
      <c r="O37" s="26">
        <f t="shared" ca="1" si="83"/>
        <v>-1</v>
      </c>
      <c r="P37" s="27">
        <f t="shared" ca="1" si="84"/>
        <v>-1</v>
      </c>
      <c r="R37" s="41" t="str">
        <f ca="1">VLOOKUP(S37,cvt!$B$2:$C$4,2,FALSE)&amp;VLOOKUP(T37,cvt!$B$2:$C$4,2,FALSE)&amp;VLOOKUP(U37,cvt!$B$2:$C$4,2,FALSE)
&amp;VLOOKUP(V37,cvt!$B$2:$C$4,2,FALSE)&amp;VLOOKUP(W37,cvt!$B$2:$C$4,2,FALSE)&amp;VLOOKUP(X37,cvt!$B$2:$C$4,2,FALSE)
&amp;VLOOKUP(Y37,cvt!$B$2:$C$4,2,FALSE)&amp;VLOOKUP(Z37,cvt!$B$2:$C$4,2,FALSE)&amp;VLOOKUP(AA37,cvt!$B$2:$C$4,2,FALSE)</f>
        <v>〇×〇×〇×--〇</v>
      </c>
      <c r="S37" s="7">
        <f ca="1">VLOOKUP(MID($D37,S$9+1,1), cvt!$A$2:$B$4,2, FALSE)</f>
        <v>1</v>
      </c>
      <c r="T37" s="7">
        <f ca="1">VLOOKUP(MID($D37,T$9+1,1), cvt!$A$2:$B$4,2, FALSE)</f>
        <v>-1</v>
      </c>
      <c r="U37" s="7">
        <f ca="1">VLOOKUP(MID($D37,U$9+1,1), cvt!$A$2:$B$4,2, FALSE)</f>
        <v>1</v>
      </c>
      <c r="V37" s="17">
        <f ca="1">VLOOKUP(MID($D37,V$9+1,1), cvt!$A$2:$B$4,2, FALSE)</f>
        <v>-1</v>
      </c>
      <c r="W37" s="7">
        <f ca="1">VLOOKUP(MID($D37,W$9+1,1), cvt!$A$2:$B$4,2, FALSE)</f>
        <v>1</v>
      </c>
      <c r="X37" s="18">
        <f ca="1">VLOOKUP(MID($D37,X$9+1,1), cvt!$A$2:$B$4,2, FALSE)</f>
        <v>-1</v>
      </c>
      <c r="Y37" s="7">
        <f ca="1">VLOOKUP(MID($D37,Y$9+1,1), cvt!$A$2:$B$4,2, FALSE)</f>
        <v>0</v>
      </c>
      <c r="Z37" s="7">
        <f ca="1">VLOOKUP(MID($D37,Z$9+1,1), cvt!$A$2:$B$4,2, FALSE)</f>
        <v>0</v>
      </c>
      <c r="AA37" s="42">
        <f ca="1">VLOOKUP(MID($D37,AA$9+1,1), cvt!$A$2:$B$4,2, FALSE)</f>
        <v>1</v>
      </c>
      <c r="AB37" s="7">
        <f t="shared" ca="1" si="85"/>
        <v>1</v>
      </c>
      <c r="AC37" s="50" t="b">
        <f t="shared" ca="1" si="86"/>
        <v>1</v>
      </c>
      <c r="AE37" s="19" t="str">
        <f ca="1">VLOOKUP(AF37,cvt!$B$2:$C$4,2,FALSE)&amp;VLOOKUP(AG37,cvt!$B$2:$C$4,2,FALSE)&amp;VLOOKUP(AH37,cvt!$B$2:$C$4,2,FALSE)
&amp;VLOOKUP(AI37,cvt!$B$2:$C$4,2,FALSE)&amp;VLOOKUP(AJ37,cvt!$B$2:$C$4,2,FALSE)&amp;VLOOKUP(AK37,cvt!$B$2:$C$4,2,FALSE)
&amp;VLOOKUP(AL37,cvt!$B$2:$C$4,2,FALSE)&amp;VLOOKUP(AM37,cvt!$B$2:$C$4,2,FALSE)&amp;VLOOKUP(AN37,cvt!$B$2:$C$4,2,FALSE)</f>
        <v>〇×〇×〇×--〇</v>
      </c>
      <c r="AF37" s="17">
        <f t="shared" ca="1" si="14"/>
        <v>1</v>
      </c>
      <c r="AG37" s="7">
        <f t="shared" ca="1" si="15"/>
        <v>-1</v>
      </c>
      <c r="AH37" s="7">
        <f t="shared" ca="1" si="16"/>
        <v>1</v>
      </c>
      <c r="AI37" s="17">
        <f t="shared" ca="1" si="17"/>
        <v>-1</v>
      </c>
      <c r="AJ37" s="7">
        <f t="shared" ca="1" si="18"/>
        <v>1</v>
      </c>
      <c r="AK37" s="18">
        <f t="shared" ca="1" si="19"/>
        <v>-1</v>
      </c>
      <c r="AL37" s="7">
        <f t="shared" ca="1" si="20"/>
        <v>0</v>
      </c>
      <c r="AM37" s="7">
        <f t="shared" ca="1" si="21"/>
        <v>0</v>
      </c>
      <c r="AN37" s="18">
        <f t="shared" ca="1" si="22"/>
        <v>1</v>
      </c>
      <c r="AO37" s="7">
        <f t="shared" ca="1" si="115"/>
        <v>1</v>
      </c>
      <c r="AP37" s="50" t="b">
        <f t="shared" ca="1" si="87"/>
        <v>1</v>
      </c>
      <c r="AS37" s="22">
        <f t="shared" ca="1" si="88"/>
        <v>0</v>
      </c>
      <c r="AT37" s="7">
        <f t="shared" ca="1" si="23"/>
        <v>0</v>
      </c>
      <c r="AU37" s="7">
        <f t="shared" ca="1" si="24"/>
        <v>0</v>
      </c>
      <c r="AV37" s="7">
        <f t="shared" ca="1" si="25"/>
        <v>0</v>
      </c>
      <c r="AW37" s="7">
        <f t="shared" ca="1" si="26"/>
        <v>0</v>
      </c>
      <c r="AX37" s="7">
        <f t="shared" ca="1" si="27"/>
        <v>0</v>
      </c>
      <c r="AY37" s="7">
        <f t="shared" ca="1" si="28"/>
        <v>0</v>
      </c>
      <c r="AZ37" s="7">
        <f t="shared" ca="1" si="29"/>
        <v>0</v>
      </c>
      <c r="BA37" s="18">
        <f t="shared" ca="1" si="30"/>
        <v>0</v>
      </c>
      <c r="BB37" s="295">
        <f t="shared" ca="1" si="89"/>
        <v>1</v>
      </c>
      <c r="BD37" s="132"/>
      <c r="BE37" s="297">
        <f t="shared" ca="1" si="90"/>
        <v>1</v>
      </c>
      <c r="BF37" s="298">
        <f t="shared" ca="1" si="31"/>
        <v>0.65029522127322903</v>
      </c>
      <c r="BG37" s="298">
        <f t="shared" ca="1" si="32"/>
        <v>0.66028983545318687</v>
      </c>
      <c r="BH37" s="318">
        <f t="shared" ca="1" si="33"/>
        <v>0.64972655813153501</v>
      </c>
      <c r="BI37" s="298">
        <f t="shared" ca="1" si="34"/>
        <v>0.65002804502111444</v>
      </c>
      <c r="BJ37" s="299">
        <f t="shared" ca="1" si="35"/>
        <v>0.65029320640965171</v>
      </c>
      <c r="BK37" s="298">
        <f t="shared" ca="1" si="36"/>
        <v>0.64942668056342145</v>
      </c>
      <c r="BL37" s="298">
        <f t="shared" ca="1" si="37"/>
        <v>0.61083952513994022</v>
      </c>
      <c r="BM37" s="299">
        <f t="shared" ca="1" si="38"/>
        <v>0.6508682169276182</v>
      </c>
      <c r="BN37" s="295">
        <f t="shared" ca="1" si="39"/>
        <v>0.17402001625314881</v>
      </c>
      <c r="BO37" s="248">
        <f t="shared" ca="1" si="91"/>
        <v>-2.2535161742124597E-5</v>
      </c>
      <c r="BQ37" s="304">
        <f t="shared" ca="1" si="92"/>
        <v>0.42412001625314877</v>
      </c>
      <c r="BR37" s="297">
        <f t="shared" ca="1" si="93"/>
        <v>0</v>
      </c>
      <c r="BS37" s="298">
        <f t="shared" ca="1" si="40"/>
        <v>0</v>
      </c>
      <c r="BT37" s="298">
        <f t="shared" ca="1" si="41"/>
        <v>0</v>
      </c>
      <c r="BU37" s="318">
        <f t="shared" ca="1" si="42"/>
        <v>0</v>
      </c>
      <c r="BV37" s="298">
        <f t="shared" ca="1" si="43"/>
        <v>0</v>
      </c>
      <c r="BW37" s="299">
        <f t="shared" ca="1" si="44"/>
        <v>0</v>
      </c>
      <c r="BX37" s="298">
        <f t="shared" ca="1" si="45"/>
        <v>0</v>
      </c>
      <c r="BY37" s="298">
        <f t="shared" ca="1" si="46"/>
        <v>0</v>
      </c>
      <c r="BZ37" s="298">
        <f t="shared" ca="1" si="47"/>
        <v>0</v>
      </c>
      <c r="CA37" s="315">
        <f t="shared" ca="1" si="48"/>
        <v>0.42412001625314877</v>
      </c>
      <c r="CC37" s="52"/>
      <c r="CD37" s="306">
        <f t="shared" ca="1" si="94"/>
        <v>0</v>
      </c>
      <c r="CE37" s="15">
        <f t="shared" ca="1" si="49"/>
        <v>0</v>
      </c>
      <c r="CF37" s="15">
        <f t="shared" ca="1" si="50"/>
        <v>0</v>
      </c>
      <c r="CG37" s="286">
        <f t="shared" ca="1" si="51"/>
        <v>0</v>
      </c>
      <c r="CH37" s="15">
        <f t="shared" ca="1" si="52"/>
        <v>0</v>
      </c>
      <c r="CI37" s="288">
        <f t="shared" ca="1" si="53"/>
        <v>0</v>
      </c>
      <c r="CJ37" s="15">
        <f t="shared" ca="1" si="54"/>
        <v>0</v>
      </c>
      <c r="CK37" s="15">
        <f t="shared" ca="1" si="55"/>
        <v>0</v>
      </c>
      <c r="CL37" s="15">
        <f t="shared" ca="1" si="56"/>
        <v>0</v>
      </c>
      <c r="CM37" s="313">
        <f t="shared" ca="1" si="57"/>
        <v>1</v>
      </c>
      <c r="CO37" s="320">
        <f t="shared" ca="1" si="95"/>
        <v>26</v>
      </c>
      <c r="CP37" s="22">
        <f ca="1">COUNTIFS($C$10:$C36,"&lt;"&amp;$C37,$M$10:$M36,$D37&amp;"_"&amp;CP$9)</f>
        <v>0</v>
      </c>
      <c r="CQ37" s="7">
        <f ca="1">COUNTIFS($C$10:$C36,"&lt;"&amp;$C37,$M$10:$M36,$D37&amp;"_"&amp;CQ$9)</f>
        <v>0</v>
      </c>
      <c r="CR37" s="7">
        <f ca="1">COUNTIFS($C$10:$C36,"&lt;"&amp;$C37,$M$10:$M36,$D37&amp;"_"&amp;CR$9)</f>
        <v>0</v>
      </c>
      <c r="CS37" s="17">
        <f ca="1">COUNTIFS($C$10:$C36,"&lt;"&amp;$C37,$M$10:$M36,$D37&amp;"_"&amp;CS$9)</f>
        <v>0</v>
      </c>
      <c r="CT37" s="7">
        <f ca="1">COUNTIFS($C$10:$C36,"&lt;"&amp;$C37,$M$10:$M36,$D37&amp;"_"&amp;CT$9)</f>
        <v>0</v>
      </c>
      <c r="CU37" s="18">
        <f ca="1">COUNTIFS($C$10:$C36,"&lt;"&amp;$C37,$M$10:$M36,$D37&amp;"_"&amp;CU$9)</f>
        <v>0</v>
      </c>
      <c r="CV37" s="7">
        <f ca="1">COUNTIFS($C$10:$C36,"&lt;"&amp;$C37,$M$10:$M36,$D37&amp;"_"&amp;CV$9)</f>
        <v>0</v>
      </c>
      <c r="CW37" s="7">
        <f ca="1">COUNTIFS($C$10:$C36,"&lt;"&amp;$C37,$M$10:$M36,$D37&amp;"_"&amp;CW$9)</f>
        <v>0</v>
      </c>
      <c r="CX37" s="7">
        <f ca="1">COUNTIFS($C$10:$C36,"&lt;"&amp;$C37,$M$10:$M36,$D37&amp;"_"&amp;CX$9)</f>
        <v>0</v>
      </c>
      <c r="CY37" s="221">
        <f ca="1">COUNTIFS($C$10:$C36,"&lt;"&amp;$C37,$M$10:$M36,$D37&amp;"_"&amp;CY$9)</f>
        <v>26</v>
      </c>
      <c r="DA37" s="20"/>
      <c r="DB37" s="308">
        <f ca="1">IF(CP37=0,0,SUMIFS($P$10:$P36, $C$10:$C36,"&lt;"&amp;$C37, $M$10:$M36,$D37&amp;"_"&amp;DB$9)/CP37)</f>
        <v>0</v>
      </c>
      <c r="DC37" s="263">
        <f ca="1">IF(CQ37=0,0,SUMIFS($P$10:$P36, $C$10:$C36,"&lt;"&amp;$C37, $M$10:$M36,$D37&amp;"_"&amp;DC$9)/CQ37)</f>
        <v>0</v>
      </c>
      <c r="DD37" s="263">
        <f ca="1">IF(CR37=0,0,SUMIFS($P$10:$P36, $C$10:$C36,"&lt;"&amp;$C37, $M$10:$M36,$D37&amp;"_"&amp;DD$9)/CR37)</f>
        <v>0</v>
      </c>
      <c r="DE37" s="262">
        <f ca="1">IF(CS37=0,0,SUMIFS($P$10:$P36, $C$10:$C36,"&lt;"&amp;$C37, $M$10:$M36,$D37&amp;"_"&amp;DE$9)/CS37)</f>
        <v>0</v>
      </c>
      <c r="DF37" s="263">
        <f ca="1">IF(CT37=0,0,SUMIFS($P$10:$P36, $C$10:$C36,"&lt;"&amp;$C37, $M$10:$M36,$D37&amp;"_"&amp;DF$9)/CT37)</f>
        <v>0</v>
      </c>
      <c r="DG37" s="310">
        <f ca="1">IF(CU37=0,0,SUMIFS($P$10:$P36, $C$10:$C36,"&lt;"&amp;$C37, $M$10:$M36,$D37&amp;"_"&amp;DG$9)/CU37)</f>
        <v>0</v>
      </c>
      <c r="DH37" s="263">
        <f ca="1">IF(CV37=0,0,SUMIFS($P$10:$P36, $C$10:$C36,"&lt;"&amp;$C37, $M$10:$M36,$D37&amp;"_"&amp;DH$9)/CV37)</f>
        <v>0</v>
      </c>
      <c r="DI37" s="263">
        <f ca="1">IF(CW37=0,0,SUMIFS($P$10:$P36, $C$10:$C36,"&lt;"&amp;$C37, $M$10:$M36,$D37&amp;"_"&amp;DI$9)/CW37)</f>
        <v>0</v>
      </c>
      <c r="DJ37" s="264">
        <f ca="1">IF(CX37=0,0,SUMIFS($P$10:$P36, $C$10:$C36,"&lt;"&amp;$C37, $M$10:$M36,$D37&amp;"_"&amp;DJ$9)/CX37)</f>
        <v>0</v>
      </c>
      <c r="DK37" s="264">
        <f ca="1">IF(CY37=0,0,SUMIFS($P$10:$P36, $C$10:$C36,"&lt;"&amp;$C37, $M$10:$M36,$D37&amp;"_"&amp;DK$9)/CY37)</f>
        <v>-1</v>
      </c>
      <c r="DM37" s="104"/>
      <c r="DN37" s="306">
        <f t="shared" ca="1" si="96"/>
        <v>-9999</v>
      </c>
      <c r="DO37" s="15">
        <f t="shared" ca="1" si="58"/>
        <v>-9999</v>
      </c>
      <c r="DP37" s="15">
        <f t="shared" ca="1" si="59"/>
        <v>-9999</v>
      </c>
      <c r="DQ37" s="15">
        <f t="shared" ca="1" si="60"/>
        <v>-9999</v>
      </c>
      <c r="DR37" s="15">
        <f t="shared" ca="1" si="61"/>
        <v>-9999</v>
      </c>
      <c r="DS37" s="15">
        <f t="shared" ca="1" si="62"/>
        <v>-9999</v>
      </c>
      <c r="DT37" s="15">
        <f t="shared" ca="1" si="63"/>
        <v>-9999</v>
      </c>
      <c r="DU37" s="15">
        <f t="shared" ca="1" si="64"/>
        <v>-9999</v>
      </c>
      <c r="DV37" s="52">
        <f t="shared" ca="1" si="65"/>
        <v>-9999</v>
      </c>
      <c r="DW37" s="313">
        <f t="shared" ca="1" si="66"/>
        <v>-0.81114742542248952</v>
      </c>
      <c r="DX37" s="52"/>
      <c r="DY37" s="402">
        <f t="shared" ca="1" si="97"/>
        <v>9</v>
      </c>
      <c r="ED37" s="19">
        <f t="shared" ca="1" si="67"/>
        <v>-1</v>
      </c>
      <c r="EE37" s="1">
        <f t="shared" ca="1" si="68"/>
        <v>1</v>
      </c>
      <c r="EF37" s="1">
        <f t="shared" ca="1" si="69"/>
        <v>-1</v>
      </c>
      <c r="EG37" s="2">
        <f t="shared" ca="1" si="70"/>
        <v>1</v>
      </c>
      <c r="EH37" s="1">
        <f t="shared" ca="1" si="71"/>
        <v>-1</v>
      </c>
      <c r="EI37" s="3">
        <f t="shared" ca="1" si="72"/>
        <v>1</v>
      </c>
      <c r="EJ37" s="1">
        <f t="shared" ca="1" si="73"/>
        <v>0</v>
      </c>
      <c r="EK37" s="1">
        <f t="shared" ca="1" si="74"/>
        <v>0</v>
      </c>
      <c r="EL37" s="20">
        <f t="shared" ca="1" si="75"/>
        <v>-1</v>
      </c>
      <c r="EN37" s="86">
        <f ca="1">MAX(0, SUMPRODUCT($ED37:$EL37,OFFSET(DNN!$E$9:$M$9,EN$9,0)) + OFFSET(DNN!$D$9,EN$9,0))</f>
        <v>0</v>
      </c>
      <c r="EO37" s="84">
        <f ca="1">MAX(0, SUMPRODUCT($ED37:$EL37,OFFSET(DNN!$E$9:$M$9,EO$9,0)) + OFFSET(DNN!$D$9,EO$9,0))</f>
        <v>7.2346022384755949E-3</v>
      </c>
      <c r="EP37" s="84">
        <f ca="1">MAX(0, SUMPRODUCT($ED37:$EL37,OFFSET(DNN!$E$9:$M$9,EP$9,0)) + OFFSET(DNN!$D$9,EP$9,0))</f>
        <v>3.6951849750035152E-3</v>
      </c>
      <c r="EQ37" s="84">
        <f ca="1">MAX(0, SUMPRODUCT($ED37:$EL37,OFFSET(DNN!$E$9:$M$9,EQ$9,0)) + OFFSET(DNN!$D$9,EQ$9,0))</f>
        <v>0</v>
      </c>
      <c r="ER37" s="85">
        <f ca="1">MAX(0, SUMPRODUCT($ED37:$EL37,OFFSET(DNN!$E$9:$M$9,ER$9,0)) + OFFSET(DNN!$D$9,ER$9,0))</f>
        <v>0</v>
      </c>
      <c r="ET37" s="86">
        <f ca="1">MAX(0, SUMPRODUCT($EN37:$ER37,OFFSET(DNN!$Q$9:$U$9,ET$9,0)) + OFFSET(DNN!$P$9,ET$9,0))</f>
        <v>4.3954959453478351E-4</v>
      </c>
      <c r="EU37" s="84">
        <f ca="1">MAX(0, SUMPRODUCT($EN37:$ER37,OFFSET(DNN!$Q$9:$U$9,EU$9,0)) + OFFSET(DNN!$P$9,EU$9,0))</f>
        <v>0</v>
      </c>
      <c r="EV37" s="84">
        <f ca="1">MAX(0, SUMPRODUCT($EN37:$ER37,OFFSET(DNN!$Q$9:$U$9,EV$9,0)) + OFFSET(DNN!$P$9,EV$9,0))</f>
        <v>1.2810123361902579E-3</v>
      </c>
      <c r="EW37" s="84">
        <f ca="1">MAX(0, SUMPRODUCT($EN37:$ER37,OFFSET(DNN!$Q$9:$U$9,EW$9,0)) + OFFSET(DNN!$P$9,EW$9,0))</f>
        <v>7.8382123007882457E-4</v>
      </c>
      <c r="EX37" s="85">
        <f ca="1">MAX(0, SUMPRODUCT($EN37:$ER37,OFFSET(DNN!$Q$9:$U$9,EX$9,0)) + OFFSET(DNN!$P$9,EX$9,0))</f>
        <v>0</v>
      </c>
      <c r="EZ37" s="111">
        <f ca="1">SUMPRODUCT($ET37:$EX37,OFFSET(DNN!$Y$9:$AC$9,EZ$9,0)) + OFFSET(DNN!$X$9,EZ$9,0)</f>
        <v>0.43031618918982212</v>
      </c>
      <c r="FA37" s="97">
        <f ca="1">SUMPRODUCT($ET37:$EX37,OFFSET(DNN!$Y$9:$AC$9,FA$9,0)) + OFFSET(DNN!$X$9,FA$9,0)</f>
        <v>-1.2643439935754107E-5</v>
      </c>
      <c r="FB37" s="97">
        <f ca="1">SUMPRODUCT($ET37:$EX37,OFFSET(DNN!$Y$9:$AC$9,FB$9,0)) + OFFSET(DNN!$X$9,FB$9,0)</f>
        <v>1.5239793458415756E-2</v>
      </c>
      <c r="FC37" s="97">
        <f ca="1">SUMPRODUCT($ET37:$EX37,OFFSET(DNN!$Y$9:$AC$9,FC$9,0)) + OFFSET(DNN!$X$9,FC$9,0)</f>
        <v>-8.8749521084055777E-4</v>
      </c>
      <c r="FD37" s="97">
        <f ca="1">SUMPRODUCT($ET37:$EX37,OFFSET(DNN!$Y$9:$AC$9,FD$9,0)) + OFFSET(DNN!$X$9,FD$9,0)</f>
        <v>-4.235816470721872E-4</v>
      </c>
      <c r="FE37" s="97">
        <f ca="1">SUMPRODUCT($ET37:$EX37,OFFSET(DNN!$Y$9:$AC$9,FE$9,0)) + OFFSET(DNN!$X$9,FE$9,0)</f>
        <v>-1.574182761064886E-5</v>
      </c>
      <c r="FF37" s="97">
        <f ca="1">SUMPRODUCT($ET37:$EX37,OFFSET(DNN!$Y$9:$AC$9,FF$9,0)) + OFFSET(DNN!$X$9,FF$9,0)</f>
        <v>-1.3491460223194656E-3</v>
      </c>
      <c r="FG37" s="97">
        <f ca="1">SUMPRODUCT($ET37:$EX37,OFFSET(DNN!$Y$9:$AC$9,FG$9,0)) + OFFSET(DNN!$X$9,FG$9,0)</f>
        <v>-6.2604808096248285E-2</v>
      </c>
      <c r="FH37" s="97">
        <f ca="1">SUMPRODUCT($ET37:$EX37,OFFSET(DNN!$Y$9:$AC$9,FH$9,0)) + OFFSET(DNN!$X$9,FH$9,0)</f>
        <v>8.6810016937029894E-4</v>
      </c>
      <c r="FI37" s="108">
        <f ca="1">SUMPRODUCT($ET37:$EX37,OFFSET(DNN!$Y$9:$AC$9,FI$9,0)) + OFFSET(DNN!$X$9,FI$9,0)</f>
        <v>-1.3182687612562751</v>
      </c>
      <c r="FJ37" s="98">
        <f ca="1">SUMPRODUCT($ET37:$EX37,OFFSET(DNN!$Y$9:$AC$9,FJ$9,0)) + OFFSET(DNN!$X$9,FJ$9,0)</f>
        <v>-2.2535161745939301E-5</v>
      </c>
      <c r="FL37" s="415">
        <f t="shared" ca="1" si="98"/>
        <v>0.43031618918982212</v>
      </c>
      <c r="FM37" s="130">
        <f t="shared" ca="1" si="99"/>
        <v>1</v>
      </c>
      <c r="FN37" s="131">
        <f t="shared" ca="1" si="100"/>
        <v>0.65029522127322903</v>
      </c>
      <c r="FO37" s="131">
        <f t="shared" ca="1" si="101"/>
        <v>0.66028983545318687</v>
      </c>
      <c r="FP37" s="131">
        <f t="shared" ca="1" si="102"/>
        <v>0.64972655813153501</v>
      </c>
      <c r="FQ37" s="131">
        <f t="shared" ca="1" si="103"/>
        <v>0.65002804502111444</v>
      </c>
      <c r="FR37" s="131">
        <f t="shared" ca="1" si="104"/>
        <v>0.65029320640965171</v>
      </c>
      <c r="FS37" s="131">
        <f t="shared" ca="1" si="105"/>
        <v>0.64942668056342145</v>
      </c>
      <c r="FT37" s="131">
        <f t="shared" ca="1" si="106"/>
        <v>0.61083952513994022</v>
      </c>
      <c r="FU37" s="132">
        <f t="shared" ca="1" si="107"/>
        <v>0.6508682169276182</v>
      </c>
      <c r="FV37" s="131">
        <f t="shared" ca="1" si="108"/>
        <v>0.17402001625314881</v>
      </c>
      <c r="FW37" s="83">
        <f t="shared" ca="1" si="109"/>
        <v>-2.2535161742124597E-5</v>
      </c>
    </row>
    <row r="38" spans="1:179">
      <c r="A38" s="19">
        <f t="shared" si="117"/>
        <v>28</v>
      </c>
      <c r="B38" s="1">
        <f t="shared" ca="1" si="111"/>
        <v>0</v>
      </c>
      <c r="C38" s="20">
        <f t="shared" ca="1" si="112"/>
        <v>28</v>
      </c>
      <c r="D38" s="19" t="str">
        <f t="shared" ca="1" si="113"/>
        <v>〇×〇×〇×--〇</v>
      </c>
      <c r="E38" s="7">
        <f t="shared" ca="1" si="77"/>
        <v>9</v>
      </c>
      <c r="F38" s="7">
        <f t="shared" ca="1" si="78"/>
        <v>1</v>
      </c>
      <c r="G38" s="1" t="str">
        <f t="shared" ca="1" si="116"/>
        <v>〇×〇×〇×--〇</v>
      </c>
      <c r="H38" s="20" t="b">
        <f t="shared" ca="1" si="80"/>
        <v>1</v>
      </c>
      <c r="I38" s="22">
        <f t="shared" ca="1" si="114"/>
        <v>-1</v>
      </c>
      <c r="J38" s="1" t="b">
        <f ca="1">(1&lt;COUNTIF(D$10:D38,D38))</f>
        <v>1</v>
      </c>
      <c r="K38" s="1" t="b">
        <f t="shared" ca="1" si="81"/>
        <v>1</v>
      </c>
      <c r="L38" s="7">
        <f ca="1">MATCH(TRUE,K38:K$1048576,FALSE)-1</f>
        <v>0</v>
      </c>
      <c r="M38" s="24" t="str">
        <f t="shared" ca="1" si="13"/>
        <v>〇×〇×〇×--〇_9</v>
      </c>
      <c r="N38" s="25">
        <f t="shared" ca="1" si="82"/>
        <v>-2.2535161742124597E-5</v>
      </c>
      <c r="O38" s="26">
        <f t="shared" ca="1" si="83"/>
        <v>-1</v>
      </c>
      <c r="P38" s="27">
        <f t="shared" ca="1" si="84"/>
        <v>-1</v>
      </c>
      <c r="R38" s="41" t="str">
        <f ca="1">VLOOKUP(S38,cvt!$B$2:$C$4,2,FALSE)&amp;VLOOKUP(T38,cvt!$B$2:$C$4,2,FALSE)&amp;VLOOKUP(U38,cvt!$B$2:$C$4,2,FALSE)
&amp;VLOOKUP(V38,cvt!$B$2:$C$4,2,FALSE)&amp;VLOOKUP(W38,cvt!$B$2:$C$4,2,FALSE)&amp;VLOOKUP(X38,cvt!$B$2:$C$4,2,FALSE)
&amp;VLOOKUP(Y38,cvt!$B$2:$C$4,2,FALSE)&amp;VLOOKUP(Z38,cvt!$B$2:$C$4,2,FALSE)&amp;VLOOKUP(AA38,cvt!$B$2:$C$4,2,FALSE)</f>
        <v>〇×〇×〇×--〇</v>
      </c>
      <c r="S38" s="7">
        <f ca="1">VLOOKUP(MID($D38,S$9+1,1), cvt!$A$2:$B$4,2, FALSE)</f>
        <v>1</v>
      </c>
      <c r="T38" s="7">
        <f ca="1">VLOOKUP(MID($D38,T$9+1,1), cvt!$A$2:$B$4,2, FALSE)</f>
        <v>-1</v>
      </c>
      <c r="U38" s="7">
        <f ca="1">VLOOKUP(MID($D38,U$9+1,1), cvt!$A$2:$B$4,2, FALSE)</f>
        <v>1</v>
      </c>
      <c r="V38" s="17">
        <f ca="1">VLOOKUP(MID($D38,V$9+1,1), cvt!$A$2:$B$4,2, FALSE)</f>
        <v>-1</v>
      </c>
      <c r="W38" s="7">
        <f ca="1">VLOOKUP(MID($D38,W$9+1,1), cvt!$A$2:$B$4,2, FALSE)</f>
        <v>1</v>
      </c>
      <c r="X38" s="18">
        <f ca="1">VLOOKUP(MID($D38,X$9+1,1), cvt!$A$2:$B$4,2, FALSE)</f>
        <v>-1</v>
      </c>
      <c r="Y38" s="7">
        <f ca="1">VLOOKUP(MID($D38,Y$9+1,1), cvt!$A$2:$B$4,2, FALSE)</f>
        <v>0</v>
      </c>
      <c r="Z38" s="7">
        <f ca="1">VLOOKUP(MID($D38,Z$9+1,1), cvt!$A$2:$B$4,2, FALSE)</f>
        <v>0</v>
      </c>
      <c r="AA38" s="42">
        <f ca="1">VLOOKUP(MID($D38,AA$9+1,1), cvt!$A$2:$B$4,2, FALSE)</f>
        <v>1</v>
      </c>
      <c r="AB38" s="7">
        <f t="shared" ca="1" si="85"/>
        <v>1</v>
      </c>
      <c r="AC38" s="50" t="b">
        <f t="shared" ca="1" si="86"/>
        <v>1</v>
      </c>
      <c r="AE38" s="19" t="str">
        <f ca="1">VLOOKUP(AF38,cvt!$B$2:$C$4,2,FALSE)&amp;VLOOKUP(AG38,cvt!$B$2:$C$4,2,FALSE)&amp;VLOOKUP(AH38,cvt!$B$2:$C$4,2,FALSE)
&amp;VLOOKUP(AI38,cvt!$B$2:$C$4,2,FALSE)&amp;VLOOKUP(AJ38,cvt!$B$2:$C$4,2,FALSE)&amp;VLOOKUP(AK38,cvt!$B$2:$C$4,2,FALSE)
&amp;VLOOKUP(AL38,cvt!$B$2:$C$4,2,FALSE)&amp;VLOOKUP(AM38,cvt!$B$2:$C$4,2,FALSE)&amp;VLOOKUP(AN38,cvt!$B$2:$C$4,2,FALSE)</f>
        <v>〇×〇×〇×--〇</v>
      </c>
      <c r="AF38" s="17">
        <f t="shared" ca="1" si="14"/>
        <v>1</v>
      </c>
      <c r="AG38" s="7">
        <f t="shared" ca="1" si="15"/>
        <v>-1</v>
      </c>
      <c r="AH38" s="7">
        <f t="shared" ca="1" si="16"/>
        <v>1</v>
      </c>
      <c r="AI38" s="17">
        <f t="shared" ca="1" si="17"/>
        <v>-1</v>
      </c>
      <c r="AJ38" s="7">
        <f t="shared" ca="1" si="18"/>
        <v>1</v>
      </c>
      <c r="AK38" s="18">
        <f t="shared" ca="1" si="19"/>
        <v>-1</v>
      </c>
      <c r="AL38" s="7">
        <f t="shared" ca="1" si="20"/>
        <v>0</v>
      </c>
      <c r="AM38" s="7">
        <f t="shared" ca="1" si="21"/>
        <v>0</v>
      </c>
      <c r="AN38" s="18">
        <f t="shared" ca="1" si="22"/>
        <v>1</v>
      </c>
      <c r="AO38" s="7">
        <f t="shared" ca="1" si="115"/>
        <v>1</v>
      </c>
      <c r="AP38" s="50" t="b">
        <f t="shared" ca="1" si="87"/>
        <v>1</v>
      </c>
      <c r="AS38" s="22">
        <f t="shared" ca="1" si="88"/>
        <v>0</v>
      </c>
      <c r="AT38" s="7">
        <f t="shared" ca="1" si="23"/>
        <v>0</v>
      </c>
      <c r="AU38" s="7">
        <f t="shared" ca="1" si="24"/>
        <v>0</v>
      </c>
      <c r="AV38" s="7">
        <f t="shared" ca="1" si="25"/>
        <v>0</v>
      </c>
      <c r="AW38" s="7">
        <f t="shared" ca="1" si="26"/>
        <v>0</v>
      </c>
      <c r="AX38" s="7">
        <f t="shared" ca="1" si="27"/>
        <v>0</v>
      </c>
      <c r="AY38" s="7">
        <f t="shared" ca="1" si="28"/>
        <v>0</v>
      </c>
      <c r="AZ38" s="7">
        <f t="shared" ca="1" si="29"/>
        <v>0</v>
      </c>
      <c r="BA38" s="18">
        <f t="shared" ca="1" si="30"/>
        <v>0</v>
      </c>
      <c r="BB38" s="295">
        <f t="shared" ca="1" si="89"/>
        <v>1</v>
      </c>
      <c r="BD38" s="132"/>
      <c r="BE38" s="297">
        <f t="shared" ca="1" si="90"/>
        <v>1</v>
      </c>
      <c r="BF38" s="298">
        <f t="shared" ca="1" si="31"/>
        <v>0.65029522127322903</v>
      </c>
      <c r="BG38" s="298">
        <f t="shared" ca="1" si="32"/>
        <v>0.66028983545318687</v>
      </c>
      <c r="BH38" s="318">
        <f t="shared" ca="1" si="33"/>
        <v>0.64972655813153501</v>
      </c>
      <c r="BI38" s="298">
        <f t="shared" ca="1" si="34"/>
        <v>0.65002804502111444</v>
      </c>
      <c r="BJ38" s="299">
        <f t="shared" ca="1" si="35"/>
        <v>0.65029320640965171</v>
      </c>
      <c r="BK38" s="298">
        <f t="shared" ca="1" si="36"/>
        <v>0.64942668056342145</v>
      </c>
      <c r="BL38" s="298">
        <f t="shared" ca="1" si="37"/>
        <v>0.61083952513994022</v>
      </c>
      <c r="BM38" s="299">
        <f t="shared" ca="1" si="38"/>
        <v>0.6508682169276182</v>
      </c>
      <c r="BN38" s="295">
        <f t="shared" ca="1" si="39"/>
        <v>0.17402001625314881</v>
      </c>
      <c r="BO38" s="248">
        <f t="shared" ca="1" si="91"/>
        <v>-2.2535161742124597E-5</v>
      </c>
      <c r="BQ38" s="304">
        <f t="shared" ca="1" si="92"/>
        <v>0.42412001625314877</v>
      </c>
      <c r="BR38" s="297">
        <f t="shared" ca="1" si="93"/>
        <v>0</v>
      </c>
      <c r="BS38" s="298">
        <f t="shared" ca="1" si="40"/>
        <v>0</v>
      </c>
      <c r="BT38" s="298">
        <f t="shared" ca="1" si="41"/>
        <v>0</v>
      </c>
      <c r="BU38" s="318">
        <f t="shared" ca="1" si="42"/>
        <v>0</v>
      </c>
      <c r="BV38" s="298">
        <f t="shared" ca="1" si="43"/>
        <v>0</v>
      </c>
      <c r="BW38" s="299">
        <f t="shared" ca="1" si="44"/>
        <v>0</v>
      </c>
      <c r="BX38" s="298">
        <f t="shared" ca="1" si="45"/>
        <v>0</v>
      </c>
      <c r="BY38" s="298">
        <f t="shared" ca="1" si="46"/>
        <v>0</v>
      </c>
      <c r="BZ38" s="298">
        <f t="shared" ca="1" si="47"/>
        <v>0</v>
      </c>
      <c r="CA38" s="315">
        <f t="shared" ca="1" si="48"/>
        <v>0.42412001625314877</v>
      </c>
      <c r="CC38" s="52"/>
      <c r="CD38" s="306">
        <f t="shared" ca="1" si="94"/>
        <v>0</v>
      </c>
      <c r="CE38" s="15">
        <f t="shared" ca="1" si="49"/>
        <v>0</v>
      </c>
      <c r="CF38" s="15">
        <f t="shared" ca="1" si="50"/>
        <v>0</v>
      </c>
      <c r="CG38" s="286">
        <f t="shared" ca="1" si="51"/>
        <v>0</v>
      </c>
      <c r="CH38" s="15">
        <f t="shared" ca="1" si="52"/>
        <v>0</v>
      </c>
      <c r="CI38" s="288">
        <f t="shared" ca="1" si="53"/>
        <v>0</v>
      </c>
      <c r="CJ38" s="15">
        <f t="shared" ca="1" si="54"/>
        <v>0</v>
      </c>
      <c r="CK38" s="15">
        <f t="shared" ca="1" si="55"/>
        <v>0</v>
      </c>
      <c r="CL38" s="15">
        <f t="shared" ca="1" si="56"/>
        <v>0</v>
      </c>
      <c r="CM38" s="313">
        <f t="shared" ca="1" si="57"/>
        <v>1</v>
      </c>
      <c r="CO38" s="320">
        <f t="shared" ca="1" si="95"/>
        <v>27</v>
      </c>
      <c r="CP38" s="22">
        <f ca="1">COUNTIFS($C$10:$C37,"&lt;"&amp;$C38,$M$10:$M37,$D38&amp;"_"&amp;CP$9)</f>
        <v>0</v>
      </c>
      <c r="CQ38" s="7">
        <f ca="1">COUNTIFS($C$10:$C37,"&lt;"&amp;$C38,$M$10:$M37,$D38&amp;"_"&amp;CQ$9)</f>
        <v>0</v>
      </c>
      <c r="CR38" s="7">
        <f ca="1">COUNTIFS($C$10:$C37,"&lt;"&amp;$C38,$M$10:$M37,$D38&amp;"_"&amp;CR$9)</f>
        <v>0</v>
      </c>
      <c r="CS38" s="17">
        <f ca="1">COUNTIFS($C$10:$C37,"&lt;"&amp;$C38,$M$10:$M37,$D38&amp;"_"&amp;CS$9)</f>
        <v>0</v>
      </c>
      <c r="CT38" s="7">
        <f ca="1">COUNTIFS($C$10:$C37,"&lt;"&amp;$C38,$M$10:$M37,$D38&amp;"_"&amp;CT$9)</f>
        <v>0</v>
      </c>
      <c r="CU38" s="18">
        <f ca="1">COUNTIFS($C$10:$C37,"&lt;"&amp;$C38,$M$10:$M37,$D38&amp;"_"&amp;CU$9)</f>
        <v>0</v>
      </c>
      <c r="CV38" s="7">
        <f ca="1">COUNTIFS($C$10:$C37,"&lt;"&amp;$C38,$M$10:$M37,$D38&amp;"_"&amp;CV$9)</f>
        <v>0</v>
      </c>
      <c r="CW38" s="7">
        <f ca="1">COUNTIFS($C$10:$C37,"&lt;"&amp;$C38,$M$10:$M37,$D38&amp;"_"&amp;CW$9)</f>
        <v>0</v>
      </c>
      <c r="CX38" s="7">
        <f ca="1">COUNTIFS($C$10:$C37,"&lt;"&amp;$C38,$M$10:$M37,$D38&amp;"_"&amp;CX$9)</f>
        <v>0</v>
      </c>
      <c r="CY38" s="221">
        <f ca="1">COUNTIFS($C$10:$C37,"&lt;"&amp;$C38,$M$10:$M37,$D38&amp;"_"&amp;CY$9)</f>
        <v>27</v>
      </c>
      <c r="DA38" s="20"/>
      <c r="DB38" s="308">
        <f ca="1">IF(CP38=0,0,SUMIFS($P$10:$P37, $C$10:$C37,"&lt;"&amp;$C38, $M$10:$M37,$D38&amp;"_"&amp;DB$9)/CP38)</f>
        <v>0</v>
      </c>
      <c r="DC38" s="263">
        <f ca="1">IF(CQ38=0,0,SUMIFS($P$10:$P37, $C$10:$C37,"&lt;"&amp;$C38, $M$10:$M37,$D38&amp;"_"&amp;DC$9)/CQ38)</f>
        <v>0</v>
      </c>
      <c r="DD38" s="263">
        <f ca="1">IF(CR38=0,0,SUMIFS($P$10:$P37, $C$10:$C37,"&lt;"&amp;$C38, $M$10:$M37,$D38&amp;"_"&amp;DD$9)/CR38)</f>
        <v>0</v>
      </c>
      <c r="DE38" s="262">
        <f ca="1">IF(CS38=0,0,SUMIFS($P$10:$P37, $C$10:$C37,"&lt;"&amp;$C38, $M$10:$M37,$D38&amp;"_"&amp;DE$9)/CS38)</f>
        <v>0</v>
      </c>
      <c r="DF38" s="263">
        <f ca="1">IF(CT38=0,0,SUMIFS($P$10:$P37, $C$10:$C37,"&lt;"&amp;$C38, $M$10:$M37,$D38&amp;"_"&amp;DF$9)/CT38)</f>
        <v>0</v>
      </c>
      <c r="DG38" s="310">
        <f ca="1">IF(CU38=0,0,SUMIFS($P$10:$P37, $C$10:$C37,"&lt;"&amp;$C38, $M$10:$M37,$D38&amp;"_"&amp;DG$9)/CU38)</f>
        <v>0</v>
      </c>
      <c r="DH38" s="263">
        <f ca="1">IF(CV38=0,0,SUMIFS($P$10:$P37, $C$10:$C37,"&lt;"&amp;$C38, $M$10:$M37,$D38&amp;"_"&amp;DH$9)/CV38)</f>
        <v>0</v>
      </c>
      <c r="DI38" s="263">
        <f ca="1">IF(CW38=0,0,SUMIFS($P$10:$P37, $C$10:$C37,"&lt;"&amp;$C38, $M$10:$M37,$D38&amp;"_"&amp;DI$9)/CW38)</f>
        <v>0</v>
      </c>
      <c r="DJ38" s="264">
        <f ca="1">IF(CX38=0,0,SUMIFS($P$10:$P37, $C$10:$C37,"&lt;"&amp;$C38, $M$10:$M37,$D38&amp;"_"&amp;DJ$9)/CX38)</f>
        <v>0</v>
      </c>
      <c r="DK38" s="264">
        <f ca="1">IF(CY38=0,0,SUMIFS($P$10:$P37, $C$10:$C37,"&lt;"&amp;$C38, $M$10:$M37,$D38&amp;"_"&amp;DK$9)/CY38)</f>
        <v>-1</v>
      </c>
      <c r="DM38" s="104"/>
      <c r="DN38" s="306">
        <f t="shared" ca="1" si="96"/>
        <v>-9999</v>
      </c>
      <c r="DO38" s="15">
        <f t="shared" ca="1" si="58"/>
        <v>-9999</v>
      </c>
      <c r="DP38" s="15">
        <f t="shared" ca="1" si="59"/>
        <v>-9999</v>
      </c>
      <c r="DQ38" s="15">
        <f t="shared" ca="1" si="60"/>
        <v>-9999</v>
      </c>
      <c r="DR38" s="15">
        <f t="shared" ca="1" si="61"/>
        <v>-9999</v>
      </c>
      <c r="DS38" s="15">
        <f t="shared" ca="1" si="62"/>
        <v>-9999</v>
      </c>
      <c r="DT38" s="15">
        <f t="shared" ca="1" si="63"/>
        <v>-9999</v>
      </c>
      <c r="DU38" s="15">
        <f t="shared" ca="1" si="64"/>
        <v>-9999</v>
      </c>
      <c r="DV38" s="52">
        <f t="shared" ca="1" si="65"/>
        <v>-9999</v>
      </c>
      <c r="DW38" s="313">
        <f t="shared" ca="1" si="66"/>
        <v>-0.81442312776047743</v>
      </c>
      <c r="DX38" s="52"/>
      <c r="DY38" s="402">
        <f t="shared" ca="1" si="97"/>
        <v>9</v>
      </c>
      <c r="ED38" s="19">
        <f t="shared" ca="1" si="67"/>
        <v>-1</v>
      </c>
      <c r="EE38" s="1">
        <f t="shared" ca="1" si="68"/>
        <v>1</v>
      </c>
      <c r="EF38" s="1">
        <f t="shared" ca="1" si="69"/>
        <v>-1</v>
      </c>
      <c r="EG38" s="2">
        <f t="shared" ca="1" si="70"/>
        <v>1</v>
      </c>
      <c r="EH38" s="1">
        <f t="shared" ca="1" si="71"/>
        <v>-1</v>
      </c>
      <c r="EI38" s="3">
        <f t="shared" ca="1" si="72"/>
        <v>1</v>
      </c>
      <c r="EJ38" s="1">
        <f t="shared" ca="1" si="73"/>
        <v>0</v>
      </c>
      <c r="EK38" s="1">
        <f t="shared" ca="1" si="74"/>
        <v>0</v>
      </c>
      <c r="EL38" s="20">
        <f t="shared" ca="1" si="75"/>
        <v>-1</v>
      </c>
      <c r="EN38" s="86">
        <f ca="1">MAX(0, SUMPRODUCT($ED38:$EL38,OFFSET(DNN!$E$9:$M$9,EN$9,0)) + OFFSET(DNN!$D$9,EN$9,0))</f>
        <v>0</v>
      </c>
      <c r="EO38" s="84">
        <f ca="1">MAX(0, SUMPRODUCT($ED38:$EL38,OFFSET(DNN!$E$9:$M$9,EO$9,0)) + OFFSET(DNN!$D$9,EO$9,0))</f>
        <v>7.2346022384755949E-3</v>
      </c>
      <c r="EP38" s="84">
        <f ca="1">MAX(0, SUMPRODUCT($ED38:$EL38,OFFSET(DNN!$E$9:$M$9,EP$9,0)) + OFFSET(DNN!$D$9,EP$9,0))</f>
        <v>3.6951849750035152E-3</v>
      </c>
      <c r="EQ38" s="84">
        <f ca="1">MAX(0, SUMPRODUCT($ED38:$EL38,OFFSET(DNN!$E$9:$M$9,EQ$9,0)) + OFFSET(DNN!$D$9,EQ$9,0))</f>
        <v>0</v>
      </c>
      <c r="ER38" s="85">
        <f ca="1">MAX(0, SUMPRODUCT($ED38:$EL38,OFFSET(DNN!$E$9:$M$9,ER$9,0)) + OFFSET(DNN!$D$9,ER$9,0))</f>
        <v>0</v>
      </c>
      <c r="ET38" s="86">
        <f ca="1">MAX(0, SUMPRODUCT($EN38:$ER38,OFFSET(DNN!$Q$9:$U$9,ET$9,0)) + OFFSET(DNN!$P$9,ET$9,0))</f>
        <v>4.3954959453478351E-4</v>
      </c>
      <c r="EU38" s="84">
        <f ca="1">MAX(0, SUMPRODUCT($EN38:$ER38,OFFSET(DNN!$Q$9:$U$9,EU$9,0)) + OFFSET(DNN!$P$9,EU$9,0))</f>
        <v>0</v>
      </c>
      <c r="EV38" s="84">
        <f ca="1">MAX(0, SUMPRODUCT($EN38:$ER38,OFFSET(DNN!$Q$9:$U$9,EV$9,0)) + OFFSET(DNN!$P$9,EV$9,0))</f>
        <v>1.2810123361902579E-3</v>
      </c>
      <c r="EW38" s="84">
        <f ca="1">MAX(0, SUMPRODUCT($EN38:$ER38,OFFSET(DNN!$Q$9:$U$9,EW$9,0)) + OFFSET(DNN!$P$9,EW$9,0))</f>
        <v>7.8382123007882457E-4</v>
      </c>
      <c r="EX38" s="85">
        <f ca="1">MAX(0, SUMPRODUCT($EN38:$ER38,OFFSET(DNN!$Q$9:$U$9,EX$9,0)) + OFFSET(DNN!$P$9,EX$9,0))</f>
        <v>0</v>
      </c>
      <c r="EZ38" s="111">
        <f ca="1">SUMPRODUCT($ET38:$EX38,OFFSET(DNN!$Y$9:$AC$9,EZ$9,0)) + OFFSET(DNN!$X$9,EZ$9,0)</f>
        <v>0.43031618918982212</v>
      </c>
      <c r="FA38" s="97">
        <f ca="1">SUMPRODUCT($ET38:$EX38,OFFSET(DNN!$Y$9:$AC$9,FA$9,0)) + OFFSET(DNN!$X$9,FA$9,0)</f>
        <v>-1.2643439935754107E-5</v>
      </c>
      <c r="FB38" s="97">
        <f ca="1">SUMPRODUCT($ET38:$EX38,OFFSET(DNN!$Y$9:$AC$9,FB$9,0)) + OFFSET(DNN!$X$9,FB$9,0)</f>
        <v>1.5239793458415756E-2</v>
      </c>
      <c r="FC38" s="97">
        <f ca="1">SUMPRODUCT($ET38:$EX38,OFFSET(DNN!$Y$9:$AC$9,FC$9,0)) + OFFSET(DNN!$X$9,FC$9,0)</f>
        <v>-8.8749521084055777E-4</v>
      </c>
      <c r="FD38" s="97">
        <f ca="1">SUMPRODUCT($ET38:$EX38,OFFSET(DNN!$Y$9:$AC$9,FD$9,0)) + OFFSET(DNN!$X$9,FD$9,0)</f>
        <v>-4.235816470721872E-4</v>
      </c>
      <c r="FE38" s="97">
        <f ca="1">SUMPRODUCT($ET38:$EX38,OFFSET(DNN!$Y$9:$AC$9,FE$9,0)) + OFFSET(DNN!$X$9,FE$9,0)</f>
        <v>-1.574182761064886E-5</v>
      </c>
      <c r="FF38" s="97">
        <f ca="1">SUMPRODUCT($ET38:$EX38,OFFSET(DNN!$Y$9:$AC$9,FF$9,0)) + OFFSET(DNN!$X$9,FF$9,0)</f>
        <v>-1.3491460223194656E-3</v>
      </c>
      <c r="FG38" s="97">
        <f ca="1">SUMPRODUCT($ET38:$EX38,OFFSET(DNN!$Y$9:$AC$9,FG$9,0)) + OFFSET(DNN!$X$9,FG$9,0)</f>
        <v>-6.2604808096248285E-2</v>
      </c>
      <c r="FH38" s="97">
        <f ca="1">SUMPRODUCT($ET38:$EX38,OFFSET(DNN!$Y$9:$AC$9,FH$9,0)) + OFFSET(DNN!$X$9,FH$9,0)</f>
        <v>8.6810016937029894E-4</v>
      </c>
      <c r="FI38" s="108">
        <f ca="1">SUMPRODUCT($ET38:$EX38,OFFSET(DNN!$Y$9:$AC$9,FI$9,0)) + OFFSET(DNN!$X$9,FI$9,0)</f>
        <v>-1.3182687612562751</v>
      </c>
      <c r="FJ38" s="98">
        <f ca="1">SUMPRODUCT($ET38:$EX38,OFFSET(DNN!$Y$9:$AC$9,FJ$9,0)) + OFFSET(DNN!$X$9,FJ$9,0)</f>
        <v>-2.2535161745939301E-5</v>
      </c>
      <c r="FL38" s="415">
        <f t="shared" ca="1" si="98"/>
        <v>0.43031618918982212</v>
      </c>
      <c r="FM38" s="130">
        <f t="shared" ca="1" si="99"/>
        <v>1</v>
      </c>
      <c r="FN38" s="131">
        <f t="shared" ca="1" si="100"/>
        <v>0.65029522127322903</v>
      </c>
      <c r="FO38" s="131">
        <f t="shared" ca="1" si="101"/>
        <v>0.66028983545318687</v>
      </c>
      <c r="FP38" s="131">
        <f t="shared" ca="1" si="102"/>
        <v>0.64972655813153501</v>
      </c>
      <c r="FQ38" s="131">
        <f t="shared" ca="1" si="103"/>
        <v>0.65002804502111444</v>
      </c>
      <c r="FR38" s="131">
        <f t="shared" ca="1" si="104"/>
        <v>0.65029320640965171</v>
      </c>
      <c r="FS38" s="131">
        <f t="shared" ca="1" si="105"/>
        <v>0.64942668056342145</v>
      </c>
      <c r="FT38" s="131">
        <f t="shared" ca="1" si="106"/>
        <v>0.61083952513994022</v>
      </c>
      <c r="FU38" s="132">
        <f t="shared" ca="1" si="107"/>
        <v>0.6508682169276182</v>
      </c>
      <c r="FV38" s="131">
        <f t="shared" ca="1" si="108"/>
        <v>0.17402001625314881</v>
      </c>
      <c r="FW38" s="83">
        <f t="shared" ca="1" si="109"/>
        <v>-2.2535161742124597E-5</v>
      </c>
    </row>
    <row r="39" spans="1:179">
      <c r="A39" s="19">
        <f t="shared" si="117"/>
        <v>29</v>
      </c>
      <c r="B39" s="1">
        <f t="shared" ca="1" si="111"/>
        <v>0</v>
      </c>
      <c r="C39" s="20">
        <f t="shared" ca="1" si="112"/>
        <v>29</v>
      </c>
      <c r="D39" s="19" t="str">
        <f t="shared" ca="1" si="113"/>
        <v>〇×〇×〇×--〇</v>
      </c>
      <c r="E39" s="7">
        <f t="shared" ca="1" si="77"/>
        <v>9</v>
      </c>
      <c r="F39" s="7">
        <f t="shared" ca="1" si="78"/>
        <v>1</v>
      </c>
      <c r="G39" s="1" t="str">
        <f t="shared" ca="1" si="116"/>
        <v>〇×〇×〇×--〇</v>
      </c>
      <c r="H39" s="20" t="b">
        <f t="shared" ca="1" si="80"/>
        <v>1</v>
      </c>
      <c r="I39" s="22">
        <f t="shared" ca="1" si="114"/>
        <v>-1</v>
      </c>
      <c r="J39" s="1" t="b">
        <f ca="1">(1&lt;COUNTIF(D$10:D39,D39))</f>
        <v>1</v>
      </c>
      <c r="K39" s="1" t="b">
        <f t="shared" ca="1" si="81"/>
        <v>1</v>
      </c>
      <c r="L39" s="7">
        <f ca="1">MATCH(TRUE,K39:K$1048576,FALSE)-1</f>
        <v>0</v>
      </c>
      <c r="M39" s="24" t="str">
        <f t="shared" ca="1" si="13"/>
        <v>〇×〇×〇×--〇_9</v>
      </c>
      <c r="N39" s="25">
        <f t="shared" ca="1" si="82"/>
        <v>-2.2535161742124597E-5</v>
      </c>
      <c r="O39" s="26">
        <f t="shared" ca="1" si="83"/>
        <v>-1</v>
      </c>
      <c r="P39" s="27">
        <f t="shared" ca="1" si="84"/>
        <v>-1</v>
      </c>
      <c r="R39" s="41" t="str">
        <f ca="1">VLOOKUP(S39,cvt!$B$2:$C$4,2,FALSE)&amp;VLOOKUP(T39,cvt!$B$2:$C$4,2,FALSE)&amp;VLOOKUP(U39,cvt!$B$2:$C$4,2,FALSE)
&amp;VLOOKUP(V39,cvt!$B$2:$C$4,2,FALSE)&amp;VLOOKUP(W39,cvt!$B$2:$C$4,2,FALSE)&amp;VLOOKUP(X39,cvt!$B$2:$C$4,2,FALSE)
&amp;VLOOKUP(Y39,cvt!$B$2:$C$4,2,FALSE)&amp;VLOOKUP(Z39,cvt!$B$2:$C$4,2,FALSE)&amp;VLOOKUP(AA39,cvt!$B$2:$C$4,2,FALSE)</f>
        <v>〇×〇×〇×--〇</v>
      </c>
      <c r="S39" s="7">
        <f ca="1">VLOOKUP(MID($D39,S$9+1,1), cvt!$A$2:$B$4,2, FALSE)</f>
        <v>1</v>
      </c>
      <c r="T39" s="7">
        <f ca="1">VLOOKUP(MID($D39,T$9+1,1), cvt!$A$2:$B$4,2, FALSE)</f>
        <v>-1</v>
      </c>
      <c r="U39" s="7">
        <f ca="1">VLOOKUP(MID($D39,U$9+1,1), cvt!$A$2:$B$4,2, FALSE)</f>
        <v>1</v>
      </c>
      <c r="V39" s="17">
        <f ca="1">VLOOKUP(MID($D39,V$9+1,1), cvt!$A$2:$B$4,2, FALSE)</f>
        <v>-1</v>
      </c>
      <c r="W39" s="7">
        <f ca="1">VLOOKUP(MID($D39,W$9+1,1), cvt!$A$2:$B$4,2, FALSE)</f>
        <v>1</v>
      </c>
      <c r="X39" s="18">
        <f ca="1">VLOOKUP(MID($D39,X$9+1,1), cvt!$A$2:$B$4,2, FALSE)</f>
        <v>-1</v>
      </c>
      <c r="Y39" s="7">
        <f ca="1">VLOOKUP(MID($D39,Y$9+1,1), cvt!$A$2:$B$4,2, FALSE)</f>
        <v>0</v>
      </c>
      <c r="Z39" s="7">
        <f ca="1">VLOOKUP(MID($D39,Z$9+1,1), cvt!$A$2:$B$4,2, FALSE)</f>
        <v>0</v>
      </c>
      <c r="AA39" s="42">
        <f ca="1">VLOOKUP(MID($D39,AA$9+1,1), cvt!$A$2:$B$4,2, FALSE)</f>
        <v>1</v>
      </c>
      <c r="AB39" s="7">
        <f t="shared" ca="1" si="85"/>
        <v>1</v>
      </c>
      <c r="AC39" s="50" t="b">
        <f t="shared" ca="1" si="86"/>
        <v>1</v>
      </c>
      <c r="AE39" s="19" t="str">
        <f ca="1">VLOOKUP(AF39,cvt!$B$2:$C$4,2,FALSE)&amp;VLOOKUP(AG39,cvt!$B$2:$C$4,2,FALSE)&amp;VLOOKUP(AH39,cvt!$B$2:$C$4,2,FALSE)
&amp;VLOOKUP(AI39,cvt!$B$2:$C$4,2,FALSE)&amp;VLOOKUP(AJ39,cvt!$B$2:$C$4,2,FALSE)&amp;VLOOKUP(AK39,cvt!$B$2:$C$4,2,FALSE)
&amp;VLOOKUP(AL39,cvt!$B$2:$C$4,2,FALSE)&amp;VLOOKUP(AM39,cvt!$B$2:$C$4,2,FALSE)&amp;VLOOKUP(AN39,cvt!$B$2:$C$4,2,FALSE)</f>
        <v>〇×〇×〇×--〇</v>
      </c>
      <c r="AF39" s="17">
        <f t="shared" ca="1" si="14"/>
        <v>1</v>
      </c>
      <c r="AG39" s="7">
        <f t="shared" ca="1" si="15"/>
        <v>-1</v>
      </c>
      <c r="AH39" s="7">
        <f t="shared" ca="1" si="16"/>
        <v>1</v>
      </c>
      <c r="AI39" s="17">
        <f t="shared" ca="1" si="17"/>
        <v>-1</v>
      </c>
      <c r="AJ39" s="7">
        <f t="shared" ca="1" si="18"/>
        <v>1</v>
      </c>
      <c r="AK39" s="18">
        <f t="shared" ca="1" si="19"/>
        <v>-1</v>
      </c>
      <c r="AL39" s="7">
        <f t="shared" ca="1" si="20"/>
        <v>0</v>
      </c>
      <c r="AM39" s="7">
        <f t="shared" ca="1" si="21"/>
        <v>0</v>
      </c>
      <c r="AN39" s="18">
        <f t="shared" ca="1" si="22"/>
        <v>1</v>
      </c>
      <c r="AO39" s="7">
        <f t="shared" ca="1" si="115"/>
        <v>1</v>
      </c>
      <c r="AP39" s="50" t="b">
        <f t="shared" ca="1" si="87"/>
        <v>1</v>
      </c>
      <c r="AS39" s="22">
        <f t="shared" ca="1" si="88"/>
        <v>0</v>
      </c>
      <c r="AT39" s="7">
        <f t="shared" ca="1" si="23"/>
        <v>0</v>
      </c>
      <c r="AU39" s="7">
        <f t="shared" ca="1" si="24"/>
        <v>0</v>
      </c>
      <c r="AV39" s="7">
        <f t="shared" ca="1" si="25"/>
        <v>0</v>
      </c>
      <c r="AW39" s="7">
        <f t="shared" ca="1" si="26"/>
        <v>0</v>
      </c>
      <c r="AX39" s="7">
        <f t="shared" ca="1" si="27"/>
        <v>0</v>
      </c>
      <c r="AY39" s="7">
        <f t="shared" ca="1" si="28"/>
        <v>0</v>
      </c>
      <c r="AZ39" s="7">
        <f t="shared" ca="1" si="29"/>
        <v>0</v>
      </c>
      <c r="BA39" s="18">
        <f t="shared" ca="1" si="30"/>
        <v>0</v>
      </c>
      <c r="BB39" s="295">
        <f t="shared" ca="1" si="89"/>
        <v>1</v>
      </c>
      <c r="BD39" s="132"/>
      <c r="BE39" s="297">
        <f t="shared" ca="1" si="90"/>
        <v>1</v>
      </c>
      <c r="BF39" s="298">
        <f t="shared" ca="1" si="31"/>
        <v>0.65029522127322903</v>
      </c>
      <c r="BG39" s="298">
        <f t="shared" ca="1" si="32"/>
        <v>0.66028983545318687</v>
      </c>
      <c r="BH39" s="318">
        <f t="shared" ca="1" si="33"/>
        <v>0.64972655813153501</v>
      </c>
      <c r="BI39" s="298">
        <f t="shared" ca="1" si="34"/>
        <v>0.65002804502111444</v>
      </c>
      <c r="BJ39" s="299">
        <f t="shared" ca="1" si="35"/>
        <v>0.65029320640965171</v>
      </c>
      <c r="BK39" s="298">
        <f t="shared" ca="1" si="36"/>
        <v>0.64942668056342145</v>
      </c>
      <c r="BL39" s="298">
        <f t="shared" ca="1" si="37"/>
        <v>0.61083952513994022</v>
      </c>
      <c r="BM39" s="299">
        <f t="shared" ca="1" si="38"/>
        <v>0.6508682169276182</v>
      </c>
      <c r="BN39" s="295">
        <f t="shared" ca="1" si="39"/>
        <v>0.17402001625314881</v>
      </c>
      <c r="BO39" s="248">
        <f t="shared" ca="1" si="91"/>
        <v>-2.2535161742124597E-5</v>
      </c>
      <c r="BQ39" s="304">
        <f t="shared" ca="1" si="92"/>
        <v>0.1741200162531488</v>
      </c>
      <c r="BR39" s="297">
        <f t="shared" ca="1" si="93"/>
        <v>0</v>
      </c>
      <c r="BS39" s="298">
        <f t="shared" ca="1" si="40"/>
        <v>0</v>
      </c>
      <c r="BT39" s="298">
        <f t="shared" ca="1" si="41"/>
        <v>0</v>
      </c>
      <c r="BU39" s="318">
        <f t="shared" ca="1" si="42"/>
        <v>0</v>
      </c>
      <c r="BV39" s="298">
        <f t="shared" ca="1" si="43"/>
        <v>0</v>
      </c>
      <c r="BW39" s="299">
        <f t="shared" ca="1" si="44"/>
        <v>0</v>
      </c>
      <c r="BX39" s="298">
        <f t="shared" ca="1" si="45"/>
        <v>0</v>
      </c>
      <c r="BY39" s="298">
        <f t="shared" ca="1" si="46"/>
        <v>0</v>
      </c>
      <c r="BZ39" s="298">
        <f t="shared" ca="1" si="47"/>
        <v>0</v>
      </c>
      <c r="CA39" s="315">
        <f t="shared" ca="1" si="48"/>
        <v>0.1741200162531488</v>
      </c>
      <c r="CC39" s="52"/>
      <c r="CD39" s="306">
        <f t="shared" ca="1" si="94"/>
        <v>0</v>
      </c>
      <c r="CE39" s="15">
        <f t="shared" ca="1" si="49"/>
        <v>0</v>
      </c>
      <c r="CF39" s="15">
        <f t="shared" ca="1" si="50"/>
        <v>0</v>
      </c>
      <c r="CG39" s="286">
        <f t="shared" ca="1" si="51"/>
        <v>0</v>
      </c>
      <c r="CH39" s="15">
        <f t="shared" ca="1" si="52"/>
        <v>0</v>
      </c>
      <c r="CI39" s="288">
        <f t="shared" ca="1" si="53"/>
        <v>0</v>
      </c>
      <c r="CJ39" s="15">
        <f t="shared" ca="1" si="54"/>
        <v>0</v>
      </c>
      <c r="CK39" s="15">
        <f t="shared" ca="1" si="55"/>
        <v>0</v>
      </c>
      <c r="CL39" s="15">
        <f t="shared" ca="1" si="56"/>
        <v>0</v>
      </c>
      <c r="CM39" s="313">
        <f t="shared" ca="1" si="57"/>
        <v>1</v>
      </c>
      <c r="CO39" s="320">
        <f t="shared" ca="1" si="95"/>
        <v>28</v>
      </c>
      <c r="CP39" s="22">
        <f ca="1">COUNTIFS($C$10:$C38,"&lt;"&amp;$C39,$M$10:$M38,$D39&amp;"_"&amp;CP$9)</f>
        <v>0</v>
      </c>
      <c r="CQ39" s="7">
        <f ca="1">COUNTIFS($C$10:$C38,"&lt;"&amp;$C39,$M$10:$M38,$D39&amp;"_"&amp;CQ$9)</f>
        <v>0</v>
      </c>
      <c r="CR39" s="7">
        <f ca="1">COUNTIFS($C$10:$C38,"&lt;"&amp;$C39,$M$10:$M38,$D39&amp;"_"&amp;CR$9)</f>
        <v>0</v>
      </c>
      <c r="CS39" s="17">
        <f ca="1">COUNTIFS($C$10:$C38,"&lt;"&amp;$C39,$M$10:$M38,$D39&amp;"_"&amp;CS$9)</f>
        <v>0</v>
      </c>
      <c r="CT39" s="7">
        <f ca="1">COUNTIFS($C$10:$C38,"&lt;"&amp;$C39,$M$10:$M38,$D39&amp;"_"&amp;CT$9)</f>
        <v>0</v>
      </c>
      <c r="CU39" s="18">
        <f ca="1">COUNTIFS($C$10:$C38,"&lt;"&amp;$C39,$M$10:$M38,$D39&amp;"_"&amp;CU$9)</f>
        <v>0</v>
      </c>
      <c r="CV39" s="7">
        <f ca="1">COUNTIFS($C$10:$C38,"&lt;"&amp;$C39,$M$10:$M38,$D39&amp;"_"&amp;CV$9)</f>
        <v>0</v>
      </c>
      <c r="CW39" s="7">
        <f ca="1">COUNTIFS($C$10:$C38,"&lt;"&amp;$C39,$M$10:$M38,$D39&amp;"_"&amp;CW$9)</f>
        <v>0</v>
      </c>
      <c r="CX39" s="7">
        <f ca="1">COUNTIFS($C$10:$C38,"&lt;"&amp;$C39,$M$10:$M38,$D39&amp;"_"&amp;CX$9)</f>
        <v>0</v>
      </c>
      <c r="CY39" s="221">
        <f ca="1">COUNTIFS($C$10:$C38,"&lt;"&amp;$C39,$M$10:$M38,$D39&amp;"_"&amp;CY$9)</f>
        <v>28</v>
      </c>
      <c r="DA39" s="20"/>
      <c r="DB39" s="308">
        <f ca="1">IF(CP39=0,0,SUMIFS($P$10:$P38, $C$10:$C38,"&lt;"&amp;$C39, $M$10:$M38,$D39&amp;"_"&amp;DB$9)/CP39)</f>
        <v>0</v>
      </c>
      <c r="DC39" s="263">
        <f ca="1">IF(CQ39=0,0,SUMIFS($P$10:$P38, $C$10:$C38,"&lt;"&amp;$C39, $M$10:$M38,$D39&amp;"_"&amp;DC$9)/CQ39)</f>
        <v>0</v>
      </c>
      <c r="DD39" s="263">
        <f ca="1">IF(CR39=0,0,SUMIFS($P$10:$P38, $C$10:$C38,"&lt;"&amp;$C39, $M$10:$M38,$D39&amp;"_"&amp;DD$9)/CR39)</f>
        <v>0</v>
      </c>
      <c r="DE39" s="262">
        <f ca="1">IF(CS39=0,0,SUMIFS($P$10:$P38, $C$10:$C38,"&lt;"&amp;$C39, $M$10:$M38,$D39&amp;"_"&amp;DE$9)/CS39)</f>
        <v>0</v>
      </c>
      <c r="DF39" s="263">
        <f ca="1">IF(CT39=0,0,SUMIFS($P$10:$P38, $C$10:$C38,"&lt;"&amp;$C39, $M$10:$M38,$D39&amp;"_"&amp;DF$9)/CT39)</f>
        <v>0</v>
      </c>
      <c r="DG39" s="310">
        <f ca="1">IF(CU39=0,0,SUMIFS($P$10:$P38, $C$10:$C38,"&lt;"&amp;$C39, $M$10:$M38,$D39&amp;"_"&amp;DG$9)/CU39)</f>
        <v>0</v>
      </c>
      <c r="DH39" s="263">
        <f ca="1">IF(CV39=0,0,SUMIFS($P$10:$P38, $C$10:$C38,"&lt;"&amp;$C39, $M$10:$M38,$D39&amp;"_"&amp;DH$9)/CV39)</f>
        <v>0</v>
      </c>
      <c r="DI39" s="263">
        <f ca="1">IF(CW39=0,0,SUMIFS($P$10:$P38, $C$10:$C38,"&lt;"&amp;$C39, $M$10:$M38,$D39&amp;"_"&amp;DI$9)/CW39)</f>
        <v>0</v>
      </c>
      <c r="DJ39" s="264">
        <f ca="1">IF(CX39=0,0,SUMIFS($P$10:$P38, $C$10:$C38,"&lt;"&amp;$C39, $M$10:$M38,$D39&amp;"_"&amp;DJ$9)/CX39)</f>
        <v>0</v>
      </c>
      <c r="DK39" s="264">
        <f ca="1">IF(CY39=0,0,SUMIFS($P$10:$P38, $C$10:$C38,"&lt;"&amp;$C39, $M$10:$M38,$D39&amp;"_"&amp;DK$9)/CY39)</f>
        <v>-1</v>
      </c>
      <c r="DM39" s="104"/>
      <c r="DN39" s="306">
        <f t="shared" ca="1" si="96"/>
        <v>-9999</v>
      </c>
      <c r="DO39" s="15">
        <f t="shared" ca="1" si="58"/>
        <v>-9999</v>
      </c>
      <c r="DP39" s="15">
        <f t="shared" ca="1" si="59"/>
        <v>-9999</v>
      </c>
      <c r="DQ39" s="15">
        <f t="shared" ca="1" si="60"/>
        <v>-9999</v>
      </c>
      <c r="DR39" s="15">
        <f t="shared" ca="1" si="61"/>
        <v>-9999</v>
      </c>
      <c r="DS39" s="15">
        <f t="shared" ca="1" si="62"/>
        <v>-9999</v>
      </c>
      <c r="DT39" s="15">
        <f t="shared" ca="1" si="63"/>
        <v>-9999</v>
      </c>
      <c r="DU39" s="15">
        <f t="shared" ca="1" si="64"/>
        <v>-9999</v>
      </c>
      <c r="DV39" s="52">
        <f t="shared" ca="1" si="65"/>
        <v>-9999</v>
      </c>
      <c r="DW39" s="313">
        <f t="shared" ca="1" si="66"/>
        <v>-0.81753439234037306</v>
      </c>
      <c r="DX39" s="52"/>
      <c r="DY39" s="402">
        <f t="shared" ca="1" si="97"/>
        <v>9</v>
      </c>
      <c r="ED39" s="19">
        <f t="shared" ca="1" si="67"/>
        <v>-1</v>
      </c>
      <c r="EE39" s="1">
        <f t="shared" ca="1" si="68"/>
        <v>1</v>
      </c>
      <c r="EF39" s="1">
        <f t="shared" ca="1" si="69"/>
        <v>-1</v>
      </c>
      <c r="EG39" s="2">
        <f t="shared" ca="1" si="70"/>
        <v>1</v>
      </c>
      <c r="EH39" s="1">
        <f t="shared" ca="1" si="71"/>
        <v>-1</v>
      </c>
      <c r="EI39" s="3">
        <f t="shared" ca="1" si="72"/>
        <v>1</v>
      </c>
      <c r="EJ39" s="1">
        <f t="shared" ca="1" si="73"/>
        <v>0</v>
      </c>
      <c r="EK39" s="1">
        <f t="shared" ca="1" si="74"/>
        <v>0</v>
      </c>
      <c r="EL39" s="20">
        <f t="shared" ca="1" si="75"/>
        <v>-1</v>
      </c>
      <c r="EN39" s="86">
        <f ca="1">MAX(0, SUMPRODUCT($ED39:$EL39,OFFSET(DNN!$E$9:$M$9,EN$9,0)) + OFFSET(DNN!$D$9,EN$9,0))</f>
        <v>0</v>
      </c>
      <c r="EO39" s="84">
        <f ca="1">MAX(0, SUMPRODUCT($ED39:$EL39,OFFSET(DNN!$E$9:$M$9,EO$9,0)) + OFFSET(DNN!$D$9,EO$9,0))</f>
        <v>7.2346022384755949E-3</v>
      </c>
      <c r="EP39" s="84">
        <f ca="1">MAX(0, SUMPRODUCT($ED39:$EL39,OFFSET(DNN!$E$9:$M$9,EP$9,0)) + OFFSET(DNN!$D$9,EP$9,0))</f>
        <v>3.6951849750035152E-3</v>
      </c>
      <c r="EQ39" s="84">
        <f ca="1">MAX(0, SUMPRODUCT($ED39:$EL39,OFFSET(DNN!$E$9:$M$9,EQ$9,0)) + OFFSET(DNN!$D$9,EQ$9,0))</f>
        <v>0</v>
      </c>
      <c r="ER39" s="85">
        <f ca="1">MAX(0, SUMPRODUCT($ED39:$EL39,OFFSET(DNN!$E$9:$M$9,ER$9,0)) + OFFSET(DNN!$D$9,ER$9,0))</f>
        <v>0</v>
      </c>
      <c r="ET39" s="86">
        <f ca="1">MAX(0, SUMPRODUCT($EN39:$ER39,OFFSET(DNN!$Q$9:$U$9,ET$9,0)) + OFFSET(DNN!$P$9,ET$9,0))</f>
        <v>4.3954959453478351E-4</v>
      </c>
      <c r="EU39" s="84">
        <f ca="1">MAX(0, SUMPRODUCT($EN39:$ER39,OFFSET(DNN!$Q$9:$U$9,EU$9,0)) + OFFSET(DNN!$P$9,EU$9,0))</f>
        <v>0</v>
      </c>
      <c r="EV39" s="84">
        <f ca="1">MAX(0, SUMPRODUCT($EN39:$ER39,OFFSET(DNN!$Q$9:$U$9,EV$9,0)) + OFFSET(DNN!$P$9,EV$9,0))</f>
        <v>1.2810123361902579E-3</v>
      </c>
      <c r="EW39" s="84">
        <f ca="1">MAX(0, SUMPRODUCT($EN39:$ER39,OFFSET(DNN!$Q$9:$U$9,EW$9,0)) + OFFSET(DNN!$P$9,EW$9,0))</f>
        <v>7.8382123007882457E-4</v>
      </c>
      <c r="EX39" s="85">
        <f ca="1">MAX(0, SUMPRODUCT($EN39:$ER39,OFFSET(DNN!$Q$9:$U$9,EX$9,0)) + OFFSET(DNN!$P$9,EX$9,0))</f>
        <v>0</v>
      </c>
      <c r="EZ39" s="111">
        <f ca="1">SUMPRODUCT($ET39:$EX39,OFFSET(DNN!$Y$9:$AC$9,EZ$9,0)) + OFFSET(DNN!$X$9,EZ$9,0)</f>
        <v>0.43031618918982212</v>
      </c>
      <c r="FA39" s="97">
        <f ca="1">SUMPRODUCT($ET39:$EX39,OFFSET(DNN!$Y$9:$AC$9,FA$9,0)) + OFFSET(DNN!$X$9,FA$9,0)</f>
        <v>-1.2643439935754107E-5</v>
      </c>
      <c r="FB39" s="97">
        <f ca="1">SUMPRODUCT($ET39:$EX39,OFFSET(DNN!$Y$9:$AC$9,FB$9,0)) + OFFSET(DNN!$X$9,FB$9,0)</f>
        <v>1.5239793458415756E-2</v>
      </c>
      <c r="FC39" s="97">
        <f ca="1">SUMPRODUCT($ET39:$EX39,OFFSET(DNN!$Y$9:$AC$9,FC$9,0)) + OFFSET(DNN!$X$9,FC$9,0)</f>
        <v>-8.8749521084055777E-4</v>
      </c>
      <c r="FD39" s="97">
        <f ca="1">SUMPRODUCT($ET39:$EX39,OFFSET(DNN!$Y$9:$AC$9,FD$9,0)) + OFFSET(DNN!$X$9,FD$9,0)</f>
        <v>-4.235816470721872E-4</v>
      </c>
      <c r="FE39" s="97">
        <f ca="1">SUMPRODUCT($ET39:$EX39,OFFSET(DNN!$Y$9:$AC$9,FE$9,0)) + OFFSET(DNN!$X$9,FE$9,0)</f>
        <v>-1.574182761064886E-5</v>
      </c>
      <c r="FF39" s="97">
        <f ca="1">SUMPRODUCT($ET39:$EX39,OFFSET(DNN!$Y$9:$AC$9,FF$9,0)) + OFFSET(DNN!$X$9,FF$9,0)</f>
        <v>-1.3491460223194656E-3</v>
      </c>
      <c r="FG39" s="97">
        <f ca="1">SUMPRODUCT($ET39:$EX39,OFFSET(DNN!$Y$9:$AC$9,FG$9,0)) + OFFSET(DNN!$X$9,FG$9,0)</f>
        <v>-6.2604808096248285E-2</v>
      </c>
      <c r="FH39" s="97">
        <f ca="1">SUMPRODUCT($ET39:$EX39,OFFSET(DNN!$Y$9:$AC$9,FH$9,0)) + OFFSET(DNN!$X$9,FH$9,0)</f>
        <v>8.6810016937029894E-4</v>
      </c>
      <c r="FI39" s="108">
        <f ca="1">SUMPRODUCT($ET39:$EX39,OFFSET(DNN!$Y$9:$AC$9,FI$9,0)) + OFFSET(DNN!$X$9,FI$9,0)</f>
        <v>-1.3182687612562751</v>
      </c>
      <c r="FJ39" s="98">
        <f ca="1">SUMPRODUCT($ET39:$EX39,OFFSET(DNN!$Y$9:$AC$9,FJ$9,0)) + OFFSET(DNN!$X$9,FJ$9,0)</f>
        <v>-2.2535161745939301E-5</v>
      </c>
      <c r="FL39" s="415">
        <f t="shared" ca="1" si="98"/>
        <v>0.43031618918982212</v>
      </c>
      <c r="FM39" s="130">
        <f t="shared" ca="1" si="99"/>
        <v>1</v>
      </c>
      <c r="FN39" s="131">
        <f t="shared" ca="1" si="100"/>
        <v>0.65029522127322903</v>
      </c>
      <c r="FO39" s="131">
        <f t="shared" ca="1" si="101"/>
        <v>0.66028983545318687</v>
      </c>
      <c r="FP39" s="131">
        <f t="shared" ca="1" si="102"/>
        <v>0.64972655813153501</v>
      </c>
      <c r="FQ39" s="131">
        <f t="shared" ca="1" si="103"/>
        <v>0.65002804502111444</v>
      </c>
      <c r="FR39" s="131">
        <f t="shared" ca="1" si="104"/>
        <v>0.65029320640965171</v>
      </c>
      <c r="FS39" s="131">
        <f t="shared" ca="1" si="105"/>
        <v>0.64942668056342145</v>
      </c>
      <c r="FT39" s="131">
        <f t="shared" ca="1" si="106"/>
        <v>0.61083952513994022</v>
      </c>
      <c r="FU39" s="132">
        <f t="shared" ca="1" si="107"/>
        <v>0.6508682169276182</v>
      </c>
      <c r="FV39" s="131">
        <f t="shared" ca="1" si="108"/>
        <v>0.17402001625314881</v>
      </c>
      <c r="FW39" s="83">
        <f t="shared" ca="1" si="109"/>
        <v>-2.2535161742124597E-5</v>
      </c>
    </row>
    <row r="40" spans="1:179">
      <c r="A40" s="19">
        <f t="shared" si="117"/>
        <v>30</v>
      </c>
      <c r="B40" s="1">
        <f t="shared" ca="1" si="111"/>
        <v>0</v>
      </c>
      <c r="C40" s="20">
        <f t="shared" ca="1" si="112"/>
        <v>30</v>
      </c>
      <c r="D40" s="19" t="str">
        <f t="shared" ca="1" si="113"/>
        <v>〇×〇×〇×--〇</v>
      </c>
      <c r="E40" s="7">
        <f t="shared" ca="1" si="77"/>
        <v>9</v>
      </c>
      <c r="F40" s="7">
        <f t="shared" ca="1" si="78"/>
        <v>1</v>
      </c>
      <c r="G40" s="1" t="str">
        <f t="shared" ca="1" si="116"/>
        <v>〇×〇×〇×--〇</v>
      </c>
      <c r="H40" s="20" t="b">
        <f t="shared" ca="1" si="80"/>
        <v>1</v>
      </c>
      <c r="I40" s="22">
        <f t="shared" ca="1" si="114"/>
        <v>-1</v>
      </c>
      <c r="J40" s="1" t="b">
        <f ca="1">(1&lt;COUNTIF(D$10:D40,D40))</f>
        <v>1</v>
      </c>
      <c r="K40" s="1" t="b">
        <f t="shared" ca="1" si="81"/>
        <v>1</v>
      </c>
      <c r="L40" s="7">
        <f ca="1">MATCH(TRUE,K40:K$1048576,FALSE)-1</f>
        <v>0</v>
      </c>
      <c r="M40" s="24" t="str">
        <f t="shared" ca="1" si="13"/>
        <v>〇×〇×〇×--〇_9</v>
      </c>
      <c r="N40" s="25">
        <f t="shared" ca="1" si="82"/>
        <v>-2.2535161742124597E-5</v>
      </c>
      <c r="O40" s="26">
        <f t="shared" ca="1" si="83"/>
        <v>-1</v>
      </c>
      <c r="P40" s="27">
        <f t="shared" ca="1" si="84"/>
        <v>-1</v>
      </c>
      <c r="R40" s="41" t="str">
        <f ca="1">VLOOKUP(S40,cvt!$B$2:$C$4,2,FALSE)&amp;VLOOKUP(T40,cvt!$B$2:$C$4,2,FALSE)&amp;VLOOKUP(U40,cvt!$B$2:$C$4,2,FALSE)
&amp;VLOOKUP(V40,cvt!$B$2:$C$4,2,FALSE)&amp;VLOOKUP(W40,cvt!$B$2:$C$4,2,FALSE)&amp;VLOOKUP(X40,cvt!$B$2:$C$4,2,FALSE)
&amp;VLOOKUP(Y40,cvt!$B$2:$C$4,2,FALSE)&amp;VLOOKUP(Z40,cvt!$B$2:$C$4,2,FALSE)&amp;VLOOKUP(AA40,cvt!$B$2:$C$4,2,FALSE)</f>
        <v>〇×〇×〇×--〇</v>
      </c>
      <c r="S40" s="7">
        <f ca="1">VLOOKUP(MID($D40,S$9+1,1), cvt!$A$2:$B$4,2, FALSE)</f>
        <v>1</v>
      </c>
      <c r="T40" s="7">
        <f ca="1">VLOOKUP(MID($D40,T$9+1,1), cvt!$A$2:$B$4,2, FALSE)</f>
        <v>-1</v>
      </c>
      <c r="U40" s="7">
        <f ca="1">VLOOKUP(MID($D40,U$9+1,1), cvt!$A$2:$B$4,2, FALSE)</f>
        <v>1</v>
      </c>
      <c r="V40" s="17">
        <f ca="1">VLOOKUP(MID($D40,V$9+1,1), cvt!$A$2:$B$4,2, FALSE)</f>
        <v>-1</v>
      </c>
      <c r="W40" s="7">
        <f ca="1">VLOOKUP(MID($D40,W$9+1,1), cvt!$A$2:$B$4,2, FALSE)</f>
        <v>1</v>
      </c>
      <c r="X40" s="18">
        <f ca="1">VLOOKUP(MID($D40,X$9+1,1), cvt!$A$2:$B$4,2, FALSE)</f>
        <v>-1</v>
      </c>
      <c r="Y40" s="7">
        <f ca="1">VLOOKUP(MID($D40,Y$9+1,1), cvt!$A$2:$B$4,2, FALSE)</f>
        <v>0</v>
      </c>
      <c r="Z40" s="7">
        <f ca="1">VLOOKUP(MID($D40,Z$9+1,1), cvt!$A$2:$B$4,2, FALSE)</f>
        <v>0</v>
      </c>
      <c r="AA40" s="42">
        <f ca="1">VLOOKUP(MID($D40,AA$9+1,1), cvt!$A$2:$B$4,2, FALSE)</f>
        <v>1</v>
      </c>
      <c r="AB40" s="7">
        <f t="shared" ca="1" si="85"/>
        <v>1</v>
      </c>
      <c r="AC40" s="50" t="b">
        <f t="shared" ca="1" si="86"/>
        <v>1</v>
      </c>
      <c r="AE40" s="19" t="str">
        <f ca="1">VLOOKUP(AF40,cvt!$B$2:$C$4,2,FALSE)&amp;VLOOKUP(AG40,cvt!$B$2:$C$4,2,FALSE)&amp;VLOOKUP(AH40,cvt!$B$2:$C$4,2,FALSE)
&amp;VLOOKUP(AI40,cvt!$B$2:$C$4,2,FALSE)&amp;VLOOKUP(AJ40,cvt!$B$2:$C$4,2,FALSE)&amp;VLOOKUP(AK40,cvt!$B$2:$C$4,2,FALSE)
&amp;VLOOKUP(AL40,cvt!$B$2:$C$4,2,FALSE)&amp;VLOOKUP(AM40,cvt!$B$2:$C$4,2,FALSE)&amp;VLOOKUP(AN40,cvt!$B$2:$C$4,2,FALSE)</f>
        <v>〇×〇×〇×--〇</v>
      </c>
      <c r="AF40" s="17">
        <f t="shared" ca="1" si="14"/>
        <v>1</v>
      </c>
      <c r="AG40" s="7">
        <f t="shared" ca="1" si="15"/>
        <v>-1</v>
      </c>
      <c r="AH40" s="7">
        <f t="shared" ca="1" si="16"/>
        <v>1</v>
      </c>
      <c r="AI40" s="17">
        <f t="shared" ca="1" si="17"/>
        <v>-1</v>
      </c>
      <c r="AJ40" s="7">
        <f t="shared" ca="1" si="18"/>
        <v>1</v>
      </c>
      <c r="AK40" s="18">
        <f t="shared" ca="1" si="19"/>
        <v>-1</v>
      </c>
      <c r="AL40" s="7">
        <f t="shared" ca="1" si="20"/>
        <v>0</v>
      </c>
      <c r="AM40" s="7">
        <f t="shared" ca="1" si="21"/>
        <v>0</v>
      </c>
      <c r="AN40" s="18">
        <f t="shared" ca="1" si="22"/>
        <v>1</v>
      </c>
      <c r="AO40" s="7">
        <f t="shared" ca="1" si="115"/>
        <v>1</v>
      </c>
      <c r="AP40" s="50" t="b">
        <f t="shared" ca="1" si="87"/>
        <v>1</v>
      </c>
      <c r="AS40" s="22">
        <f t="shared" ca="1" si="88"/>
        <v>0</v>
      </c>
      <c r="AT40" s="7">
        <f t="shared" ca="1" si="23"/>
        <v>0</v>
      </c>
      <c r="AU40" s="7">
        <f t="shared" ca="1" si="24"/>
        <v>0</v>
      </c>
      <c r="AV40" s="7">
        <f t="shared" ca="1" si="25"/>
        <v>0</v>
      </c>
      <c r="AW40" s="7">
        <f t="shared" ca="1" si="26"/>
        <v>0</v>
      </c>
      <c r="AX40" s="7">
        <f t="shared" ca="1" si="27"/>
        <v>0</v>
      </c>
      <c r="AY40" s="7">
        <f t="shared" ca="1" si="28"/>
        <v>0</v>
      </c>
      <c r="AZ40" s="7">
        <f t="shared" ca="1" si="29"/>
        <v>0</v>
      </c>
      <c r="BA40" s="18">
        <f t="shared" ca="1" si="30"/>
        <v>0</v>
      </c>
      <c r="BB40" s="295">
        <f t="shared" ca="1" si="89"/>
        <v>1</v>
      </c>
      <c r="BD40" s="132"/>
      <c r="BE40" s="297">
        <f t="shared" ca="1" si="90"/>
        <v>1</v>
      </c>
      <c r="BF40" s="298">
        <f t="shared" ca="1" si="31"/>
        <v>0.65029522127322903</v>
      </c>
      <c r="BG40" s="298">
        <f t="shared" ca="1" si="32"/>
        <v>0.66028983545318687</v>
      </c>
      <c r="BH40" s="318">
        <f t="shared" ca="1" si="33"/>
        <v>0.64972655813153501</v>
      </c>
      <c r="BI40" s="298">
        <f t="shared" ca="1" si="34"/>
        <v>0.65002804502111444</v>
      </c>
      <c r="BJ40" s="299">
        <f t="shared" ca="1" si="35"/>
        <v>0.65029320640965171</v>
      </c>
      <c r="BK40" s="298">
        <f t="shared" ca="1" si="36"/>
        <v>0.64942668056342145</v>
      </c>
      <c r="BL40" s="298">
        <f t="shared" ca="1" si="37"/>
        <v>0.61083952513994022</v>
      </c>
      <c r="BM40" s="299">
        <f t="shared" ca="1" si="38"/>
        <v>0.6508682169276182</v>
      </c>
      <c r="BN40" s="295">
        <f t="shared" ca="1" si="39"/>
        <v>0.17402001625314881</v>
      </c>
      <c r="BO40" s="248">
        <f t="shared" ca="1" si="91"/>
        <v>-2.2535161742124597E-5</v>
      </c>
      <c r="BQ40" s="304">
        <f t="shared" ca="1" si="92"/>
        <v>0.1741200162531488</v>
      </c>
      <c r="BR40" s="297">
        <f t="shared" ca="1" si="93"/>
        <v>0</v>
      </c>
      <c r="BS40" s="298">
        <f t="shared" ca="1" si="40"/>
        <v>0</v>
      </c>
      <c r="BT40" s="298">
        <f t="shared" ca="1" si="41"/>
        <v>0</v>
      </c>
      <c r="BU40" s="318">
        <f t="shared" ca="1" si="42"/>
        <v>0</v>
      </c>
      <c r="BV40" s="298">
        <f t="shared" ca="1" si="43"/>
        <v>0</v>
      </c>
      <c r="BW40" s="299">
        <f t="shared" ca="1" si="44"/>
        <v>0</v>
      </c>
      <c r="BX40" s="298">
        <f t="shared" ca="1" si="45"/>
        <v>0</v>
      </c>
      <c r="BY40" s="298">
        <f t="shared" ca="1" si="46"/>
        <v>0</v>
      </c>
      <c r="BZ40" s="298">
        <f t="shared" ca="1" si="47"/>
        <v>0</v>
      </c>
      <c r="CA40" s="315">
        <f t="shared" ca="1" si="48"/>
        <v>0.1741200162531488</v>
      </c>
      <c r="CC40" s="52"/>
      <c r="CD40" s="306">
        <f t="shared" ca="1" si="94"/>
        <v>0</v>
      </c>
      <c r="CE40" s="15">
        <f t="shared" ca="1" si="49"/>
        <v>0</v>
      </c>
      <c r="CF40" s="15">
        <f t="shared" ca="1" si="50"/>
        <v>0</v>
      </c>
      <c r="CG40" s="286">
        <f t="shared" ca="1" si="51"/>
        <v>0</v>
      </c>
      <c r="CH40" s="15">
        <f t="shared" ca="1" si="52"/>
        <v>0</v>
      </c>
      <c r="CI40" s="288">
        <f t="shared" ca="1" si="53"/>
        <v>0</v>
      </c>
      <c r="CJ40" s="15">
        <f t="shared" ca="1" si="54"/>
        <v>0</v>
      </c>
      <c r="CK40" s="15">
        <f t="shared" ca="1" si="55"/>
        <v>0</v>
      </c>
      <c r="CL40" s="15">
        <f t="shared" ca="1" si="56"/>
        <v>0</v>
      </c>
      <c r="CM40" s="313">
        <f t="shared" ca="1" si="57"/>
        <v>1</v>
      </c>
      <c r="CO40" s="320">
        <f t="shared" ca="1" si="95"/>
        <v>29</v>
      </c>
      <c r="CP40" s="22">
        <f ca="1">COUNTIFS($C$10:$C39,"&lt;"&amp;$C40,$M$10:$M39,$D40&amp;"_"&amp;CP$9)</f>
        <v>0</v>
      </c>
      <c r="CQ40" s="7">
        <f ca="1">COUNTIFS($C$10:$C39,"&lt;"&amp;$C40,$M$10:$M39,$D40&amp;"_"&amp;CQ$9)</f>
        <v>0</v>
      </c>
      <c r="CR40" s="7">
        <f ca="1">COUNTIFS($C$10:$C39,"&lt;"&amp;$C40,$M$10:$M39,$D40&amp;"_"&amp;CR$9)</f>
        <v>0</v>
      </c>
      <c r="CS40" s="17">
        <f ca="1">COUNTIFS($C$10:$C39,"&lt;"&amp;$C40,$M$10:$M39,$D40&amp;"_"&amp;CS$9)</f>
        <v>0</v>
      </c>
      <c r="CT40" s="7">
        <f ca="1">COUNTIFS($C$10:$C39,"&lt;"&amp;$C40,$M$10:$M39,$D40&amp;"_"&amp;CT$9)</f>
        <v>0</v>
      </c>
      <c r="CU40" s="18">
        <f ca="1">COUNTIFS($C$10:$C39,"&lt;"&amp;$C40,$M$10:$M39,$D40&amp;"_"&amp;CU$9)</f>
        <v>0</v>
      </c>
      <c r="CV40" s="7">
        <f ca="1">COUNTIFS($C$10:$C39,"&lt;"&amp;$C40,$M$10:$M39,$D40&amp;"_"&amp;CV$9)</f>
        <v>0</v>
      </c>
      <c r="CW40" s="7">
        <f ca="1">COUNTIFS($C$10:$C39,"&lt;"&amp;$C40,$M$10:$M39,$D40&amp;"_"&amp;CW$9)</f>
        <v>0</v>
      </c>
      <c r="CX40" s="7">
        <f ca="1">COUNTIFS($C$10:$C39,"&lt;"&amp;$C40,$M$10:$M39,$D40&amp;"_"&amp;CX$9)</f>
        <v>0</v>
      </c>
      <c r="CY40" s="221">
        <f ca="1">COUNTIFS($C$10:$C39,"&lt;"&amp;$C40,$M$10:$M39,$D40&amp;"_"&amp;CY$9)</f>
        <v>29</v>
      </c>
      <c r="DA40" s="20"/>
      <c r="DB40" s="308">
        <f ca="1">IF(CP40=0,0,SUMIFS($P$10:$P39, $C$10:$C39,"&lt;"&amp;$C40, $M$10:$M39,$D40&amp;"_"&amp;DB$9)/CP40)</f>
        <v>0</v>
      </c>
      <c r="DC40" s="263">
        <f ca="1">IF(CQ40=0,0,SUMIFS($P$10:$P39, $C$10:$C39,"&lt;"&amp;$C40, $M$10:$M39,$D40&amp;"_"&amp;DC$9)/CQ40)</f>
        <v>0</v>
      </c>
      <c r="DD40" s="263">
        <f ca="1">IF(CR40=0,0,SUMIFS($P$10:$P39, $C$10:$C39,"&lt;"&amp;$C40, $M$10:$M39,$D40&amp;"_"&amp;DD$9)/CR40)</f>
        <v>0</v>
      </c>
      <c r="DE40" s="262">
        <f ca="1">IF(CS40=0,0,SUMIFS($P$10:$P39, $C$10:$C39,"&lt;"&amp;$C40, $M$10:$M39,$D40&amp;"_"&amp;DE$9)/CS40)</f>
        <v>0</v>
      </c>
      <c r="DF40" s="263">
        <f ca="1">IF(CT40=0,0,SUMIFS($P$10:$P39, $C$10:$C39,"&lt;"&amp;$C40, $M$10:$M39,$D40&amp;"_"&amp;DF$9)/CT40)</f>
        <v>0</v>
      </c>
      <c r="DG40" s="310">
        <f ca="1">IF(CU40=0,0,SUMIFS($P$10:$P39, $C$10:$C39,"&lt;"&amp;$C40, $M$10:$M39,$D40&amp;"_"&amp;DG$9)/CU40)</f>
        <v>0</v>
      </c>
      <c r="DH40" s="263">
        <f ca="1">IF(CV40=0,0,SUMIFS($P$10:$P39, $C$10:$C39,"&lt;"&amp;$C40, $M$10:$M39,$D40&amp;"_"&amp;DH$9)/CV40)</f>
        <v>0</v>
      </c>
      <c r="DI40" s="263">
        <f ca="1">IF(CW40=0,0,SUMIFS($P$10:$P39, $C$10:$C39,"&lt;"&amp;$C40, $M$10:$M39,$D40&amp;"_"&amp;DI$9)/CW40)</f>
        <v>0</v>
      </c>
      <c r="DJ40" s="264">
        <f ca="1">IF(CX40=0,0,SUMIFS($P$10:$P39, $C$10:$C39,"&lt;"&amp;$C40, $M$10:$M39,$D40&amp;"_"&amp;DJ$9)/CX40)</f>
        <v>0</v>
      </c>
      <c r="DK40" s="264">
        <f ca="1">IF(CY40=0,0,SUMIFS($P$10:$P39, $C$10:$C39,"&lt;"&amp;$C40, $M$10:$M39,$D40&amp;"_"&amp;DK$9)/CY40)</f>
        <v>-1</v>
      </c>
      <c r="DM40" s="104"/>
      <c r="DN40" s="306">
        <f t="shared" ca="1" si="96"/>
        <v>-9999</v>
      </c>
      <c r="DO40" s="15">
        <f t="shared" ca="1" si="58"/>
        <v>-9999</v>
      </c>
      <c r="DP40" s="15">
        <f t="shared" ca="1" si="59"/>
        <v>-9999</v>
      </c>
      <c r="DQ40" s="15">
        <f t="shared" ca="1" si="60"/>
        <v>-9999</v>
      </c>
      <c r="DR40" s="15">
        <f t="shared" ca="1" si="61"/>
        <v>-9999</v>
      </c>
      <c r="DS40" s="15">
        <f t="shared" ca="1" si="62"/>
        <v>-9999</v>
      </c>
      <c r="DT40" s="15">
        <f t="shared" ca="1" si="63"/>
        <v>-9999</v>
      </c>
      <c r="DU40" s="15">
        <f t="shared" ca="1" si="64"/>
        <v>-9999</v>
      </c>
      <c r="DV40" s="52">
        <f t="shared" ca="1" si="65"/>
        <v>-9999</v>
      </c>
      <c r="DW40" s="313">
        <f t="shared" ca="1" si="66"/>
        <v>-0.82049450642884991</v>
      </c>
      <c r="DX40" s="52"/>
      <c r="DY40" s="402">
        <f t="shared" ca="1" si="97"/>
        <v>9</v>
      </c>
      <c r="ED40" s="19">
        <f t="shared" ca="1" si="67"/>
        <v>-1</v>
      </c>
      <c r="EE40" s="1">
        <f t="shared" ca="1" si="68"/>
        <v>1</v>
      </c>
      <c r="EF40" s="1">
        <f t="shared" ca="1" si="69"/>
        <v>-1</v>
      </c>
      <c r="EG40" s="2">
        <f t="shared" ca="1" si="70"/>
        <v>1</v>
      </c>
      <c r="EH40" s="1">
        <f t="shared" ca="1" si="71"/>
        <v>-1</v>
      </c>
      <c r="EI40" s="3">
        <f t="shared" ca="1" si="72"/>
        <v>1</v>
      </c>
      <c r="EJ40" s="1">
        <f t="shared" ca="1" si="73"/>
        <v>0</v>
      </c>
      <c r="EK40" s="1">
        <f t="shared" ca="1" si="74"/>
        <v>0</v>
      </c>
      <c r="EL40" s="20">
        <f t="shared" ca="1" si="75"/>
        <v>-1</v>
      </c>
      <c r="EN40" s="86">
        <f ca="1">MAX(0, SUMPRODUCT($ED40:$EL40,OFFSET(DNN!$E$9:$M$9,EN$9,0)) + OFFSET(DNN!$D$9,EN$9,0))</f>
        <v>0</v>
      </c>
      <c r="EO40" s="84">
        <f ca="1">MAX(0, SUMPRODUCT($ED40:$EL40,OFFSET(DNN!$E$9:$M$9,EO$9,0)) + OFFSET(DNN!$D$9,EO$9,0))</f>
        <v>7.2346022384755949E-3</v>
      </c>
      <c r="EP40" s="84">
        <f ca="1">MAX(0, SUMPRODUCT($ED40:$EL40,OFFSET(DNN!$E$9:$M$9,EP$9,0)) + OFFSET(DNN!$D$9,EP$9,0))</f>
        <v>3.6951849750035152E-3</v>
      </c>
      <c r="EQ40" s="84">
        <f ca="1">MAX(0, SUMPRODUCT($ED40:$EL40,OFFSET(DNN!$E$9:$M$9,EQ$9,0)) + OFFSET(DNN!$D$9,EQ$9,0))</f>
        <v>0</v>
      </c>
      <c r="ER40" s="85">
        <f ca="1">MAX(0, SUMPRODUCT($ED40:$EL40,OFFSET(DNN!$E$9:$M$9,ER$9,0)) + OFFSET(DNN!$D$9,ER$9,0))</f>
        <v>0</v>
      </c>
      <c r="ET40" s="86">
        <f ca="1">MAX(0, SUMPRODUCT($EN40:$ER40,OFFSET(DNN!$Q$9:$U$9,ET$9,0)) + OFFSET(DNN!$P$9,ET$9,0))</f>
        <v>4.3954959453478351E-4</v>
      </c>
      <c r="EU40" s="84">
        <f ca="1">MAX(0, SUMPRODUCT($EN40:$ER40,OFFSET(DNN!$Q$9:$U$9,EU$9,0)) + OFFSET(DNN!$P$9,EU$9,0))</f>
        <v>0</v>
      </c>
      <c r="EV40" s="84">
        <f ca="1">MAX(0, SUMPRODUCT($EN40:$ER40,OFFSET(DNN!$Q$9:$U$9,EV$9,0)) + OFFSET(DNN!$P$9,EV$9,0))</f>
        <v>1.2810123361902579E-3</v>
      </c>
      <c r="EW40" s="84">
        <f ca="1">MAX(0, SUMPRODUCT($EN40:$ER40,OFFSET(DNN!$Q$9:$U$9,EW$9,0)) + OFFSET(DNN!$P$9,EW$9,0))</f>
        <v>7.8382123007882457E-4</v>
      </c>
      <c r="EX40" s="85">
        <f ca="1">MAX(0, SUMPRODUCT($EN40:$ER40,OFFSET(DNN!$Q$9:$U$9,EX$9,0)) + OFFSET(DNN!$P$9,EX$9,0))</f>
        <v>0</v>
      </c>
      <c r="EZ40" s="111">
        <f ca="1">SUMPRODUCT($ET40:$EX40,OFFSET(DNN!$Y$9:$AC$9,EZ$9,0)) + OFFSET(DNN!$X$9,EZ$9,0)</f>
        <v>0.43031618918982212</v>
      </c>
      <c r="FA40" s="97">
        <f ca="1">SUMPRODUCT($ET40:$EX40,OFFSET(DNN!$Y$9:$AC$9,FA$9,0)) + OFFSET(DNN!$X$9,FA$9,0)</f>
        <v>-1.2643439935754107E-5</v>
      </c>
      <c r="FB40" s="97">
        <f ca="1">SUMPRODUCT($ET40:$EX40,OFFSET(DNN!$Y$9:$AC$9,FB$9,0)) + OFFSET(DNN!$X$9,FB$9,0)</f>
        <v>1.5239793458415756E-2</v>
      </c>
      <c r="FC40" s="97">
        <f ca="1">SUMPRODUCT($ET40:$EX40,OFFSET(DNN!$Y$9:$AC$9,FC$9,0)) + OFFSET(DNN!$X$9,FC$9,0)</f>
        <v>-8.8749521084055777E-4</v>
      </c>
      <c r="FD40" s="97">
        <f ca="1">SUMPRODUCT($ET40:$EX40,OFFSET(DNN!$Y$9:$AC$9,FD$9,0)) + OFFSET(DNN!$X$9,FD$9,0)</f>
        <v>-4.235816470721872E-4</v>
      </c>
      <c r="FE40" s="97">
        <f ca="1">SUMPRODUCT($ET40:$EX40,OFFSET(DNN!$Y$9:$AC$9,FE$9,0)) + OFFSET(DNN!$X$9,FE$9,0)</f>
        <v>-1.574182761064886E-5</v>
      </c>
      <c r="FF40" s="97">
        <f ca="1">SUMPRODUCT($ET40:$EX40,OFFSET(DNN!$Y$9:$AC$9,FF$9,0)) + OFFSET(DNN!$X$9,FF$9,0)</f>
        <v>-1.3491460223194656E-3</v>
      </c>
      <c r="FG40" s="97">
        <f ca="1">SUMPRODUCT($ET40:$EX40,OFFSET(DNN!$Y$9:$AC$9,FG$9,0)) + OFFSET(DNN!$X$9,FG$9,0)</f>
        <v>-6.2604808096248285E-2</v>
      </c>
      <c r="FH40" s="97">
        <f ca="1">SUMPRODUCT($ET40:$EX40,OFFSET(DNN!$Y$9:$AC$9,FH$9,0)) + OFFSET(DNN!$X$9,FH$9,0)</f>
        <v>8.6810016937029894E-4</v>
      </c>
      <c r="FI40" s="108">
        <f ca="1">SUMPRODUCT($ET40:$EX40,OFFSET(DNN!$Y$9:$AC$9,FI$9,0)) + OFFSET(DNN!$X$9,FI$9,0)</f>
        <v>-1.3182687612562751</v>
      </c>
      <c r="FJ40" s="98">
        <f ca="1">SUMPRODUCT($ET40:$EX40,OFFSET(DNN!$Y$9:$AC$9,FJ$9,0)) + OFFSET(DNN!$X$9,FJ$9,0)</f>
        <v>-2.2535161745939301E-5</v>
      </c>
      <c r="FL40" s="415">
        <f t="shared" ca="1" si="98"/>
        <v>0.43031618918982212</v>
      </c>
      <c r="FM40" s="130">
        <f t="shared" ca="1" si="99"/>
        <v>1</v>
      </c>
      <c r="FN40" s="131">
        <f t="shared" ca="1" si="100"/>
        <v>0.65029522127322903</v>
      </c>
      <c r="FO40" s="131">
        <f t="shared" ca="1" si="101"/>
        <v>0.66028983545318687</v>
      </c>
      <c r="FP40" s="131">
        <f t="shared" ca="1" si="102"/>
        <v>0.64972655813153501</v>
      </c>
      <c r="FQ40" s="131">
        <f t="shared" ca="1" si="103"/>
        <v>0.65002804502111444</v>
      </c>
      <c r="FR40" s="131">
        <f t="shared" ca="1" si="104"/>
        <v>0.65029320640965171</v>
      </c>
      <c r="FS40" s="131">
        <f t="shared" ca="1" si="105"/>
        <v>0.64942668056342145</v>
      </c>
      <c r="FT40" s="131">
        <f t="shared" ca="1" si="106"/>
        <v>0.61083952513994022</v>
      </c>
      <c r="FU40" s="132">
        <f t="shared" ca="1" si="107"/>
        <v>0.6508682169276182</v>
      </c>
      <c r="FV40" s="131">
        <f t="shared" ca="1" si="108"/>
        <v>0.17402001625314881</v>
      </c>
      <c r="FW40" s="83">
        <f t="shared" ca="1" si="109"/>
        <v>-2.2535161742124597E-5</v>
      </c>
    </row>
    <row r="41" spans="1:179">
      <c r="A41" s="19">
        <f t="shared" si="117"/>
        <v>31</v>
      </c>
      <c r="B41" s="1">
        <f t="shared" ca="1" si="111"/>
        <v>0</v>
      </c>
      <c r="C41" s="20">
        <f t="shared" ca="1" si="112"/>
        <v>31</v>
      </c>
      <c r="D41" s="19" t="str">
        <f t="shared" ca="1" si="113"/>
        <v>〇×〇×〇×--〇</v>
      </c>
      <c r="E41" s="7">
        <f t="shared" ca="1" si="77"/>
        <v>9</v>
      </c>
      <c r="F41" s="7">
        <f t="shared" ca="1" si="78"/>
        <v>1</v>
      </c>
      <c r="G41" s="1" t="str">
        <f t="shared" ca="1" si="116"/>
        <v>〇×〇×〇×--〇</v>
      </c>
      <c r="H41" s="20" t="b">
        <f t="shared" ca="1" si="80"/>
        <v>1</v>
      </c>
      <c r="I41" s="22">
        <f t="shared" ca="1" si="114"/>
        <v>-1</v>
      </c>
      <c r="J41" s="1" t="b">
        <f ca="1">(1&lt;COUNTIF(D$10:D41,D41))</f>
        <v>1</v>
      </c>
      <c r="K41" s="1" t="b">
        <f t="shared" ca="1" si="81"/>
        <v>1</v>
      </c>
      <c r="L41" s="7">
        <f ca="1">MATCH(TRUE,K41:K$1048576,FALSE)-1</f>
        <v>0</v>
      </c>
      <c r="M41" s="24" t="str">
        <f t="shared" ca="1" si="13"/>
        <v>〇×〇×〇×--〇_9</v>
      </c>
      <c r="N41" s="25">
        <f t="shared" ca="1" si="82"/>
        <v>-2.2535161742124597E-5</v>
      </c>
      <c r="O41" s="26">
        <f t="shared" ca="1" si="83"/>
        <v>-1</v>
      </c>
      <c r="P41" s="27">
        <f t="shared" ca="1" si="84"/>
        <v>-1</v>
      </c>
      <c r="R41" s="41" t="str">
        <f ca="1">VLOOKUP(S41,cvt!$B$2:$C$4,2,FALSE)&amp;VLOOKUP(T41,cvt!$B$2:$C$4,2,FALSE)&amp;VLOOKUP(U41,cvt!$B$2:$C$4,2,FALSE)
&amp;VLOOKUP(V41,cvt!$B$2:$C$4,2,FALSE)&amp;VLOOKUP(W41,cvt!$B$2:$C$4,2,FALSE)&amp;VLOOKUP(X41,cvt!$B$2:$C$4,2,FALSE)
&amp;VLOOKUP(Y41,cvt!$B$2:$C$4,2,FALSE)&amp;VLOOKUP(Z41,cvt!$B$2:$C$4,2,FALSE)&amp;VLOOKUP(AA41,cvt!$B$2:$C$4,2,FALSE)</f>
        <v>〇×〇×〇×--〇</v>
      </c>
      <c r="S41" s="7">
        <f ca="1">VLOOKUP(MID($D41,S$9+1,1), cvt!$A$2:$B$4,2, FALSE)</f>
        <v>1</v>
      </c>
      <c r="T41" s="7">
        <f ca="1">VLOOKUP(MID($D41,T$9+1,1), cvt!$A$2:$B$4,2, FALSE)</f>
        <v>-1</v>
      </c>
      <c r="U41" s="7">
        <f ca="1">VLOOKUP(MID($D41,U$9+1,1), cvt!$A$2:$B$4,2, FALSE)</f>
        <v>1</v>
      </c>
      <c r="V41" s="17">
        <f ca="1">VLOOKUP(MID($D41,V$9+1,1), cvt!$A$2:$B$4,2, FALSE)</f>
        <v>-1</v>
      </c>
      <c r="W41" s="7">
        <f ca="1">VLOOKUP(MID($D41,W$9+1,1), cvt!$A$2:$B$4,2, FALSE)</f>
        <v>1</v>
      </c>
      <c r="X41" s="18">
        <f ca="1">VLOOKUP(MID($D41,X$9+1,1), cvt!$A$2:$B$4,2, FALSE)</f>
        <v>-1</v>
      </c>
      <c r="Y41" s="7">
        <f ca="1">VLOOKUP(MID($D41,Y$9+1,1), cvt!$A$2:$B$4,2, FALSE)</f>
        <v>0</v>
      </c>
      <c r="Z41" s="7">
        <f ca="1">VLOOKUP(MID($D41,Z$9+1,1), cvt!$A$2:$B$4,2, FALSE)</f>
        <v>0</v>
      </c>
      <c r="AA41" s="42">
        <f ca="1">VLOOKUP(MID($D41,AA$9+1,1), cvt!$A$2:$B$4,2, FALSE)</f>
        <v>1</v>
      </c>
      <c r="AB41" s="7">
        <f t="shared" ca="1" si="85"/>
        <v>1</v>
      </c>
      <c r="AC41" s="50" t="b">
        <f t="shared" ca="1" si="86"/>
        <v>1</v>
      </c>
      <c r="AE41" s="19" t="str">
        <f ca="1">VLOOKUP(AF41,cvt!$B$2:$C$4,2,FALSE)&amp;VLOOKUP(AG41,cvt!$B$2:$C$4,2,FALSE)&amp;VLOOKUP(AH41,cvt!$B$2:$C$4,2,FALSE)
&amp;VLOOKUP(AI41,cvt!$B$2:$C$4,2,FALSE)&amp;VLOOKUP(AJ41,cvt!$B$2:$C$4,2,FALSE)&amp;VLOOKUP(AK41,cvt!$B$2:$C$4,2,FALSE)
&amp;VLOOKUP(AL41,cvt!$B$2:$C$4,2,FALSE)&amp;VLOOKUP(AM41,cvt!$B$2:$C$4,2,FALSE)&amp;VLOOKUP(AN41,cvt!$B$2:$C$4,2,FALSE)</f>
        <v>〇×〇×〇×--〇</v>
      </c>
      <c r="AF41" s="17">
        <f t="shared" ca="1" si="14"/>
        <v>1</v>
      </c>
      <c r="AG41" s="7">
        <f t="shared" ca="1" si="15"/>
        <v>-1</v>
      </c>
      <c r="AH41" s="7">
        <f t="shared" ca="1" si="16"/>
        <v>1</v>
      </c>
      <c r="AI41" s="17">
        <f t="shared" ca="1" si="17"/>
        <v>-1</v>
      </c>
      <c r="AJ41" s="7">
        <f t="shared" ca="1" si="18"/>
        <v>1</v>
      </c>
      <c r="AK41" s="18">
        <f t="shared" ca="1" si="19"/>
        <v>-1</v>
      </c>
      <c r="AL41" s="7">
        <f t="shared" ca="1" si="20"/>
        <v>0</v>
      </c>
      <c r="AM41" s="7">
        <f t="shared" ca="1" si="21"/>
        <v>0</v>
      </c>
      <c r="AN41" s="18">
        <f t="shared" ca="1" si="22"/>
        <v>1</v>
      </c>
      <c r="AO41" s="7">
        <f t="shared" ca="1" si="115"/>
        <v>1</v>
      </c>
      <c r="AP41" s="50" t="b">
        <f t="shared" ca="1" si="87"/>
        <v>1</v>
      </c>
      <c r="AS41" s="22">
        <f t="shared" ca="1" si="88"/>
        <v>0</v>
      </c>
      <c r="AT41" s="7">
        <f t="shared" ca="1" si="23"/>
        <v>0</v>
      </c>
      <c r="AU41" s="7">
        <f t="shared" ca="1" si="24"/>
        <v>0</v>
      </c>
      <c r="AV41" s="7">
        <f t="shared" ca="1" si="25"/>
        <v>0</v>
      </c>
      <c r="AW41" s="7">
        <f t="shared" ca="1" si="26"/>
        <v>0</v>
      </c>
      <c r="AX41" s="7">
        <f t="shared" ca="1" si="27"/>
        <v>0</v>
      </c>
      <c r="AY41" s="7">
        <f t="shared" ca="1" si="28"/>
        <v>0</v>
      </c>
      <c r="AZ41" s="7">
        <f t="shared" ca="1" si="29"/>
        <v>0</v>
      </c>
      <c r="BA41" s="18">
        <f t="shared" ca="1" si="30"/>
        <v>0</v>
      </c>
      <c r="BB41" s="295">
        <f t="shared" ca="1" si="89"/>
        <v>1</v>
      </c>
      <c r="BD41" s="132"/>
      <c r="BE41" s="297">
        <f t="shared" ca="1" si="90"/>
        <v>1</v>
      </c>
      <c r="BF41" s="298">
        <f t="shared" ca="1" si="31"/>
        <v>0.65029522127322903</v>
      </c>
      <c r="BG41" s="298">
        <f t="shared" ca="1" si="32"/>
        <v>0.66028983545318687</v>
      </c>
      <c r="BH41" s="318">
        <f t="shared" ca="1" si="33"/>
        <v>0.64972655813153501</v>
      </c>
      <c r="BI41" s="298">
        <f t="shared" ca="1" si="34"/>
        <v>0.65002804502111444</v>
      </c>
      <c r="BJ41" s="299">
        <f t="shared" ca="1" si="35"/>
        <v>0.65029320640965171</v>
      </c>
      <c r="BK41" s="298">
        <f t="shared" ca="1" si="36"/>
        <v>0.64942668056342145</v>
      </c>
      <c r="BL41" s="298">
        <f t="shared" ca="1" si="37"/>
        <v>0.61083952513994022</v>
      </c>
      <c r="BM41" s="299">
        <f t="shared" ca="1" si="38"/>
        <v>0.6508682169276182</v>
      </c>
      <c r="BN41" s="295">
        <f t="shared" ca="1" si="39"/>
        <v>0.17402001625314881</v>
      </c>
      <c r="BO41" s="248">
        <f t="shared" ca="1" si="91"/>
        <v>-2.2535161742124597E-5</v>
      </c>
      <c r="BQ41" s="304">
        <f t="shared" ca="1" si="92"/>
        <v>0.1741200162531488</v>
      </c>
      <c r="BR41" s="297">
        <f t="shared" ca="1" si="93"/>
        <v>0</v>
      </c>
      <c r="BS41" s="298">
        <f t="shared" ca="1" si="40"/>
        <v>0</v>
      </c>
      <c r="BT41" s="298">
        <f t="shared" ca="1" si="41"/>
        <v>0</v>
      </c>
      <c r="BU41" s="318">
        <f t="shared" ca="1" si="42"/>
        <v>0</v>
      </c>
      <c r="BV41" s="298">
        <f t="shared" ca="1" si="43"/>
        <v>0</v>
      </c>
      <c r="BW41" s="299">
        <f t="shared" ca="1" si="44"/>
        <v>0</v>
      </c>
      <c r="BX41" s="298">
        <f t="shared" ca="1" si="45"/>
        <v>0</v>
      </c>
      <c r="BY41" s="298">
        <f t="shared" ca="1" si="46"/>
        <v>0</v>
      </c>
      <c r="BZ41" s="298">
        <f t="shared" ca="1" si="47"/>
        <v>0</v>
      </c>
      <c r="CA41" s="315">
        <f t="shared" ca="1" si="48"/>
        <v>0.1741200162531488</v>
      </c>
      <c r="CC41" s="52"/>
      <c r="CD41" s="306">
        <f t="shared" ca="1" si="94"/>
        <v>0</v>
      </c>
      <c r="CE41" s="15">
        <f t="shared" ca="1" si="49"/>
        <v>0</v>
      </c>
      <c r="CF41" s="15">
        <f t="shared" ca="1" si="50"/>
        <v>0</v>
      </c>
      <c r="CG41" s="286">
        <f t="shared" ca="1" si="51"/>
        <v>0</v>
      </c>
      <c r="CH41" s="15">
        <f t="shared" ca="1" si="52"/>
        <v>0</v>
      </c>
      <c r="CI41" s="288">
        <f t="shared" ca="1" si="53"/>
        <v>0</v>
      </c>
      <c r="CJ41" s="15">
        <f t="shared" ca="1" si="54"/>
        <v>0</v>
      </c>
      <c r="CK41" s="15">
        <f t="shared" ca="1" si="55"/>
        <v>0</v>
      </c>
      <c r="CL41" s="15">
        <f t="shared" ca="1" si="56"/>
        <v>0</v>
      </c>
      <c r="CM41" s="313">
        <f t="shared" ca="1" si="57"/>
        <v>1</v>
      </c>
      <c r="CO41" s="320">
        <f t="shared" ca="1" si="95"/>
        <v>30</v>
      </c>
      <c r="CP41" s="22">
        <f ca="1">COUNTIFS($C$10:$C40,"&lt;"&amp;$C41,$M$10:$M40,$D41&amp;"_"&amp;CP$9)</f>
        <v>0</v>
      </c>
      <c r="CQ41" s="7">
        <f ca="1">COUNTIFS($C$10:$C40,"&lt;"&amp;$C41,$M$10:$M40,$D41&amp;"_"&amp;CQ$9)</f>
        <v>0</v>
      </c>
      <c r="CR41" s="7">
        <f ca="1">COUNTIFS($C$10:$C40,"&lt;"&amp;$C41,$M$10:$M40,$D41&amp;"_"&amp;CR$9)</f>
        <v>0</v>
      </c>
      <c r="CS41" s="17">
        <f ca="1">COUNTIFS($C$10:$C40,"&lt;"&amp;$C41,$M$10:$M40,$D41&amp;"_"&amp;CS$9)</f>
        <v>0</v>
      </c>
      <c r="CT41" s="7">
        <f ca="1">COUNTIFS($C$10:$C40,"&lt;"&amp;$C41,$M$10:$M40,$D41&amp;"_"&amp;CT$9)</f>
        <v>0</v>
      </c>
      <c r="CU41" s="18">
        <f ca="1">COUNTIFS($C$10:$C40,"&lt;"&amp;$C41,$M$10:$M40,$D41&amp;"_"&amp;CU$9)</f>
        <v>0</v>
      </c>
      <c r="CV41" s="7">
        <f ca="1">COUNTIFS($C$10:$C40,"&lt;"&amp;$C41,$M$10:$M40,$D41&amp;"_"&amp;CV$9)</f>
        <v>0</v>
      </c>
      <c r="CW41" s="7">
        <f ca="1">COUNTIFS($C$10:$C40,"&lt;"&amp;$C41,$M$10:$M40,$D41&amp;"_"&amp;CW$9)</f>
        <v>0</v>
      </c>
      <c r="CX41" s="7">
        <f ca="1">COUNTIFS($C$10:$C40,"&lt;"&amp;$C41,$M$10:$M40,$D41&amp;"_"&amp;CX$9)</f>
        <v>0</v>
      </c>
      <c r="CY41" s="221">
        <f ca="1">COUNTIFS($C$10:$C40,"&lt;"&amp;$C41,$M$10:$M40,$D41&amp;"_"&amp;CY$9)</f>
        <v>30</v>
      </c>
      <c r="DA41" s="20"/>
      <c r="DB41" s="308">
        <f ca="1">IF(CP41=0,0,SUMIFS($P$10:$P40, $C$10:$C40,"&lt;"&amp;$C41, $M$10:$M40,$D41&amp;"_"&amp;DB$9)/CP41)</f>
        <v>0</v>
      </c>
      <c r="DC41" s="263">
        <f ca="1">IF(CQ41=0,0,SUMIFS($P$10:$P40, $C$10:$C40,"&lt;"&amp;$C41, $M$10:$M40,$D41&amp;"_"&amp;DC$9)/CQ41)</f>
        <v>0</v>
      </c>
      <c r="DD41" s="263">
        <f ca="1">IF(CR41=0,0,SUMIFS($P$10:$P40, $C$10:$C40,"&lt;"&amp;$C41, $M$10:$M40,$D41&amp;"_"&amp;DD$9)/CR41)</f>
        <v>0</v>
      </c>
      <c r="DE41" s="262">
        <f ca="1">IF(CS41=0,0,SUMIFS($P$10:$P40, $C$10:$C40,"&lt;"&amp;$C41, $M$10:$M40,$D41&amp;"_"&amp;DE$9)/CS41)</f>
        <v>0</v>
      </c>
      <c r="DF41" s="263">
        <f ca="1">IF(CT41=0,0,SUMIFS($P$10:$P40, $C$10:$C40,"&lt;"&amp;$C41, $M$10:$M40,$D41&amp;"_"&amp;DF$9)/CT41)</f>
        <v>0</v>
      </c>
      <c r="DG41" s="310">
        <f ca="1">IF(CU41=0,0,SUMIFS($P$10:$P40, $C$10:$C40,"&lt;"&amp;$C41, $M$10:$M40,$D41&amp;"_"&amp;DG$9)/CU41)</f>
        <v>0</v>
      </c>
      <c r="DH41" s="263">
        <f ca="1">IF(CV41=0,0,SUMIFS($P$10:$P40, $C$10:$C40,"&lt;"&amp;$C41, $M$10:$M40,$D41&amp;"_"&amp;DH$9)/CV41)</f>
        <v>0</v>
      </c>
      <c r="DI41" s="263">
        <f ca="1">IF(CW41=0,0,SUMIFS($P$10:$P40, $C$10:$C40,"&lt;"&amp;$C41, $M$10:$M40,$D41&amp;"_"&amp;DI$9)/CW41)</f>
        <v>0</v>
      </c>
      <c r="DJ41" s="264">
        <f ca="1">IF(CX41=0,0,SUMIFS($P$10:$P40, $C$10:$C40,"&lt;"&amp;$C41, $M$10:$M40,$D41&amp;"_"&amp;DJ$9)/CX41)</f>
        <v>0</v>
      </c>
      <c r="DK41" s="264">
        <f ca="1">IF(CY41=0,0,SUMIFS($P$10:$P40, $C$10:$C40,"&lt;"&amp;$C41, $M$10:$M40,$D41&amp;"_"&amp;DK$9)/CY41)</f>
        <v>-1</v>
      </c>
      <c r="DM41" s="104"/>
      <c r="DN41" s="306">
        <f t="shared" ca="1" si="96"/>
        <v>-9999</v>
      </c>
      <c r="DO41" s="15">
        <f t="shared" ca="1" si="58"/>
        <v>-9999</v>
      </c>
      <c r="DP41" s="15">
        <f t="shared" ca="1" si="59"/>
        <v>-9999</v>
      </c>
      <c r="DQ41" s="15">
        <f t="shared" ca="1" si="60"/>
        <v>-9999</v>
      </c>
      <c r="DR41" s="15">
        <f t="shared" ca="1" si="61"/>
        <v>-9999</v>
      </c>
      <c r="DS41" s="15">
        <f t="shared" ca="1" si="62"/>
        <v>-9999</v>
      </c>
      <c r="DT41" s="15">
        <f t="shared" ca="1" si="63"/>
        <v>-9999</v>
      </c>
      <c r="DU41" s="15">
        <f t="shared" ca="1" si="64"/>
        <v>-9999</v>
      </c>
      <c r="DV41" s="52">
        <f t="shared" ca="1" si="65"/>
        <v>-9999</v>
      </c>
      <c r="DW41" s="313">
        <f t="shared" ca="1" si="66"/>
        <v>-0.82331530403059161</v>
      </c>
      <c r="DX41" s="52"/>
      <c r="DY41" s="402">
        <f t="shared" ca="1" si="97"/>
        <v>9</v>
      </c>
      <c r="ED41" s="19">
        <f t="shared" ca="1" si="67"/>
        <v>-1</v>
      </c>
      <c r="EE41" s="1">
        <f t="shared" ca="1" si="68"/>
        <v>1</v>
      </c>
      <c r="EF41" s="1">
        <f t="shared" ca="1" si="69"/>
        <v>-1</v>
      </c>
      <c r="EG41" s="2">
        <f t="shared" ca="1" si="70"/>
        <v>1</v>
      </c>
      <c r="EH41" s="1">
        <f t="shared" ca="1" si="71"/>
        <v>-1</v>
      </c>
      <c r="EI41" s="3">
        <f t="shared" ca="1" si="72"/>
        <v>1</v>
      </c>
      <c r="EJ41" s="1">
        <f t="shared" ca="1" si="73"/>
        <v>0</v>
      </c>
      <c r="EK41" s="1">
        <f t="shared" ca="1" si="74"/>
        <v>0</v>
      </c>
      <c r="EL41" s="20">
        <f t="shared" ca="1" si="75"/>
        <v>-1</v>
      </c>
      <c r="EN41" s="86">
        <f ca="1">MAX(0, SUMPRODUCT($ED41:$EL41,OFFSET(DNN!$E$9:$M$9,EN$9,0)) + OFFSET(DNN!$D$9,EN$9,0))</f>
        <v>0</v>
      </c>
      <c r="EO41" s="84">
        <f ca="1">MAX(0, SUMPRODUCT($ED41:$EL41,OFFSET(DNN!$E$9:$M$9,EO$9,0)) + OFFSET(DNN!$D$9,EO$9,0))</f>
        <v>7.2346022384755949E-3</v>
      </c>
      <c r="EP41" s="84">
        <f ca="1">MAX(0, SUMPRODUCT($ED41:$EL41,OFFSET(DNN!$E$9:$M$9,EP$9,0)) + OFFSET(DNN!$D$9,EP$9,0))</f>
        <v>3.6951849750035152E-3</v>
      </c>
      <c r="EQ41" s="84">
        <f ca="1">MAX(0, SUMPRODUCT($ED41:$EL41,OFFSET(DNN!$E$9:$M$9,EQ$9,0)) + OFFSET(DNN!$D$9,EQ$9,0))</f>
        <v>0</v>
      </c>
      <c r="ER41" s="85">
        <f ca="1">MAX(0, SUMPRODUCT($ED41:$EL41,OFFSET(DNN!$E$9:$M$9,ER$9,0)) + OFFSET(DNN!$D$9,ER$9,0))</f>
        <v>0</v>
      </c>
      <c r="ET41" s="86">
        <f ca="1">MAX(0, SUMPRODUCT($EN41:$ER41,OFFSET(DNN!$Q$9:$U$9,ET$9,0)) + OFFSET(DNN!$P$9,ET$9,0))</f>
        <v>4.3954959453478351E-4</v>
      </c>
      <c r="EU41" s="84">
        <f ca="1">MAX(0, SUMPRODUCT($EN41:$ER41,OFFSET(DNN!$Q$9:$U$9,EU$9,0)) + OFFSET(DNN!$P$9,EU$9,0))</f>
        <v>0</v>
      </c>
      <c r="EV41" s="84">
        <f ca="1">MAX(0, SUMPRODUCT($EN41:$ER41,OFFSET(DNN!$Q$9:$U$9,EV$9,0)) + OFFSET(DNN!$P$9,EV$9,0))</f>
        <v>1.2810123361902579E-3</v>
      </c>
      <c r="EW41" s="84">
        <f ca="1">MAX(0, SUMPRODUCT($EN41:$ER41,OFFSET(DNN!$Q$9:$U$9,EW$9,0)) + OFFSET(DNN!$P$9,EW$9,0))</f>
        <v>7.8382123007882457E-4</v>
      </c>
      <c r="EX41" s="85">
        <f ca="1">MAX(0, SUMPRODUCT($EN41:$ER41,OFFSET(DNN!$Q$9:$U$9,EX$9,0)) + OFFSET(DNN!$P$9,EX$9,0))</f>
        <v>0</v>
      </c>
      <c r="EZ41" s="111">
        <f ca="1">SUMPRODUCT($ET41:$EX41,OFFSET(DNN!$Y$9:$AC$9,EZ$9,0)) + OFFSET(DNN!$X$9,EZ$9,0)</f>
        <v>0.43031618918982212</v>
      </c>
      <c r="FA41" s="97">
        <f ca="1">SUMPRODUCT($ET41:$EX41,OFFSET(DNN!$Y$9:$AC$9,FA$9,0)) + OFFSET(DNN!$X$9,FA$9,0)</f>
        <v>-1.2643439935754107E-5</v>
      </c>
      <c r="FB41" s="97">
        <f ca="1">SUMPRODUCT($ET41:$EX41,OFFSET(DNN!$Y$9:$AC$9,FB$9,0)) + OFFSET(DNN!$X$9,FB$9,0)</f>
        <v>1.5239793458415756E-2</v>
      </c>
      <c r="FC41" s="97">
        <f ca="1">SUMPRODUCT($ET41:$EX41,OFFSET(DNN!$Y$9:$AC$9,FC$9,0)) + OFFSET(DNN!$X$9,FC$9,0)</f>
        <v>-8.8749521084055777E-4</v>
      </c>
      <c r="FD41" s="97">
        <f ca="1">SUMPRODUCT($ET41:$EX41,OFFSET(DNN!$Y$9:$AC$9,FD$9,0)) + OFFSET(DNN!$X$9,FD$9,0)</f>
        <v>-4.235816470721872E-4</v>
      </c>
      <c r="FE41" s="97">
        <f ca="1">SUMPRODUCT($ET41:$EX41,OFFSET(DNN!$Y$9:$AC$9,FE$9,0)) + OFFSET(DNN!$X$9,FE$9,0)</f>
        <v>-1.574182761064886E-5</v>
      </c>
      <c r="FF41" s="97">
        <f ca="1">SUMPRODUCT($ET41:$EX41,OFFSET(DNN!$Y$9:$AC$9,FF$9,0)) + OFFSET(DNN!$X$9,FF$9,0)</f>
        <v>-1.3491460223194656E-3</v>
      </c>
      <c r="FG41" s="97">
        <f ca="1">SUMPRODUCT($ET41:$EX41,OFFSET(DNN!$Y$9:$AC$9,FG$9,0)) + OFFSET(DNN!$X$9,FG$9,0)</f>
        <v>-6.2604808096248285E-2</v>
      </c>
      <c r="FH41" s="97">
        <f ca="1">SUMPRODUCT($ET41:$EX41,OFFSET(DNN!$Y$9:$AC$9,FH$9,0)) + OFFSET(DNN!$X$9,FH$9,0)</f>
        <v>8.6810016937029894E-4</v>
      </c>
      <c r="FI41" s="108">
        <f ca="1">SUMPRODUCT($ET41:$EX41,OFFSET(DNN!$Y$9:$AC$9,FI$9,0)) + OFFSET(DNN!$X$9,FI$9,0)</f>
        <v>-1.3182687612562751</v>
      </c>
      <c r="FJ41" s="98">
        <f ca="1">SUMPRODUCT($ET41:$EX41,OFFSET(DNN!$Y$9:$AC$9,FJ$9,0)) + OFFSET(DNN!$X$9,FJ$9,0)</f>
        <v>-2.2535161745939301E-5</v>
      </c>
      <c r="FL41" s="415">
        <f t="shared" ca="1" si="98"/>
        <v>0.43031618918982212</v>
      </c>
      <c r="FM41" s="130">
        <f t="shared" ca="1" si="99"/>
        <v>1</v>
      </c>
      <c r="FN41" s="131">
        <f t="shared" ca="1" si="100"/>
        <v>0.65029522127322903</v>
      </c>
      <c r="FO41" s="131">
        <f t="shared" ca="1" si="101"/>
        <v>0.66028983545318687</v>
      </c>
      <c r="FP41" s="131">
        <f t="shared" ca="1" si="102"/>
        <v>0.64972655813153501</v>
      </c>
      <c r="FQ41" s="131">
        <f t="shared" ca="1" si="103"/>
        <v>0.65002804502111444</v>
      </c>
      <c r="FR41" s="131">
        <f t="shared" ca="1" si="104"/>
        <v>0.65029320640965171</v>
      </c>
      <c r="FS41" s="131">
        <f t="shared" ca="1" si="105"/>
        <v>0.64942668056342145</v>
      </c>
      <c r="FT41" s="131">
        <f t="shared" ca="1" si="106"/>
        <v>0.61083952513994022</v>
      </c>
      <c r="FU41" s="132">
        <f t="shared" ca="1" si="107"/>
        <v>0.6508682169276182</v>
      </c>
      <c r="FV41" s="131">
        <f t="shared" ca="1" si="108"/>
        <v>0.17402001625314881</v>
      </c>
      <c r="FW41" s="83">
        <f t="shared" ca="1" si="109"/>
        <v>-2.2535161742124597E-5</v>
      </c>
    </row>
    <row r="42" spans="1:179">
      <c r="A42" s="19">
        <f t="shared" si="117"/>
        <v>32</v>
      </c>
      <c r="B42" s="1">
        <f t="shared" ca="1" si="111"/>
        <v>0</v>
      </c>
      <c r="C42" s="20">
        <f t="shared" ca="1" si="112"/>
        <v>32</v>
      </c>
      <c r="D42" s="19" t="str">
        <f t="shared" ca="1" si="113"/>
        <v>〇×〇×〇×--〇</v>
      </c>
      <c r="E42" s="7">
        <f t="shared" ca="1" si="77"/>
        <v>9</v>
      </c>
      <c r="F42" s="7">
        <f t="shared" ca="1" si="78"/>
        <v>1</v>
      </c>
      <c r="G42" s="1" t="str">
        <f t="shared" ca="1" si="116"/>
        <v>〇×〇×〇×--〇</v>
      </c>
      <c r="H42" s="20" t="b">
        <f t="shared" ref="H42:H63" ca="1" si="118">AP42</f>
        <v>1</v>
      </c>
      <c r="I42" s="22">
        <f t="shared" ca="1" si="114"/>
        <v>-1</v>
      </c>
      <c r="J42" s="1" t="b">
        <f ca="1">(1&lt;COUNTIF(D$10:D42,D42))</f>
        <v>1</v>
      </c>
      <c r="K42" s="1" t="b">
        <f t="shared" ca="1" si="81"/>
        <v>1</v>
      </c>
      <c r="L42" s="7">
        <f ca="1">MATCH(TRUE,K42:K$1048576,FALSE)-1</f>
        <v>0</v>
      </c>
      <c r="M42" s="24" t="str">
        <f t="shared" ref="M42:M63" ca="1" si="119">D42&amp;"_"&amp;IF(J42=FALSE, "X", E42)</f>
        <v>〇×〇×〇×--〇_9</v>
      </c>
      <c r="N42" s="25">
        <f t="shared" ca="1" si="82"/>
        <v>-2.2535161742124597E-5</v>
      </c>
      <c r="O42" s="26">
        <f t="shared" ca="1" si="83"/>
        <v>-1</v>
      </c>
      <c r="P42" s="27">
        <f t="shared" ca="1" si="84"/>
        <v>-1</v>
      </c>
      <c r="R42" s="41" t="str">
        <f ca="1">VLOOKUP(S42,cvt!$B$2:$C$4,2,FALSE)&amp;VLOOKUP(T42,cvt!$B$2:$C$4,2,FALSE)&amp;VLOOKUP(U42,cvt!$B$2:$C$4,2,FALSE)
&amp;VLOOKUP(V42,cvt!$B$2:$C$4,2,FALSE)&amp;VLOOKUP(W42,cvt!$B$2:$C$4,2,FALSE)&amp;VLOOKUP(X42,cvt!$B$2:$C$4,2,FALSE)
&amp;VLOOKUP(Y42,cvt!$B$2:$C$4,2,FALSE)&amp;VLOOKUP(Z42,cvt!$B$2:$C$4,2,FALSE)&amp;VLOOKUP(AA42,cvt!$B$2:$C$4,2,FALSE)</f>
        <v>〇×〇×〇×--〇</v>
      </c>
      <c r="S42" s="7">
        <f ca="1">VLOOKUP(MID($D42,S$9+1,1), cvt!$A$2:$B$4,2, FALSE)</f>
        <v>1</v>
      </c>
      <c r="T42" s="7">
        <f ca="1">VLOOKUP(MID($D42,T$9+1,1), cvt!$A$2:$B$4,2, FALSE)</f>
        <v>-1</v>
      </c>
      <c r="U42" s="7">
        <f ca="1">VLOOKUP(MID($D42,U$9+1,1), cvt!$A$2:$B$4,2, FALSE)</f>
        <v>1</v>
      </c>
      <c r="V42" s="17">
        <f ca="1">VLOOKUP(MID($D42,V$9+1,1), cvt!$A$2:$B$4,2, FALSE)</f>
        <v>-1</v>
      </c>
      <c r="W42" s="7">
        <f ca="1">VLOOKUP(MID($D42,W$9+1,1), cvt!$A$2:$B$4,2, FALSE)</f>
        <v>1</v>
      </c>
      <c r="X42" s="18">
        <f ca="1">VLOOKUP(MID($D42,X$9+1,1), cvt!$A$2:$B$4,2, FALSE)</f>
        <v>-1</v>
      </c>
      <c r="Y42" s="7">
        <f ca="1">VLOOKUP(MID($D42,Y$9+1,1), cvt!$A$2:$B$4,2, FALSE)</f>
        <v>0</v>
      </c>
      <c r="Z42" s="7">
        <f ca="1">VLOOKUP(MID($D42,Z$9+1,1), cvt!$A$2:$B$4,2, FALSE)</f>
        <v>0</v>
      </c>
      <c r="AA42" s="42">
        <f ca="1">VLOOKUP(MID($D42,AA$9+1,1), cvt!$A$2:$B$4,2, FALSE)</f>
        <v>1</v>
      </c>
      <c r="AB42" s="7">
        <f t="shared" ca="1" si="85"/>
        <v>1</v>
      </c>
      <c r="AC42" s="50" t="b">
        <f t="shared" ca="1" si="86"/>
        <v>1</v>
      </c>
      <c r="AE42" s="19" t="str">
        <f ca="1">VLOOKUP(AF42,cvt!$B$2:$C$4,2,FALSE)&amp;VLOOKUP(AG42,cvt!$B$2:$C$4,2,FALSE)&amp;VLOOKUP(AH42,cvt!$B$2:$C$4,2,FALSE)
&amp;VLOOKUP(AI42,cvt!$B$2:$C$4,2,FALSE)&amp;VLOOKUP(AJ42,cvt!$B$2:$C$4,2,FALSE)&amp;VLOOKUP(AK42,cvt!$B$2:$C$4,2,FALSE)
&amp;VLOOKUP(AL42,cvt!$B$2:$C$4,2,FALSE)&amp;VLOOKUP(AM42,cvt!$B$2:$C$4,2,FALSE)&amp;VLOOKUP(AN42,cvt!$B$2:$C$4,2,FALSE)</f>
        <v>〇×〇×〇×--〇</v>
      </c>
      <c r="AF42" s="17">
        <f t="shared" ref="AF42:AF63" ca="1" si="120">IF($E42=AF$9, $I42,S42)</f>
        <v>1</v>
      </c>
      <c r="AG42" s="7">
        <f t="shared" ref="AG42:AG63" ca="1" si="121">IF($E42=AG$9, $I42,T42)</f>
        <v>-1</v>
      </c>
      <c r="AH42" s="7">
        <f t="shared" ref="AH42:AH63" ca="1" si="122">IF($E42=AH$9, $I42,U42)</f>
        <v>1</v>
      </c>
      <c r="AI42" s="17">
        <f t="shared" ref="AI42:AI63" ca="1" si="123">IF($E42=AI$9, $I42,V42)</f>
        <v>-1</v>
      </c>
      <c r="AJ42" s="7">
        <f t="shared" ref="AJ42:AJ63" ca="1" si="124">IF($E42=AJ$9, $I42,W42)</f>
        <v>1</v>
      </c>
      <c r="AK42" s="18">
        <f t="shared" ref="AK42:AK63" ca="1" si="125">IF($E42=AK$9, $I42,X42)</f>
        <v>-1</v>
      </c>
      <c r="AL42" s="7">
        <f t="shared" ref="AL42:AL63" ca="1" si="126">IF($E42=AL$9, $I42,Y42)</f>
        <v>0</v>
      </c>
      <c r="AM42" s="7">
        <f t="shared" ref="AM42:AM63" ca="1" si="127">IF($E42=AM$9, $I42,Z42)</f>
        <v>0</v>
      </c>
      <c r="AN42" s="18">
        <f t="shared" ref="AN42:AN63" ca="1" si="128">IF($E42=AN$9, $I42,AA42)</f>
        <v>1</v>
      </c>
      <c r="AO42" s="7">
        <f t="shared" ca="1" si="115"/>
        <v>1</v>
      </c>
      <c r="AP42" s="50" t="b">
        <f t="shared" ca="1" si="87"/>
        <v>1</v>
      </c>
      <c r="AS42" s="22">
        <f t="shared" ca="1" si="88"/>
        <v>0</v>
      </c>
      <c r="AT42" s="7">
        <f t="shared" ca="1" si="23"/>
        <v>0</v>
      </c>
      <c r="AU42" s="7">
        <f t="shared" ca="1" si="24"/>
        <v>0</v>
      </c>
      <c r="AV42" s="7">
        <f t="shared" ca="1" si="25"/>
        <v>0</v>
      </c>
      <c r="AW42" s="7">
        <f t="shared" ca="1" si="26"/>
        <v>0</v>
      </c>
      <c r="AX42" s="7">
        <f t="shared" ca="1" si="27"/>
        <v>0</v>
      </c>
      <c r="AY42" s="7">
        <f t="shared" ca="1" si="28"/>
        <v>0</v>
      </c>
      <c r="AZ42" s="7">
        <f t="shared" ca="1" si="29"/>
        <v>0</v>
      </c>
      <c r="BA42" s="18">
        <f t="shared" ca="1" si="30"/>
        <v>0</v>
      </c>
      <c r="BB42" s="295">
        <f t="shared" ca="1" si="89"/>
        <v>1</v>
      </c>
      <c r="BD42" s="132"/>
      <c r="BE42" s="297">
        <f t="shared" ca="1" si="90"/>
        <v>1</v>
      </c>
      <c r="BF42" s="298">
        <f t="shared" ca="1" si="31"/>
        <v>0.65029522127322903</v>
      </c>
      <c r="BG42" s="298">
        <f t="shared" ca="1" si="32"/>
        <v>0.66028983545318687</v>
      </c>
      <c r="BH42" s="318">
        <f t="shared" ca="1" si="33"/>
        <v>0.64972655813153501</v>
      </c>
      <c r="BI42" s="298">
        <f t="shared" ca="1" si="34"/>
        <v>0.65002804502111444</v>
      </c>
      <c r="BJ42" s="299">
        <f t="shared" ca="1" si="35"/>
        <v>0.65029320640965171</v>
      </c>
      <c r="BK42" s="298">
        <f t="shared" ca="1" si="36"/>
        <v>0.64942668056342145</v>
      </c>
      <c r="BL42" s="298">
        <f t="shared" ca="1" si="37"/>
        <v>0.61083952513994022</v>
      </c>
      <c r="BM42" s="299">
        <f t="shared" ca="1" si="38"/>
        <v>0.6508682169276182</v>
      </c>
      <c r="BN42" s="295">
        <f t="shared" ca="1" si="39"/>
        <v>0.17402001625314881</v>
      </c>
      <c r="BO42" s="248">
        <f t="shared" ca="1" si="91"/>
        <v>-2.2535161742124597E-5</v>
      </c>
      <c r="BQ42" s="304">
        <f t="shared" ca="1" si="92"/>
        <v>0.42412001625314877</v>
      </c>
      <c r="BR42" s="297">
        <f t="shared" ca="1" si="93"/>
        <v>0</v>
      </c>
      <c r="BS42" s="298">
        <f t="shared" ca="1" si="40"/>
        <v>0</v>
      </c>
      <c r="BT42" s="298">
        <f t="shared" ca="1" si="41"/>
        <v>0</v>
      </c>
      <c r="BU42" s="318">
        <f t="shared" ca="1" si="42"/>
        <v>0</v>
      </c>
      <c r="BV42" s="298">
        <f t="shared" ca="1" si="43"/>
        <v>0</v>
      </c>
      <c r="BW42" s="299">
        <f t="shared" ca="1" si="44"/>
        <v>0</v>
      </c>
      <c r="BX42" s="298">
        <f t="shared" ca="1" si="45"/>
        <v>0</v>
      </c>
      <c r="BY42" s="298">
        <f t="shared" ca="1" si="46"/>
        <v>0</v>
      </c>
      <c r="BZ42" s="298">
        <f t="shared" ca="1" si="47"/>
        <v>0</v>
      </c>
      <c r="CA42" s="315">
        <f t="shared" ca="1" si="48"/>
        <v>0.42412001625314877</v>
      </c>
      <c r="CC42" s="52"/>
      <c r="CD42" s="306">
        <f t="shared" ca="1" si="94"/>
        <v>0</v>
      </c>
      <c r="CE42" s="15">
        <f t="shared" ca="1" si="49"/>
        <v>0</v>
      </c>
      <c r="CF42" s="15">
        <f t="shared" ca="1" si="50"/>
        <v>0</v>
      </c>
      <c r="CG42" s="286">
        <f t="shared" ca="1" si="51"/>
        <v>0</v>
      </c>
      <c r="CH42" s="15">
        <f t="shared" ca="1" si="52"/>
        <v>0</v>
      </c>
      <c r="CI42" s="288">
        <f t="shared" ca="1" si="53"/>
        <v>0</v>
      </c>
      <c r="CJ42" s="15">
        <f t="shared" ca="1" si="54"/>
        <v>0</v>
      </c>
      <c r="CK42" s="15">
        <f t="shared" ca="1" si="55"/>
        <v>0</v>
      </c>
      <c r="CL42" s="15">
        <f t="shared" ca="1" si="56"/>
        <v>0</v>
      </c>
      <c r="CM42" s="313">
        <f t="shared" ca="1" si="57"/>
        <v>1</v>
      </c>
      <c r="CO42" s="320">
        <f t="shared" ca="1" si="95"/>
        <v>31</v>
      </c>
      <c r="CP42" s="22">
        <f ca="1">COUNTIFS($C$10:$C41,"&lt;"&amp;$C42,$M$10:$M41,$D42&amp;"_"&amp;CP$9)</f>
        <v>0</v>
      </c>
      <c r="CQ42" s="7">
        <f ca="1">COUNTIFS($C$10:$C41,"&lt;"&amp;$C42,$M$10:$M41,$D42&amp;"_"&amp;CQ$9)</f>
        <v>0</v>
      </c>
      <c r="CR42" s="7">
        <f ca="1">COUNTIFS($C$10:$C41,"&lt;"&amp;$C42,$M$10:$M41,$D42&amp;"_"&amp;CR$9)</f>
        <v>0</v>
      </c>
      <c r="CS42" s="17">
        <f ca="1">COUNTIFS($C$10:$C41,"&lt;"&amp;$C42,$M$10:$M41,$D42&amp;"_"&amp;CS$9)</f>
        <v>0</v>
      </c>
      <c r="CT42" s="7">
        <f ca="1">COUNTIFS($C$10:$C41,"&lt;"&amp;$C42,$M$10:$M41,$D42&amp;"_"&amp;CT$9)</f>
        <v>0</v>
      </c>
      <c r="CU42" s="18">
        <f ca="1">COUNTIFS($C$10:$C41,"&lt;"&amp;$C42,$M$10:$M41,$D42&amp;"_"&amp;CU$9)</f>
        <v>0</v>
      </c>
      <c r="CV42" s="7">
        <f ca="1">COUNTIFS($C$10:$C41,"&lt;"&amp;$C42,$M$10:$M41,$D42&amp;"_"&amp;CV$9)</f>
        <v>0</v>
      </c>
      <c r="CW42" s="7">
        <f ca="1">COUNTIFS($C$10:$C41,"&lt;"&amp;$C42,$M$10:$M41,$D42&amp;"_"&amp;CW$9)</f>
        <v>0</v>
      </c>
      <c r="CX42" s="7">
        <f ca="1">COUNTIFS($C$10:$C41,"&lt;"&amp;$C42,$M$10:$M41,$D42&amp;"_"&amp;CX$9)</f>
        <v>0</v>
      </c>
      <c r="CY42" s="221">
        <f ca="1">COUNTIFS($C$10:$C41,"&lt;"&amp;$C42,$M$10:$M41,$D42&amp;"_"&amp;CY$9)</f>
        <v>31</v>
      </c>
      <c r="DA42" s="20"/>
      <c r="DB42" s="308">
        <f ca="1">IF(CP42=0,0,SUMIFS($P$10:$P41, $C$10:$C41,"&lt;"&amp;$C42, $M$10:$M41,$D42&amp;"_"&amp;DB$9)/CP42)</f>
        <v>0</v>
      </c>
      <c r="DC42" s="263">
        <f ca="1">IF(CQ42=0,0,SUMIFS($P$10:$P41, $C$10:$C41,"&lt;"&amp;$C42, $M$10:$M41,$D42&amp;"_"&amp;DC$9)/CQ42)</f>
        <v>0</v>
      </c>
      <c r="DD42" s="263">
        <f ca="1">IF(CR42=0,0,SUMIFS($P$10:$P41, $C$10:$C41,"&lt;"&amp;$C42, $M$10:$M41,$D42&amp;"_"&amp;DD$9)/CR42)</f>
        <v>0</v>
      </c>
      <c r="DE42" s="262">
        <f ca="1">IF(CS42=0,0,SUMIFS($P$10:$P41, $C$10:$C41,"&lt;"&amp;$C42, $M$10:$M41,$D42&amp;"_"&amp;DE$9)/CS42)</f>
        <v>0</v>
      </c>
      <c r="DF42" s="263">
        <f ca="1">IF(CT42=0,0,SUMIFS($P$10:$P41, $C$10:$C41,"&lt;"&amp;$C42, $M$10:$M41,$D42&amp;"_"&amp;DF$9)/CT42)</f>
        <v>0</v>
      </c>
      <c r="DG42" s="310">
        <f ca="1">IF(CU42=0,0,SUMIFS($P$10:$P41, $C$10:$C41,"&lt;"&amp;$C42, $M$10:$M41,$D42&amp;"_"&amp;DG$9)/CU42)</f>
        <v>0</v>
      </c>
      <c r="DH42" s="263">
        <f ca="1">IF(CV42=0,0,SUMIFS($P$10:$P41, $C$10:$C41,"&lt;"&amp;$C42, $M$10:$M41,$D42&amp;"_"&amp;DH$9)/CV42)</f>
        <v>0</v>
      </c>
      <c r="DI42" s="263">
        <f ca="1">IF(CW42=0,0,SUMIFS($P$10:$P41, $C$10:$C41,"&lt;"&amp;$C42, $M$10:$M41,$D42&amp;"_"&amp;DI$9)/CW42)</f>
        <v>0</v>
      </c>
      <c r="DJ42" s="264">
        <f ca="1">IF(CX42=0,0,SUMIFS($P$10:$P41, $C$10:$C41,"&lt;"&amp;$C42, $M$10:$M41,$D42&amp;"_"&amp;DJ$9)/CX42)</f>
        <v>0</v>
      </c>
      <c r="DK42" s="264">
        <f ca="1">IF(CY42=0,0,SUMIFS($P$10:$P41, $C$10:$C41,"&lt;"&amp;$C42, $M$10:$M41,$D42&amp;"_"&amp;DK$9)/CY42)</f>
        <v>-1</v>
      </c>
      <c r="DM42" s="104"/>
      <c r="DN42" s="306">
        <f t="shared" ca="1" si="96"/>
        <v>-9999</v>
      </c>
      <c r="DO42" s="15">
        <f t="shared" ca="1" si="58"/>
        <v>-9999</v>
      </c>
      <c r="DP42" s="15">
        <f t="shared" ca="1" si="59"/>
        <v>-9999</v>
      </c>
      <c r="DQ42" s="15">
        <f t="shared" ca="1" si="60"/>
        <v>-9999</v>
      </c>
      <c r="DR42" s="15">
        <f t="shared" ca="1" si="61"/>
        <v>-9999</v>
      </c>
      <c r="DS42" s="15">
        <f t="shared" ca="1" si="62"/>
        <v>-9999</v>
      </c>
      <c r="DT42" s="15">
        <f t="shared" ca="1" si="63"/>
        <v>-9999</v>
      </c>
      <c r="DU42" s="15">
        <f t="shared" ca="1" si="64"/>
        <v>-9999</v>
      </c>
      <c r="DV42" s="52">
        <f t="shared" ca="1" si="65"/>
        <v>-9999</v>
      </c>
      <c r="DW42" s="313">
        <f t="shared" ca="1" si="66"/>
        <v>-0.8260073636615618</v>
      </c>
      <c r="DX42" s="52"/>
      <c r="DY42" s="402">
        <f t="shared" ca="1" si="97"/>
        <v>9</v>
      </c>
      <c r="ED42" s="19">
        <f t="shared" ref="ED42:ED73" ca="1" si="129">S42 * $I42</f>
        <v>-1</v>
      </c>
      <c r="EE42" s="1">
        <f t="shared" ref="EE42:EE73" ca="1" si="130">T42 * $I42</f>
        <v>1</v>
      </c>
      <c r="EF42" s="1">
        <f t="shared" ref="EF42:EF73" ca="1" si="131">U42 * $I42</f>
        <v>-1</v>
      </c>
      <c r="EG42" s="2">
        <f t="shared" ref="EG42:EG73" ca="1" si="132">V42 * $I42</f>
        <v>1</v>
      </c>
      <c r="EH42" s="1">
        <f t="shared" ref="EH42:EH73" ca="1" si="133">W42 * $I42</f>
        <v>-1</v>
      </c>
      <c r="EI42" s="3">
        <f t="shared" ref="EI42:EI73" ca="1" si="134">X42 * $I42</f>
        <v>1</v>
      </c>
      <c r="EJ42" s="1">
        <f t="shared" ref="EJ42:EJ73" ca="1" si="135">Y42 * $I42</f>
        <v>0</v>
      </c>
      <c r="EK42" s="1">
        <f t="shared" ref="EK42:EK73" ca="1" si="136">Z42 * $I42</f>
        <v>0</v>
      </c>
      <c r="EL42" s="20">
        <f t="shared" ref="EL42:EL73" ca="1" si="137">AA42 * $I42</f>
        <v>-1</v>
      </c>
      <c r="EN42" s="86">
        <f ca="1">MAX(0, SUMPRODUCT($ED42:$EL42,OFFSET(DNN!$E$9:$M$9,EN$9,0)) + OFFSET(DNN!$D$9,EN$9,0))</f>
        <v>0</v>
      </c>
      <c r="EO42" s="84">
        <f ca="1">MAX(0, SUMPRODUCT($ED42:$EL42,OFFSET(DNN!$E$9:$M$9,EO$9,0)) + OFFSET(DNN!$D$9,EO$9,0))</f>
        <v>7.2346022384755949E-3</v>
      </c>
      <c r="EP42" s="84">
        <f ca="1">MAX(0, SUMPRODUCT($ED42:$EL42,OFFSET(DNN!$E$9:$M$9,EP$9,0)) + OFFSET(DNN!$D$9,EP$9,0))</f>
        <v>3.6951849750035152E-3</v>
      </c>
      <c r="EQ42" s="84">
        <f ca="1">MAX(0, SUMPRODUCT($ED42:$EL42,OFFSET(DNN!$E$9:$M$9,EQ$9,0)) + OFFSET(DNN!$D$9,EQ$9,0))</f>
        <v>0</v>
      </c>
      <c r="ER42" s="85">
        <f ca="1">MAX(0, SUMPRODUCT($ED42:$EL42,OFFSET(DNN!$E$9:$M$9,ER$9,0)) + OFFSET(DNN!$D$9,ER$9,0))</f>
        <v>0</v>
      </c>
      <c r="ET42" s="86">
        <f ca="1">MAX(0, SUMPRODUCT($EN42:$ER42,OFFSET(DNN!$Q$9:$U$9,ET$9,0)) + OFFSET(DNN!$P$9,ET$9,0))</f>
        <v>4.3954959453478351E-4</v>
      </c>
      <c r="EU42" s="84">
        <f ca="1">MAX(0, SUMPRODUCT($EN42:$ER42,OFFSET(DNN!$Q$9:$U$9,EU$9,0)) + OFFSET(DNN!$P$9,EU$9,0))</f>
        <v>0</v>
      </c>
      <c r="EV42" s="84">
        <f ca="1">MAX(0, SUMPRODUCT($EN42:$ER42,OFFSET(DNN!$Q$9:$U$9,EV$9,0)) + OFFSET(DNN!$P$9,EV$9,0))</f>
        <v>1.2810123361902579E-3</v>
      </c>
      <c r="EW42" s="84">
        <f ca="1">MAX(0, SUMPRODUCT($EN42:$ER42,OFFSET(DNN!$Q$9:$U$9,EW$9,0)) + OFFSET(DNN!$P$9,EW$9,0))</f>
        <v>7.8382123007882457E-4</v>
      </c>
      <c r="EX42" s="85">
        <f ca="1">MAX(0, SUMPRODUCT($EN42:$ER42,OFFSET(DNN!$Q$9:$U$9,EX$9,0)) + OFFSET(DNN!$P$9,EX$9,0))</f>
        <v>0</v>
      </c>
      <c r="EZ42" s="111">
        <f ca="1">SUMPRODUCT($ET42:$EX42,OFFSET(DNN!$Y$9:$AC$9,EZ$9,0)) + OFFSET(DNN!$X$9,EZ$9,0)</f>
        <v>0.43031618918982212</v>
      </c>
      <c r="FA42" s="97">
        <f ca="1">SUMPRODUCT($ET42:$EX42,OFFSET(DNN!$Y$9:$AC$9,FA$9,0)) + OFFSET(DNN!$X$9,FA$9,0)</f>
        <v>-1.2643439935754107E-5</v>
      </c>
      <c r="FB42" s="97">
        <f ca="1">SUMPRODUCT($ET42:$EX42,OFFSET(DNN!$Y$9:$AC$9,FB$9,0)) + OFFSET(DNN!$X$9,FB$9,0)</f>
        <v>1.5239793458415756E-2</v>
      </c>
      <c r="FC42" s="97">
        <f ca="1">SUMPRODUCT($ET42:$EX42,OFFSET(DNN!$Y$9:$AC$9,FC$9,0)) + OFFSET(DNN!$X$9,FC$9,0)</f>
        <v>-8.8749521084055777E-4</v>
      </c>
      <c r="FD42" s="97">
        <f ca="1">SUMPRODUCT($ET42:$EX42,OFFSET(DNN!$Y$9:$AC$9,FD$9,0)) + OFFSET(DNN!$X$9,FD$9,0)</f>
        <v>-4.235816470721872E-4</v>
      </c>
      <c r="FE42" s="97">
        <f ca="1">SUMPRODUCT($ET42:$EX42,OFFSET(DNN!$Y$9:$AC$9,FE$9,0)) + OFFSET(DNN!$X$9,FE$9,0)</f>
        <v>-1.574182761064886E-5</v>
      </c>
      <c r="FF42" s="97">
        <f ca="1">SUMPRODUCT($ET42:$EX42,OFFSET(DNN!$Y$9:$AC$9,FF$9,0)) + OFFSET(DNN!$X$9,FF$9,0)</f>
        <v>-1.3491460223194656E-3</v>
      </c>
      <c r="FG42" s="97">
        <f ca="1">SUMPRODUCT($ET42:$EX42,OFFSET(DNN!$Y$9:$AC$9,FG$9,0)) + OFFSET(DNN!$X$9,FG$9,0)</f>
        <v>-6.2604808096248285E-2</v>
      </c>
      <c r="FH42" s="97">
        <f ca="1">SUMPRODUCT($ET42:$EX42,OFFSET(DNN!$Y$9:$AC$9,FH$9,0)) + OFFSET(DNN!$X$9,FH$9,0)</f>
        <v>8.6810016937029894E-4</v>
      </c>
      <c r="FI42" s="108">
        <f ca="1">SUMPRODUCT($ET42:$EX42,OFFSET(DNN!$Y$9:$AC$9,FI$9,0)) + OFFSET(DNN!$X$9,FI$9,0)</f>
        <v>-1.3182687612562751</v>
      </c>
      <c r="FJ42" s="98">
        <f ca="1">SUMPRODUCT($ET42:$EX42,OFFSET(DNN!$Y$9:$AC$9,FJ$9,0)) + OFFSET(DNN!$X$9,FJ$9,0)</f>
        <v>-2.2535161745939301E-5</v>
      </c>
      <c r="FL42" s="415">
        <f t="shared" ca="1" si="98"/>
        <v>0.43031618918982212</v>
      </c>
      <c r="FM42" s="130">
        <f t="shared" ca="1" si="99"/>
        <v>1</v>
      </c>
      <c r="FN42" s="131">
        <f t="shared" ca="1" si="100"/>
        <v>0.65029522127322903</v>
      </c>
      <c r="FO42" s="131">
        <f t="shared" ca="1" si="101"/>
        <v>0.66028983545318687</v>
      </c>
      <c r="FP42" s="131">
        <f t="shared" ca="1" si="102"/>
        <v>0.64972655813153501</v>
      </c>
      <c r="FQ42" s="131">
        <f t="shared" ca="1" si="103"/>
        <v>0.65002804502111444</v>
      </c>
      <c r="FR42" s="131">
        <f t="shared" ca="1" si="104"/>
        <v>0.65029320640965171</v>
      </c>
      <c r="FS42" s="131">
        <f t="shared" ca="1" si="105"/>
        <v>0.64942668056342145</v>
      </c>
      <c r="FT42" s="131">
        <f t="shared" ca="1" si="106"/>
        <v>0.61083952513994022</v>
      </c>
      <c r="FU42" s="132">
        <f t="shared" ca="1" si="107"/>
        <v>0.6508682169276182</v>
      </c>
      <c r="FV42" s="131">
        <f t="shared" ca="1" si="108"/>
        <v>0.17402001625314881</v>
      </c>
      <c r="FW42" s="83">
        <f t="shared" ca="1" si="109"/>
        <v>-2.2535161742124597E-5</v>
      </c>
    </row>
    <row r="43" spans="1:179">
      <c r="A43" s="19">
        <f t="shared" si="117"/>
        <v>33</v>
      </c>
      <c r="B43" s="1">
        <f t="shared" ca="1" si="111"/>
        <v>0</v>
      </c>
      <c r="C43" s="20">
        <f t="shared" ca="1" si="112"/>
        <v>33</v>
      </c>
      <c r="D43" s="19" t="str">
        <f t="shared" ca="1" si="113"/>
        <v>〇×〇×〇×--〇</v>
      </c>
      <c r="E43" s="7">
        <f t="shared" ca="1" si="77"/>
        <v>9</v>
      </c>
      <c r="F43" s="7">
        <f t="shared" ca="1" si="78"/>
        <v>1</v>
      </c>
      <c r="G43" s="1" t="str">
        <f t="shared" ca="1" si="116"/>
        <v>〇×〇×〇×--〇</v>
      </c>
      <c r="H43" s="20" t="b">
        <f t="shared" ca="1" si="118"/>
        <v>1</v>
      </c>
      <c r="I43" s="22">
        <f t="shared" ca="1" si="114"/>
        <v>-1</v>
      </c>
      <c r="J43" s="1" t="b">
        <f ca="1">(1&lt;COUNTIF(D$10:D43,D43))</f>
        <v>1</v>
      </c>
      <c r="K43" s="1" t="b">
        <f t="shared" ca="1" si="81"/>
        <v>1</v>
      </c>
      <c r="L43" s="7">
        <f ca="1">MATCH(TRUE,K43:K$1048576,FALSE)-1</f>
        <v>0</v>
      </c>
      <c r="M43" s="24" t="str">
        <f t="shared" ca="1" si="119"/>
        <v>〇×〇×〇×--〇_9</v>
      </c>
      <c r="N43" s="25">
        <f t="shared" ca="1" si="82"/>
        <v>-2.2535161742124597E-5</v>
      </c>
      <c r="O43" s="26">
        <f t="shared" ca="1" si="83"/>
        <v>-1</v>
      </c>
      <c r="P43" s="27">
        <f t="shared" ca="1" si="84"/>
        <v>-1</v>
      </c>
      <c r="R43" s="41" t="str">
        <f ca="1">VLOOKUP(S43,cvt!$B$2:$C$4,2,FALSE)&amp;VLOOKUP(T43,cvt!$B$2:$C$4,2,FALSE)&amp;VLOOKUP(U43,cvt!$B$2:$C$4,2,FALSE)
&amp;VLOOKUP(V43,cvt!$B$2:$C$4,2,FALSE)&amp;VLOOKUP(W43,cvt!$B$2:$C$4,2,FALSE)&amp;VLOOKUP(X43,cvt!$B$2:$C$4,2,FALSE)
&amp;VLOOKUP(Y43,cvt!$B$2:$C$4,2,FALSE)&amp;VLOOKUP(Z43,cvt!$B$2:$C$4,2,FALSE)&amp;VLOOKUP(AA43,cvt!$B$2:$C$4,2,FALSE)</f>
        <v>〇×〇×〇×--〇</v>
      </c>
      <c r="S43" s="7">
        <f ca="1">VLOOKUP(MID($D43,S$9+1,1), cvt!$A$2:$B$4,2, FALSE)</f>
        <v>1</v>
      </c>
      <c r="T43" s="7">
        <f ca="1">VLOOKUP(MID($D43,T$9+1,1), cvt!$A$2:$B$4,2, FALSE)</f>
        <v>-1</v>
      </c>
      <c r="U43" s="7">
        <f ca="1">VLOOKUP(MID($D43,U$9+1,1), cvt!$A$2:$B$4,2, FALSE)</f>
        <v>1</v>
      </c>
      <c r="V43" s="17">
        <f ca="1">VLOOKUP(MID($D43,V$9+1,1), cvt!$A$2:$B$4,2, FALSE)</f>
        <v>-1</v>
      </c>
      <c r="W43" s="7">
        <f ca="1">VLOOKUP(MID($D43,W$9+1,1), cvt!$A$2:$B$4,2, FALSE)</f>
        <v>1</v>
      </c>
      <c r="X43" s="18">
        <f ca="1">VLOOKUP(MID($D43,X$9+1,1), cvt!$A$2:$B$4,2, FALSE)</f>
        <v>-1</v>
      </c>
      <c r="Y43" s="7">
        <f ca="1">VLOOKUP(MID($D43,Y$9+1,1), cvt!$A$2:$B$4,2, FALSE)</f>
        <v>0</v>
      </c>
      <c r="Z43" s="7">
        <f ca="1">VLOOKUP(MID($D43,Z$9+1,1), cvt!$A$2:$B$4,2, FALSE)</f>
        <v>0</v>
      </c>
      <c r="AA43" s="42">
        <f ca="1">VLOOKUP(MID($D43,AA$9+1,1), cvt!$A$2:$B$4,2, FALSE)</f>
        <v>1</v>
      </c>
      <c r="AB43" s="7">
        <f t="shared" ca="1" si="85"/>
        <v>1</v>
      </c>
      <c r="AC43" s="50" t="b">
        <f t="shared" ca="1" si="86"/>
        <v>1</v>
      </c>
      <c r="AE43" s="19" t="str">
        <f ca="1">VLOOKUP(AF43,cvt!$B$2:$C$4,2,FALSE)&amp;VLOOKUP(AG43,cvt!$B$2:$C$4,2,FALSE)&amp;VLOOKUP(AH43,cvt!$B$2:$C$4,2,FALSE)
&amp;VLOOKUP(AI43,cvt!$B$2:$C$4,2,FALSE)&amp;VLOOKUP(AJ43,cvt!$B$2:$C$4,2,FALSE)&amp;VLOOKUP(AK43,cvt!$B$2:$C$4,2,FALSE)
&amp;VLOOKUP(AL43,cvt!$B$2:$C$4,2,FALSE)&amp;VLOOKUP(AM43,cvt!$B$2:$C$4,2,FALSE)&amp;VLOOKUP(AN43,cvt!$B$2:$C$4,2,FALSE)</f>
        <v>〇×〇×〇×--〇</v>
      </c>
      <c r="AF43" s="17">
        <f t="shared" ca="1" si="120"/>
        <v>1</v>
      </c>
      <c r="AG43" s="7">
        <f t="shared" ca="1" si="121"/>
        <v>-1</v>
      </c>
      <c r="AH43" s="7">
        <f t="shared" ca="1" si="122"/>
        <v>1</v>
      </c>
      <c r="AI43" s="17">
        <f t="shared" ca="1" si="123"/>
        <v>-1</v>
      </c>
      <c r="AJ43" s="7">
        <f t="shared" ca="1" si="124"/>
        <v>1</v>
      </c>
      <c r="AK43" s="18">
        <f t="shared" ca="1" si="125"/>
        <v>-1</v>
      </c>
      <c r="AL43" s="7">
        <f t="shared" ca="1" si="126"/>
        <v>0</v>
      </c>
      <c r="AM43" s="7">
        <f t="shared" ca="1" si="127"/>
        <v>0</v>
      </c>
      <c r="AN43" s="18">
        <f t="shared" ca="1" si="128"/>
        <v>1</v>
      </c>
      <c r="AO43" s="7">
        <f t="shared" ca="1" si="115"/>
        <v>1</v>
      </c>
      <c r="AP43" s="50" t="b">
        <f t="shared" ca="1" si="87"/>
        <v>1</v>
      </c>
      <c r="AS43" s="22">
        <f t="shared" ca="1" si="88"/>
        <v>0</v>
      </c>
      <c r="AT43" s="7">
        <f t="shared" ca="1" si="23"/>
        <v>0</v>
      </c>
      <c r="AU43" s="7">
        <f t="shared" ca="1" si="24"/>
        <v>0</v>
      </c>
      <c r="AV43" s="7">
        <f t="shared" ca="1" si="25"/>
        <v>0</v>
      </c>
      <c r="AW43" s="7">
        <f t="shared" ca="1" si="26"/>
        <v>0</v>
      </c>
      <c r="AX43" s="7">
        <f t="shared" ca="1" si="27"/>
        <v>0</v>
      </c>
      <c r="AY43" s="7">
        <f t="shared" ca="1" si="28"/>
        <v>0</v>
      </c>
      <c r="AZ43" s="7">
        <f t="shared" ca="1" si="29"/>
        <v>0</v>
      </c>
      <c r="BA43" s="18">
        <f t="shared" ca="1" si="30"/>
        <v>0</v>
      </c>
      <c r="BB43" s="295">
        <f t="shared" ca="1" si="89"/>
        <v>1</v>
      </c>
      <c r="BD43" s="132"/>
      <c r="BE43" s="297">
        <f t="shared" ca="1" si="90"/>
        <v>1</v>
      </c>
      <c r="BF43" s="298">
        <f t="shared" ca="1" si="31"/>
        <v>0.65029522127322903</v>
      </c>
      <c r="BG43" s="298">
        <f t="shared" ca="1" si="32"/>
        <v>0.66028983545318687</v>
      </c>
      <c r="BH43" s="318">
        <f t="shared" ca="1" si="33"/>
        <v>0.64972655813153501</v>
      </c>
      <c r="BI43" s="298">
        <f t="shared" ca="1" si="34"/>
        <v>0.65002804502111444</v>
      </c>
      <c r="BJ43" s="299">
        <f t="shared" ca="1" si="35"/>
        <v>0.65029320640965171</v>
      </c>
      <c r="BK43" s="298">
        <f t="shared" ca="1" si="36"/>
        <v>0.64942668056342145</v>
      </c>
      <c r="BL43" s="298">
        <f t="shared" ca="1" si="37"/>
        <v>0.61083952513994022</v>
      </c>
      <c r="BM43" s="299">
        <f t="shared" ca="1" si="38"/>
        <v>0.6508682169276182</v>
      </c>
      <c r="BN43" s="295">
        <f t="shared" ca="1" si="39"/>
        <v>0.17402001625314881</v>
      </c>
      <c r="BO43" s="248">
        <f t="shared" ca="1" si="91"/>
        <v>-2.2535161742124597E-5</v>
      </c>
      <c r="BQ43" s="304">
        <f t="shared" ca="1" si="92"/>
        <v>0.42412001625314877</v>
      </c>
      <c r="BR43" s="297">
        <f t="shared" ca="1" si="93"/>
        <v>0</v>
      </c>
      <c r="BS43" s="298">
        <f t="shared" ca="1" si="40"/>
        <v>0</v>
      </c>
      <c r="BT43" s="298">
        <f t="shared" ca="1" si="41"/>
        <v>0</v>
      </c>
      <c r="BU43" s="318">
        <f t="shared" ca="1" si="42"/>
        <v>0</v>
      </c>
      <c r="BV43" s="298">
        <f t="shared" ca="1" si="43"/>
        <v>0</v>
      </c>
      <c r="BW43" s="299">
        <f t="shared" ca="1" si="44"/>
        <v>0</v>
      </c>
      <c r="BX43" s="298">
        <f t="shared" ca="1" si="45"/>
        <v>0</v>
      </c>
      <c r="BY43" s="298">
        <f t="shared" ca="1" si="46"/>
        <v>0</v>
      </c>
      <c r="BZ43" s="298">
        <f t="shared" ca="1" si="47"/>
        <v>0</v>
      </c>
      <c r="CA43" s="315">
        <f t="shared" ca="1" si="48"/>
        <v>0.42412001625314877</v>
      </c>
      <c r="CC43" s="52"/>
      <c r="CD43" s="306">
        <f t="shared" ca="1" si="94"/>
        <v>0</v>
      </c>
      <c r="CE43" s="15">
        <f t="shared" ca="1" si="49"/>
        <v>0</v>
      </c>
      <c r="CF43" s="15">
        <f t="shared" ca="1" si="50"/>
        <v>0</v>
      </c>
      <c r="CG43" s="286">
        <f t="shared" ca="1" si="51"/>
        <v>0</v>
      </c>
      <c r="CH43" s="15">
        <f t="shared" ca="1" si="52"/>
        <v>0</v>
      </c>
      <c r="CI43" s="288">
        <f t="shared" ca="1" si="53"/>
        <v>0</v>
      </c>
      <c r="CJ43" s="15">
        <f t="shared" ca="1" si="54"/>
        <v>0</v>
      </c>
      <c r="CK43" s="15">
        <f t="shared" ca="1" si="55"/>
        <v>0</v>
      </c>
      <c r="CL43" s="15">
        <f t="shared" ca="1" si="56"/>
        <v>0</v>
      </c>
      <c r="CM43" s="313">
        <f t="shared" ca="1" si="57"/>
        <v>1</v>
      </c>
      <c r="CO43" s="320">
        <f t="shared" ca="1" si="95"/>
        <v>32</v>
      </c>
      <c r="CP43" s="22">
        <f ca="1">COUNTIFS($C$10:$C42,"&lt;"&amp;$C43,$M$10:$M42,$D43&amp;"_"&amp;CP$9)</f>
        <v>0</v>
      </c>
      <c r="CQ43" s="7">
        <f ca="1">COUNTIFS($C$10:$C42,"&lt;"&amp;$C43,$M$10:$M42,$D43&amp;"_"&amp;CQ$9)</f>
        <v>0</v>
      </c>
      <c r="CR43" s="7">
        <f ca="1">COUNTIFS($C$10:$C42,"&lt;"&amp;$C43,$M$10:$M42,$D43&amp;"_"&amp;CR$9)</f>
        <v>0</v>
      </c>
      <c r="CS43" s="17">
        <f ca="1">COUNTIFS($C$10:$C42,"&lt;"&amp;$C43,$M$10:$M42,$D43&amp;"_"&amp;CS$9)</f>
        <v>0</v>
      </c>
      <c r="CT43" s="7">
        <f ca="1">COUNTIFS($C$10:$C42,"&lt;"&amp;$C43,$M$10:$M42,$D43&amp;"_"&amp;CT$9)</f>
        <v>0</v>
      </c>
      <c r="CU43" s="18">
        <f ca="1">COUNTIFS($C$10:$C42,"&lt;"&amp;$C43,$M$10:$M42,$D43&amp;"_"&amp;CU$9)</f>
        <v>0</v>
      </c>
      <c r="CV43" s="7">
        <f ca="1">COUNTIFS($C$10:$C42,"&lt;"&amp;$C43,$M$10:$M42,$D43&amp;"_"&amp;CV$9)</f>
        <v>0</v>
      </c>
      <c r="CW43" s="7">
        <f ca="1">COUNTIFS($C$10:$C42,"&lt;"&amp;$C43,$M$10:$M42,$D43&amp;"_"&amp;CW$9)</f>
        <v>0</v>
      </c>
      <c r="CX43" s="7">
        <f ca="1">COUNTIFS($C$10:$C42,"&lt;"&amp;$C43,$M$10:$M42,$D43&amp;"_"&amp;CX$9)</f>
        <v>0</v>
      </c>
      <c r="CY43" s="221">
        <f ca="1">COUNTIFS($C$10:$C42,"&lt;"&amp;$C43,$M$10:$M42,$D43&amp;"_"&amp;CY$9)</f>
        <v>32</v>
      </c>
      <c r="DA43" s="20"/>
      <c r="DB43" s="308">
        <f ca="1">IF(CP43=0,0,SUMIFS($P$10:$P42, $C$10:$C42,"&lt;"&amp;$C43, $M$10:$M42,$D43&amp;"_"&amp;DB$9)/CP43)</f>
        <v>0</v>
      </c>
      <c r="DC43" s="263">
        <f ca="1">IF(CQ43=0,0,SUMIFS($P$10:$P42, $C$10:$C42,"&lt;"&amp;$C43, $M$10:$M42,$D43&amp;"_"&amp;DC$9)/CQ43)</f>
        <v>0</v>
      </c>
      <c r="DD43" s="263">
        <f ca="1">IF(CR43=0,0,SUMIFS($P$10:$P42, $C$10:$C42,"&lt;"&amp;$C43, $M$10:$M42,$D43&amp;"_"&amp;DD$9)/CR43)</f>
        <v>0</v>
      </c>
      <c r="DE43" s="262">
        <f ca="1">IF(CS43=0,0,SUMIFS($P$10:$P42, $C$10:$C42,"&lt;"&amp;$C43, $M$10:$M42,$D43&amp;"_"&amp;DE$9)/CS43)</f>
        <v>0</v>
      </c>
      <c r="DF43" s="263">
        <f ca="1">IF(CT43=0,0,SUMIFS($P$10:$P42, $C$10:$C42,"&lt;"&amp;$C43, $M$10:$M42,$D43&amp;"_"&amp;DF$9)/CT43)</f>
        <v>0</v>
      </c>
      <c r="DG43" s="310">
        <f ca="1">IF(CU43=0,0,SUMIFS($P$10:$P42, $C$10:$C42,"&lt;"&amp;$C43, $M$10:$M42,$D43&amp;"_"&amp;DG$9)/CU43)</f>
        <v>0</v>
      </c>
      <c r="DH43" s="263">
        <f ca="1">IF(CV43=0,0,SUMIFS($P$10:$P42, $C$10:$C42,"&lt;"&amp;$C43, $M$10:$M42,$D43&amp;"_"&amp;DH$9)/CV43)</f>
        <v>0</v>
      </c>
      <c r="DI43" s="263">
        <f ca="1">IF(CW43=0,0,SUMIFS($P$10:$P42, $C$10:$C42,"&lt;"&amp;$C43, $M$10:$M42,$D43&amp;"_"&amp;DI$9)/CW43)</f>
        <v>0</v>
      </c>
      <c r="DJ43" s="264">
        <f ca="1">IF(CX43=0,0,SUMIFS($P$10:$P42, $C$10:$C42,"&lt;"&amp;$C43, $M$10:$M42,$D43&amp;"_"&amp;DJ$9)/CX43)</f>
        <v>0</v>
      </c>
      <c r="DK43" s="264">
        <f ca="1">IF(CY43=0,0,SUMIFS($P$10:$P42, $C$10:$C42,"&lt;"&amp;$C43, $M$10:$M42,$D43&amp;"_"&amp;DK$9)/CY43)</f>
        <v>-1</v>
      </c>
      <c r="DM43" s="104"/>
      <c r="DN43" s="306">
        <f t="shared" ca="1" si="96"/>
        <v>-9999</v>
      </c>
      <c r="DO43" s="15">
        <f t="shared" ca="1" si="58"/>
        <v>-9999</v>
      </c>
      <c r="DP43" s="15">
        <f t="shared" ca="1" si="59"/>
        <v>-9999</v>
      </c>
      <c r="DQ43" s="15">
        <f t="shared" ca="1" si="60"/>
        <v>-9999</v>
      </c>
      <c r="DR43" s="15">
        <f t="shared" ca="1" si="61"/>
        <v>-9999</v>
      </c>
      <c r="DS43" s="15">
        <f t="shared" ca="1" si="62"/>
        <v>-9999</v>
      </c>
      <c r="DT43" s="15">
        <f t="shared" ca="1" si="63"/>
        <v>-9999</v>
      </c>
      <c r="DU43" s="15">
        <f t="shared" ca="1" si="64"/>
        <v>-9999</v>
      </c>
      <c r="DV43" s="52">
        <f t="shared" ca="1" si="65"/>
        <v>-9999</v>
      </c>
      <c r="DW43" s="313">
        <f t="shared" ca="1" si="66"/>
        <v>-0.82858017425780661</v>
      </c>
      <c r="DX43" s="52"/>
      <c r="DY43" s="402">
        <f t="shared" ca="1" si="97"/>
        <v>9</v>
      </c>
      <c r="ED43" s="19">
        <f t="shared" ca="1" si="129"/>
        <v>-1</v>
      </c>
      <c r="EE43" s="1">
        <f t="shared" ca="1" si="130"/>
        <v>1</v>
      </c>
      <c r="EF43" s="1">
        <f t="shared" ca="1" si="131"/>
        <v>-1</v>
      </c>
      <c r="EG43" s="2">
        <f t="shared" ca="1" si="132"/>
        <v>1</v>
      </c>
      <c r="EH43" s="1">
        <f t="shared" ca="1" si="133"/>
        <v>-1</v>
      </c>
      <c r="EI43" s="3">
        <f t="shared" ca="1" si="134"/>
        <v>1</v>
      </c>
      <c r="EJ43" s="1">
        <f t="shared" ca="1" si="135"/>
        <v>0</v>
      </c>
      <c r="EK43" s="1">
        <f t="shared" ca="1" si="136"/>
        <v>0</v>
      </c>
      <c r="EL43" s="20">
        <f t="shared" ca="1" si="137"/>
        <v>-1</v>
      </c>
      <c r="EN43" s="86">
        <f ca="1">MAX(0, SUMPRODUCT($ED43:$EL43,OFFSET(DNN!$E$9:$M$9,EN$9,0)) + OFFSET(DNN!$D$9,EN$9,0))</f>
        <v>0</v>
      </c>
      <c r="EO43" s="84">
        <f ca="1">MAX(0, SUMPRODUCT($ED43:$EL43,OFFSET(DNN!$E$9:$M$9,EO$9,0)) + OFFSET(DNN!$D$9,EO$9,0))</f>
        <v>7.2346022384755949E-3</v>
      </c>
      <c r="EP43" s="84">
        <f ca="1">MAX(0, SUMPRODUCT($ED43:$EL43,OFFSET(DNN!$E$9:$M$9,EP$9,0)) + OFFSET(DNN!$D$9,EP$9,0))</f>
        <v>3.6951849750035152E-3</v>
      </c>
      <c r="EQ43" s="84">
        <f ca="1">MAX(0, SUMPRODUCT($ED43:$EL43,OFFSET(DNN!$E$9:$M$9,EQ$9,0)) + OFFSET(DNN!$D$9,EQ$9,0))</f>
        <v>0</v>
      </c>
      <c r="ER43" s="85">
        <f ca="1">MAX(0, SUMPRODUCT($ED43:$EL43,OFFSET(DNN!$E$9:$M$9,ER$9,0)) + OFFSET(DNN!$D$9,ER$9,0))</f>
        <v>0</v>
      </c>
      <c r="ET43" s="86">
        <f ca="1">MAX(0, SUMPRODUCT($EN43:$ER43,OFFSET(DNN!$Q$9:$U$9,ET$9,0)) + OFFSET(DNN!$P$9,ET$9,0))</f>
        <v>4.3954959453478351E-4</v>
      </c>
      <c r="EU43" s="84">
        <f ca="1">MAX(0, SUMPRODUCT($EN43:$ER43,OFFSET(DNN!$Q$9:$U$9,EU$9,0)) + OFFSET(DNN!$P$9,EU$9,0))</f>
        <v>0</v>
      </c>
      <c r="EV43" s="84">
        <f ca="1">MAX(0, SUMPRODUCT($EN43:$ER43,OFFSET(DNN!$Q$9:$U$9,EV$9,0)) + OFFSET(DNN!$P$9,EV$9,0))</f>
        <v>1.2810123361902579E-3</v>
      </c>
      <c r="EW43" s="84">
        <f ca="1">MAX(0, SUMPRODUCT($EN43:$ER43,OFFSET(DNN!$Q$9:$U$9,EW$9,0)) + OFFSET(DNN!$P$9,EW$9,0))</f>
        <v>7.8382123007882457E-4</v>
      </c>
      <c r="EX43" s="85">
        <f ca="1">MAX(0, SUMPRODUCT($EN43:$ER43,OFFSET(DNN!$Q$9:$U$9,EX$9,0)) + OFFSET(DNN!$P$9,EX$9,0))</f>
        <v>0</v>
      </c>
      <c r="EZ43" s="111">
        <f ca="1">SUMPRODUCT($ET43:$EX43,OFFSET(DNN!$Y$9:$AC$9,EZ$9,0)) + OFFSET(DNN!$X$9,EZ$9,0)</f>
        <v>0.43031618918982212</v>
      </c>
      <c r="FA43" s="97">
        <f ca="1">SUMPRODUCT($ET43:$EX43,OFFSET(DNN!$Y$9:$AC$9,FA$9,0)) + OFFSET(DNN!$X$9,FA$9,0)</f>
        <v>-1.2643439935754107E-5</v>
      </c>
      <c r="FB43" s="97">
        <f ca="1">SUMPRODUCT($ET43:$EX43,OFFSET(DNN!$Y$9:$AC$9,FB$9,0)) + OFFSET(DNN!$X$9,FB$9,0)</f>
        <v>1.5239793458415756E-2</v>
      </c>
      <c r="FC43" s="97">
        <f ca="1">SUMPRODUCT($ET43:$EX43,OFFSET(DNN!$Y$9:$AC$9,FC$9,0)) + OFFSET(DNN!$X$9,FC$9,0)</f>
        <v>-8.8749521084055777E-4</v>
      </c>
      <c r="FD43" s="97">
        <f ca="1">SUMPRODUCT($ET43:$EX43,OFFSET(DNN!$Y$9:$AC$9,FD$9,0)) + OFFSET(DNN!$X$9,FD$9,0)</f>
        <v>-4.235816470721872E-4</v>
      </c>
      <c r="FE43" s="97">
        <f ca="1">SUMPRODUCT($ET43:$EX43,OFFSET(DNN!$Y$9:$AC$9,FE$9,0)) + OFFSET(DNN!$X$9,FE$9,0)</f>
        <v>-1.574182761064886E-5</v>
      </c>
      <c r="FF43" s="97">
        <f ca="1">SUMPRODUCT($ET43:$EX43,OFFSET(DNN!$Y$9:$AC$9,FF$9,0)) + OFFSET(DNN!$X$9,FF$9,0)</f>
        <v>-1.3491460223194656E-3</v>
      </c>
      <c r="FG43" s="97">
        <f ca="1">SUMPRODUCT($ET43:$EX43,OFFSET(DNN!$Y$9:$AC$9,FG$9,0)) + OFFSET(DNN!$X$9,FG$9,0)</f>
        <v>-6.2604808096248285E-2</v>
      </c>
      <c r="FH43" s="97">
        <f ca="1">SUMPRODUCT($ET43:$EX43,OFFSET(DNN!$Y$9:$AC$9,FH$9,0)) + OFFSET(DNN!$X$9,FH$9,0)</f>
        <v>8.6810016937029894E-4</v>
      </c>
      <c r="FI43" s="108">
        <f ca="1">SUMPRODUCT($ET43:$EX43,OFFSET(DNN!$Y$9:$AC$9,FI$9,0)) + OFFSET(DNN!$X$9,FI$9,0)</f>
        <v>-1.3182687612562751</v>
      </c>
      <c r="FJ43" s="98">
        <f ca="1">SUMPRODUCT($ET43:$EX43,OFFSET(DNN!$Y$9:$AC$9,FJ$9,0)) + OFFSET(DNN!$X$9,FJ$9,0)</f>
        <v>-2.2535161745939301E-5</v>
      </c>
      <c r="FL43" s="415">
        <f t="shared" ca="1" si="98"/>
        <v>0.43031618918982212</v>
      </c>
      <c r="FM43" s="130">
        <f t="shared" ca="1" si="99"/>
        <v>1</v>
      </c>
      <c r="FN43" s="131">
        <f t="shared" ca="1" si="100"/>
        <v>0.65029522127322903</v>
      </c>
      <c r="FO43" s="131">
        <f t="shared" ca="1" si="101"/>
        <v>0.66028983545318687</v>
      </c>
      <c r="FP43" s="131">
        <f t="shared" ca="1" si="102"/>
        <v>0.64972655813153501</v>
      </c>
      <c r="FQ43" s="131">
        <f t="shared" ca="1" si="103"/>
        <v>0.65002804502111444</v>
      </c>
      <c r="FR43" s="131">
        <f t="shared" ca="1" si="104"/>
        <v>0.65029320640965171</v>
      </c>
      <c r="FS43" s="131">
        <f t="shared" ca="1" si="105"/>
        <v>0.64942668056342145</v>
      </c>
      <c r="FT43" s="131">
        <f t="shared" ca="1" si="106"/>
        <v>0.61083952513994022</v>
      </c>
      <c r="FU43" s="132">
        <f t="shared" ca="1" si="107"/>
        <v>0.6508682169276182</v>
      </c>
      <c r="FV43" s="131">
        <f t="shared" ca="1" si="108"/>
        <v>0.17402001625314881</v>
      </c>
      <c r="FW43" s="83">
        <f t="shared" ca="1" si="109"/>
        <v>-2.2535161742124597E-5</v>
      </c>
    </row>
    <row r="44" spans="1:179">
      <c r="A44" s="19">
        <f t="shared" si="117"/>
        <v>34</v>
      </c>
      <c r="B44" s="1">
        <f t="shared" ca="1" si="111"/>
        <v>0</v>
      </c>
      <c r="C44" s="20">
        <f t="shared" ca="1" si="112"/>
        <v>34</v>
      </c>
      <c r="D44" s="19" t="str">
        <f t="shared" ca="1" si="113"/>
        <v>〇×〇×〇×--〇</v>
      </c>
      <c r="E44" s="7">
        <f t="shared" ca="1" si="77"/>
        <v>9</v>
      </c>
      <c r="F44" s="7">
        <f t="shared" ca="1" si="78"/>
        <v>1</v>
      </c>
      <c r="G44" s="1" t="str">
        <f t="shared" ca="1" si="116"/>
        <v>〇×〇×〇×--〇</v>
      </c>
      <c r="H44" s="20" t="b">
        <f t="shared" ca="1" si="118"/>
        <v>1</v>
      </c>
      <c r="I44" s="22">
        <f t="shared" ca="1" si="114"/>
        <v>-1</v>
      </c>
      <c r="J44" s="1" t="b">
        <f ca="1">(1&lt;COUNTIF(D$10:D44,D44))</f>
        <v>1</v>
      </c>
      <c r="K44" s="1" t="b">
        <f t="shared" ca="1" si="81"/>
        <v>1</v>
      </c>
      <c r="L44" s="7">
        <f ca="1">MATCH(TRUE,K44:K$1048576,FALSE)-1</f>
        <v>0</v>
      </c>
      <c r="M44" s="24" t="str">
        <f t="shared" ca="1" si="119"/>
        <v>〇×〇×〇×--〇_9</v>
      </c>
      <c r="N44" s="25">
        <f t="shared" ca="1" si="82"/>
        <v>-2.2535161742124597E-5</v>
      </c>
      <c r="O44" s="26">
        <f t="shared" ca="1" si="83"/>
        <v>-1</v>
      </c>
      <c r="P44" s="27">
        <f t="shared" ca="1" si="84"/>
        <v>-1</v>
      </c>
      <c r="R44" s="41" t="str">
        <f ca="1">VLOOKUP(S44,cvt!$B$2:$C$4,2,FALSE)&amp;VLOOKUP(T44,cvt!$B$2:$C$4,2,FALSE)&amp;VLOOKUP(U44,cvt!$B$2:$C$4,2,FALSE)
&amp;VLOOKUP(V44,cvt!$B$2:$C$4,2,FALSE)&amp;VLOOKUP(W44,cvt!$B$2:$C$4,2,FALSE)&amp;VLOOKUP(X44,cvt!$B$2:$C$4,2,FALSE)
&amp;VLOOKUP(Y44,cvt!$B$2:$C$4,2,FALSE)&amp;VLOOKUP(Z44,cvt!$B$2:$C$4,2,FALSE)&amp;VLOOKUP(AA44,cvt!$B$2:$C$4,2,FALSE)</f>
        <v>〇×〇×〇×--〇</v>
      </c>
      <c r="S44" s="7">
        <f ca="1">VLOOKUP(MID($D44,S$9+1,1), cvt!$A$2:$B$4,2, FALSE)</f>
        <v>1</v>
      </c>
      <c r="T44" s="7">
        <f ca="1">VLOOKUP(MID($D44,T$9+1,1), cvt!$A$2:$B$4,2, FALSE)</f>
        <v>-1</v>
      </c>
      <c r="U44" s="7">
        <f ca="1">VLOOKUP(MID($D44,U$9+1,1), cvt!$A$2:$B$4,2, FALSE)</f>
        <v>1</v>
      </c>
      <c r="V44" s="17">
        <f ca="1">VLOOKUP(MID($D44,V$9+1,1), cvt!$A$2:$B$4,2, FALSE)</f>
        <v>-1</v>
      </c>
      <c r="W44" s="7">
        <f ca="1">VLOOKUP(MID($D44,W$9+1,1), cvt!$A$2:$B$4,2, FALSE)</f>
        <v>1</v>
      </c>
      <c r="X44" s="18">
        <f ca="1">VLOOKUP(MID($D44,X$9+1,1), cvt!$A$2:$B$4,2, FALSE)</f>
        <v>-1</v>
      </c>
      <c r="Y44" s="7">
        <f ca="1">VLOOKUP(MID($D44,Y$9+1,1), cvt!$A$2:$B$4,2, FALSE)</f>
        <v>0</v>
      </c>
      <c r="Z44" s="7">
        <f ca="1">VLOOKUP(MID($D44,Z$9+1,1), cvt!$A$2:$B$4,2, FALSE)</f>
        <v>0</v>
      </c>
      <c r="AA44" s="42">
        <f ca="1">VLOOKUP(MID($D44,AA$9+1,1), cvt!$A$2:$B$4,2, FALSE)</f>
        <v>1</v>
      </c>
      <c r="AB44" s="7">
        <f t="shared" ca="1" si="85"/>
        <v>1</v>
      </c>
      <c r="AC44" s="50" t="b">
        <f t="shared" ca="1" si="86"/>
        <v>1</v>
      </c>
      <c r="AE44" s="19" t="str">
        <f ca="1">VLOOKUP(AF44,cvt!$B$2:$C$4,2,FALSE)&amp;VLOOKUP(AG44,cvt!$B$2:$C$4,2,FALSE)&amp;VLOOKUP(AH44,cvt!$B$2:$C$4,2,FALSE)
&amp;VLOOKUP(AI44,cvt!$B$2:$C$4,2,FALSE)&amp;VLOOKUP(AJ44,cvt!$B$2:$C$4,2,FALSE)&amp;VLOOKUP(AK44,cvt!$B$2:$C$4,2,FALSE)
&amp;VLOOKUP(AL44,cvt!$B$2:$C$4,2,FALSE)&amp;VLOOKUP(AM44,cvt!$B$2:$C$4,2,FALSE)&amp;VLOOKUP(AN44,cvt!$B$2:$C$4,2,FALSE)</f>
        <v>〇×〇×〇×--〇</v>
      </c>
      <c r="AF44" s="17">
        <f t="shared" ca="1" si="120"/>
        <v>1</v>
      </c>
      <c r="AG44" s="7">
        <f t="shared" ca="1" si="121"/>
        <v>-1</v>
      </c>
      <c r="AH44" s="7">
        <f t="shared" ca="1" si="122"/>
        <v>1</v>
      </c>
      <c r="AI44" s="17">
        <f t="shared" ca="1" si="123"/>
        <v>-1</v>
      </c>
      <c r="AJ44" s="7">
        <f t="shared" ca="1" si="124"/>
        <v>1</v>
      </c>
      <c r="AK44" s="18">
        <f t="shared" ca="1" si="125"/>
        <v>-1</v>
      </c>
      <c r="AL44" s="7">
        <f t="shared" ca="1" si="126"/>
        <v>0</v>
      </c>
      <c r="AM44" s="7">
        <f t="shared" ca="1" si="127"/>
        <v>0</v>
      </c>
      <c r="AN44" s="18">
        <f t="shared" ca="1" si="128"/>
        <v>1</v>
      </c>
      <c r="AO44" s="7">
        <f t="shared" ca="1" si="115"/>
        <v>1</v>
      </c>
      <c r="AP44" s="50" t="b">
        <f t="shared" ca="1" si="87"/>
        <v>1</v>
      </c>
      <c r="AS44" s="22">
        <f t="shared" ca="1" si="88"/>
        <v>0</v>
      </c>
      <c r="AT44" s="7">
        <f t="shared" ca="1" si="23"/>
        <v>0</v>
      </c>
      <c r="AU44" s="7">
        <f t="shared" ca="1" si="24"/>
        <v>0</v>
      </c>
      <c r="AV44" s="7">
        <f t="shared" ca="1" si="25"/>
        <v>0</v>
      </c>
      <c r="AW44" s="7">
        <f t="shared" ca="1" si="26"/>
        <v>0</v>
      </c>
      <c r="AX44" s="7">
        <f t="shared" ca="1" si="27"/>
        <v>0</v>
      </c>
      <c r="AY44" s="7">
        <f t="shared" ca="1" si="28"/>
        <v>0</v>
      </c>
      <c r="AZ44" s="7">
        <f t="shared" ca="1" si="29"/>
        <v>0</v>
      </c>
      <c r="BA44" s="18">
        <f t="shared" ca="1" si="30"/>
        <v>0</v>
      </c>
      <c r="BB44" s="295">
        <f t="shared" ca="1" si="89"/>
        <v>1</v>
      </c>
      <c r="BD44" s="132"/>
      <c r="BE44" s="297">
        <f t="shared" ca="1" si="90"/>
        <v>1</v>
      </c>
      <c r="BF44" s="298">
        <f t="shared" ca="1" si="31"/>
        <v>0.65029522127322903</v>
      </c>
      <c r="BG44" s="298">
        <f t="shared" ca="1" si="32"/>
        <v>0.66028983545318687</v>
      </c>
      <c r="BH44" s="318">
        <f t="shared" ca="1" si="33"/>
        <v>0.64972655813153501</v>
      </c>
      <c r="BI44" s="298">
        <f t="shared" ca="1" si="34"/>
        <v>0.65002804502111444</v>
      </c>
      <c r="BJ44" s="299">
        <f t="shared" ca="1" si="35"/>
        <v>0.65029320640965171</v>
      </c>
      <c r="BK44" s="298">
        <f t="shared" ca="1" si="36"/>
        <v>0.64942668056342145</v>
      </c>
      <c r="BL44" s="298">
        <f t="shared" ca="1" si="37"/>
        <v>0.61083952513994022</v>
      </c>
      <c r="BM44" s="299">
        <f t="shared" ca="1" si="38"/>
        <v>0.6508682169276182</v>
      </c>
      <c r="BN44" s="295">
        <f t="shared" ca="1" si="39"/>
        <v>0.17402001625314881</v>
      </c>
      <c r="BO44" s="248">
        <f t="shared" ca="1" si="91"/>
        <v>-2.2535161742124597E-5</v>
      </c>
      <c r="BQ44" s="304">
        <f t="shared" ca="1" si="92"/>
        <v>0.42412001625314877</v>
      </c>
      <c r="BR44" s="297">
        <f t="shared" ca="1" si="93"/>
        <v>0</v>
      </c>
      <c r="BS44" s="298">
        <f t="shared" ca="1" si="40"/>
        <v>0</v>
      </c>
      <c r="BT44" s="298">
        <f t="shared" ca="1" si="41"/>
        <v>0</v>
      </c>
      <c r="BU44" s="318">
        <f t="shared" ca="1" si="42"/>
        <v>0</v>
      </c>
      <c r="BV44" s="298">
        <f t="shared" ca="1" si="43"/>
        <v>0</v>
      </c>
      <c r="BW44" s="299">
        <f t="shared" ca="1" si="44"/>
        <v>0</v>
      </c>
      <c r="BX44" s="298">
        <f t="shared" ca="1" si="45"/>
        <v>0</v>
      </c>
      <c r="BY44" s="298">
        <f t="shared" ca="1" si="46"/>
        <v>0</v>
      </c>
      <c r="BZ44" s="298">
        <f t="shared" ca="1" si="47"/>
        <v>0</v>
      </c>
      <c r="CA44" s="315">
        <f t="shared" ca="1" si="48"/>
        <v>0.42412001625314877</v>
      </c>
      <c r="CC44" s="52"/>
      <c r="CD44" s="306">
        <f t="shared" ca="1" si="94"/>
        <v>0</v>
      </c>
      <c r="CE44" s="15">
        <f t="shared" ca="1" si="49"/>
        <v>0</v>
      </c>
      <c r="CF44" s="15">
        <f t="shared" ca="1" si="50"/>
        <v>0</v>
      </c>
      <c r="CG44" s="286">
        <f t="shared" ca="1" si="51"/>
        <v>0</v>
      </c>
      <c r="CH44" s="15">
        <f t="shared" ca="1" si="52"/>
        <v>0</v>
      </c>
      <c r="CI44" s="288">
        <f t="shared" ca="1" si="53"/>
        <v>0</v>
      </c>
      <c r="CJ44" s="15">
        <f t="shared" ca="1" si="54"/>
        <v>0</v>
      </c>
      <c r="CK44" s="15">
        <f t="shared" ca="1" si="55"/>
        <v>0</v>
      </c>
      <c r="CL44" s="15">
        <f t="shared" ca="1" si="56"/>
        <v>0</v>
      </c>
      <c r="CM44" s="313">
        <f t="shared" ca="1" si="57"/>
        <v>1</v>
      </c>
      <c r="CO44" s="320">
        <f t="shared" ca="1" si="95"/>
        <v>33</v>
      </c>
      <c r="CP44" s="22">
        <f ca="1">COUNTIFS($C$10:$C43,"&lt;"&amp;$C44,$M$10:$M43,$D44&amp;"_"&amp;CP$9)</f>
        <v>0</v>
      </c>
      <c r="CQ44" s="7">
        <f ca="1">COUNTIFS($C$10:$C43,"&lt;"&amp;$C44,$M$10:$M43,$D44&amp;"_"&amp;CQ$9)</f>
        <v>0</v>
      </c>
      <c r="CR44" s="7">
        <f ca="1">COUNTIFS($C$10:$C43,"&lt;"&amp;$C44,$M$10:$M43,$D44&amp;"_"&amp;CR$9)</f>
        <v>0</v>
      </c>
      <c r="CS44" s="17">
        <f ca="1">COUNTIFS($C$10:$C43,"&lt;"&amp;$C44,$M$10:$M43,$D44&amp;"_"&amp;CS$9)</f>
        <v>0</v>
      </c>
      <c r="CT44" s="7">
        <f ca="1">COUNTIFS($C$10:$C43,"&lt;"&amp;$C44,$M$10:$M43,$D44&amp;"_"&amp;CT$9)</f>
        <v>0</v>
      </c>
      <c r="CU44" s="18">
        <f ca="1">COUNTIFS($C$10:$C43,"&lt;"&amp;$C44,$M$10:$M43,$D44&amp;"_"&amp;CU$9)</f>
        <v>0</v>
      </c>
      <c r="CV44" s="7">
        <f ca="1">COUNTIFS($C$10:$C43,"&lt;"&amp;$C44,$M$10:$M43,$D44&amp;"_"&amp;CV$9)</f>
        <v>0</v>
      </c>
      <c r="CW44" s="7">
        <f ca="1">COUNTIFS($C$10:$C43,"&lt;"&amp;$C44,$M$10:$M43,$D44&amp;"_"&amp;CW$9)</f>
        <v>0</v>
      </c>
      <c r="CX44" s="7">
        <f ca="1">COUNTIFS($C$10:$C43,"&lt;"&amp;$C44,$M$10:$M43,$D44&amp;"_"&amp;CX$9)</f>
        <v>0</v>
      </c>
      <c r="CY44" s="221">
        <f ca="1">COUNTIFS($C$10:$C43,"&lt;"&amp;$C44,$M$10:$M43,$D44&amp;"_"&amp;CY$9)</f>
        <v>33</v>
      </c>
      <c r="DA44" s="20"/>
      <c r="DB44" s="308">
        <f ca="1">IF(CP44=0,0,SUMIFS($P$10:$P43, $C$10:$C43,"&lt;"&amp;$C44, $M$10:$M43,$D44&amp;"_"&amp;DB$9)/CP44)</f>
        <v>0</v>
      </c>
      <c r="DC44" s="263">
        <f ca="1">IF(CQ44=0,0,SUMIFS($P$10:$P43, $C$10:$C43,"&lt;"&amp;$C44, $M$10:$M43,$D44&amp;"_"&amp;DC$9)/CQ44)</f>
        <v>0</v>
      </c>
      <c r="DD44" s="263">
        <f ca="1">IF(CR44=0,0,SUMIFS($P$10:$P43, $C$10:$C43,"&lt;"&amp;$C44, $M$10:$M43,$D44&amp;"_"&amp;DD$9)/CR44)</f>
        <v>0</v>
      </c>
      <c r="DE44" s="262">
        <f ca="1">IF(CS44=0,0,SUMIFS($P$10:$P43, $C$10:$C43,"&lt;"&amp;$C44, $M$10:$M43,$D44&amp;"_"&amp;DE$9)/CS44)</f>
        <v>0</v>
      </c>
      <c r="DF44" s="263">
        <f ca="1">IF(CT44=0,0,SUMIFS($P$10:$P43, $C$10:$C43,"&lt;"&amp;$C44, $M$10:$M43,$D44&amp;"_"&amp;DF$9)/CT44)</f>
        <v>0</v>
      </c>
      <c r="DG44" s="310">
        <f ca="1">IF(CU44=0,0,SUMIFS($P$10:$P43, $C$10:$C43,"&lt;"&amp;$C44, $M$10:$M43,$D44&amp;"_"&amp;DG$9)/CU44)</f>
        <v>0</v>
      </c>
      <c r="DH44" s="263">
        <f ca="1">IF(CV44=0,0,SUMIFS($P$10:$P43, $C$10:$C43,"&lt;"&amp;$C44, $M$10:$M43,$D44&amp;"_"&amp;DH$9)/CV44)</f>
        <v>0</v>
      </c>
      <c r="DI44" s="263">
        <f ca="1">IF(CW44=0,0,SUMIFS($P$10:$P43, $C$10:$C43,"&lt;"&amp;$C44, $M$10:$M43,$D44&amp;"_"&amp;DI$9)/CW44)</f>
        <v>0</v>
      </c>
      <c r="DJ44" s="264">
        <f ca="1">IF(CX44=0,0,SUMIFS($P$10:$P43, $C$10:$C43,"&lt;"&amp;$C44, $M$10:$M43,$D44&amp;"_"&amp;DJ$9)/CX44)</f>
        <v>0</v>
      </c>
      <c r="DK44" s="264">
        <f ca="1">IF(CY44=0,0,SUMIFS($P$10:$P43, $C$10:$C43,"&lt;"&amp;$C44, $M$10:$M43,$D44&amp;"_"&amp;DK$9)/CY44)</f>
        <v>-1</v>
      </c>
      <c r="DM44" s="104"/>
      <c r="DN44" s="306">
        <f t="shared" ca="1" si="96"/>
        <v>-9999</v>
      </c>
      <c r="DO44" s="15">
        <f t="shared" ca="1" si="58"/>
        <v>-9999</v>
      </c>
      <c r="DP44" s="15">
        <f t="shared" ca="1" si="59"/>
        <v>-9999</v>
      </c>
      <c r="DQ44" s="15">
        <f t="shared" ca="1" si="60"/>
        <v>-9999</v>
      </c>
      <c r="DR44" s="15">
        <f t="shared" ca="1" si="61"/>
        <v>-9999</v>
      </c>
      <c r="DS44" s="15">
        <f t="shared" ca="1" si="62"/>
        <v>-9999</v>
      </c>
      <c r="DT44" s="15">
        <f t="shared" ca="1" si="63"/>
        <v>-9999</v>
      </c>
      <c r="DU44" s="15">
        <f t="shared" ca="1" si="64"/>
        <v>-9999</v>
      </c>
      <c r="DV44" s="52">
        <f t="shared" ca="1" si="65"/>
        <v>-9999</v>
      </c>
      <c r="DW44" s="313">
        <f t="shared" ca="1" si="66"/>
        <v>-0.83104227510182271</v>
      </c>
      <c r="DX44" s="52"/>
      <c r="DY44" s="402">
        <f t="shared" ca="1" si="97"/>
        <v>9</v>
      </c>
      <c r="ED44" s="19">
        <f t="shared" ca="1" si="129"/>
        <v>-1</v>
      </c>
      <c r="EE44" s="1">
        <f t="shared" ca="1" si="130"/>
        <v>1</v>
      </c>
      <c r="EF44" s="1">
        <f t="shared" ca="1" si="131"/>
        <v>-1</v>
      </c>
      <c r="EG44" s="2">
        <f t="shared" ca="1" si="132"/>
        <v>1</v>
      </c>
      <c r="EH44" s="1">
        <f t="shared" ca="1" si="133"/>
        <v>-1</v>
      </c>
      <c r="EI44" s="3">
        <f t="shared" ca="1" si="134"/>
        <v>1</v>
      </c>
      <c r="EJ44" s="1">
        <f t="shared" ca="1" si="135"/>
        <v>0</v>
      </c>
      <c r="EK44" s="1">
        <f t="shared" ca="1" si="136"/>
        <v>0</v>
      </c>
      <c r="EL44" s="20">
        <f t="shared" ca="1" si="137"/>
        <v>-1</v>
      </c>
      <c r="EN44" s="86">
        <f ca="1">MAX(0, SUMPRODUCT($ED44:$EL44,OFFSET(DNN!$E$9:$M$9,EN$9,0)) + OFFSET(DNN!$D$9,EN$9,0))</f>
        <v>0</v>
      </c>
      <c r="EO44" s="84">
        <f ca="1">MAX(0, SUMPRODUCT($ED44:$EL44,OFFSET(DNN!$E$9:$M$9,EO$9,0)) + OFFSET(DNN!$D$9,EO$9,0))</f>
        <v>7.2346022384755949E-3</v>
      </c>
      <c r="EP44" s="84">
        <f ca="1">MAX(0, SUMPRODUCT($ED44:$EL44,OFFSET(DNN!$E$9:$M$9,EP$9,0)) + OFFSET(DNN!$D$9,EP$9,0))</f>
        <v>3.6951849750035152E-3</v>
      </c>
      <c r="EQ44" s="84">
        <f ca="1">MAX(0, SUMPRODUCT($ED44:$EL44,OFFSET(DNN!$E$9:$M$9,EQ$9,0)) + OFFSET(DNN!$D$9,EQ$9,0))</f>
        <v>0</v>
      </c>
      <c r="ER44" s="85">
        <f ca="1">MAX(0, SUMPRODUCT($ED44:$EL44,OFFSET(DNN!$E$9:$M$9,ER$9,0)) + OFFSET(DNN!$D$9,ER$9,0))</f>
        <v>0</v>
      </c>
      <c r="ET44" s="86">
        <f ca="1">MAX(0, SUMPRODUCT($EN44:$ER44,OFFSET(DNN!$Q$9:$U$9,ET$9,0)) + OFFSET(DNN!$P$9,ET$9,0))</f>
        <v>4.3954959453478351E-4</v>
      </c>
      <c r="EU44" s="84">
        <f ca="1">MAX(0, SUMPRODUCT($EN44:$ER44,OFFSET(DNN!$Q$9:$U$9,EU$9,0)) + OFFSET(DNN!$P$9,EU$9,0))</f>
        <v>0</v>
      </c>
      <c r="EV44" s="84">
        <f ca="1">MAX(0, SUMPRODUCT($EN44:$ER44,OFFSET(DNN!$Q$9:$U$9,EV$9,0)) + OFFSET(DNN!$P$9,EV$9,0))</f>
        <v>1.2810123361902579E-3</v>
      </c>
      <c r="EW44" s="84">
        <f ca="1">MAX(0, SUMPRODUCT($EN44:$ER44,OFFSET(DNN!$Q$9:$U$9,EW$9,0)) + OFFSET(DNN!$P$9,EW$9,0))</f>
        <v>7.8382123007882457E-4</v>
      </c>
      <c r="EX44" s="85">
        <f ca="1">MAX(0, SUMPRODUCT($EN44:$ER44,OFFSET(DNN!$Q$9:$U$9,EX$9,0)) + OFFSET(DNN!$P$9,EX$9,0))</f>
        <v>0</v>
      </c>
      <c r="EZ44" s="111">
        <f ca="1">SUMPRODUCT($ET44:$EX44,OFFSET(DNN!$Y$9:$AC$9,EZ$9,0)) + OFFSET(DNN!$X$9,EZ$9,0)</f>
        <v>0.43031618918982212</v>
      </c>
      <c r="FA44" s="97">
        <f ca="1">SUMPRODUCT($ET44:$EX44,OFFSET(DNN!$Y$9:$AC$9,FA$9,0)) + OFFSET(DNN!$X$9,FA$9,0)</f>
        <v>-1.2643439935754107E-5</v>
      </c>
      <c r="FB44" s="97">
        <f ca="1">SUMPRODUCT($ET44:$EX44,OFFSET(DNN!$Y$9:$AC$9,FB$9,0)) + OFFSET(DNN!$X$9,FB$9,0)</f>
        <v>1.5239793458415756E-2</v>
      </c>
      <c r="FC44" s="97">
        <f ca="1">SUMPRODUCT($ET44:$EX44,OFFSET(DNN!$Y$9:$AC$9,FC$9,0)) + OFFSET(DNN!$X$9,FC$9,0)</f>
        <v>-8.8749521084055777E-4</v>
      </c>
      <c r="FD44" s="97">
        <f ca="1">SUMPRODUCT($ET44:$EX44,OFFSET(DNN!$Y$9:$AC$9,FD$9,0)) + OFFSET(DNN!$X$9,FD$9,0)</f>
        <v>-4.235816470721872E-4</v>
      </c>
      <c r="FE44" s="97">
        <f ca="1">SUMPRODUCT($ET44:$EX44,OFFSET(DNN!$Y$9:$AC$9,FE$9,0)) + OFFSET(DNN!$X$9,FE$9,0)</f>
        <v>-1.574182761064886E-5</v>
      </c>
      <c r="FF44" s="97">
        <f ca="1">SUMPRODUCT($ET44:$EX44,OFFSET(DNN!$Y$9:$AC$9,FF$9,0)) + OFFSET(DNN!$X$9,FF$9,0)</f>
        <v>-1.3491460223194656E-3</v>
      </c>
      <c r="FG44" s="97">
        <f ca="1">SUMPRODUCT($ET44:$EX44,OFFSET(DNN!$Y$9:$AC$9,FG$9,0)) + OFFSET(DNN!$X$9,FG$9,0)</f>
        <v>-6.2604808096248285E-2</v>
      </c>
      <c r="FH44" s="97">
        <f ca="1">SUMPRODUCT($ET44:$EX44,OFFSET(DNN!$Y$9:$AC$9,FH$9,0)) + OFFSET(DNN!$X$9,FH$9,0)</f>
        <v>8.6810016937029894E-4</v>
      </c>
      <c r="FI44" s="108">
        <f ca="1">SUMPRODUCT($ET44:$EX44,OFFSET(DNN!$Y$9:$AC$9,FI$9,0)) + OFFSET(DNN!$X$9,FI$9,0)</f>
        <v>-1.3182687612562751</v>
      </c>
      <c r="FJ44" s="98">
        <f ca="1">SUMPRODUCT($ET44:$EX44,OFFSET(DNN!$Y$9:$AC$9,FJ$9,0)) + OFFSET(DNN!$X$9,FJ$9,0)</f>
        <v>-2.2535161745939301E-5</v>
      </c>
      <c r="FL44" s="415">
        <f t="shared" ca="1" si="98"/>
        <v>0.43031618918982212</v>
      </c>
      <c r="FM44" s="130">
        <f t="shared" ca="1" si="99"/>
        <v>1</v>
      </c>
      <c r="FN44" s="131">
        <f t="shared" ca="1" si="100"/>
        <v>0.65029522127322903</v>
      </c>
      <c r="FO44" s="131">
        <f t="shared" ca="1" si="101"/>
        <v>0.66028983545318687</v>
      </c>
      <c r="FP44" s="131">
        <f t="shared" ca="1" si="102"/>
        <v>0.64972655813153501</v>
      </c>
      <c r="FQ44" s="131">
        <f t="shared" ca="1" si="103"/>
        <v>0.65002804502111444</v>
      </c>
      <c r="FR44" s="131">
        <f t="shared" ca="1" si="104"/>
        <v>0.65029320640965171</v>
      </c>
      <c r="FS44" s="131">
        <f t="shared" ca="1" si="105"/>
        <v>0.64942668056342145</v>
      </c>
      <c r="FT44" s="131">
        <f t="shared" ca="1" si="106"/>
        <v>0.61083952513994022</v>
      </c>
      <c r="FU44" s="132">
        <f t="shared" ca="1" si="107"/>
        <v>0.6508682169276182</v>
      </c>
      <c r="FV44" s="131">
        <f t="shared" ca="1" si="108"/>
        <v>0.17402001625314881</v>
      </c>
      <c r="FW44" s="83">
        <f t="shared" ca="1" si="109"/>
        <v>-2.2535161742124597E-5</v>
      </c>
    </row>
    <row r="45" spans="1:179">
      <c r="A45" s="19">
        <f t="shared" si="117"/>
        <v>35</v>
      </c>
      <c r="B45" s="1">
        <f t="shared" ca="1" si="111"/>
        <v>0</v>
      </c>
      <c r="C45" s="20">
        <f t="shared" ca="1" si="112"/>
        <v>35</v>
      </c>
      <c r="D45" s="19" t="str">
        <f t="shared" ca="1" si="113"/>
        <v>〇×〇×〇×--〇</v>
      </c>
      <c r="E45" s="7">
        <f t="shared" ca="1" si="77"/>
        <v>9</v>
      </c>
      <c r="F45" s="7">
        <f t="shared" ca="1" si="78"/>
        <v>1</v>
      </c>
      <c r="G45" s="1" t="str">
        <f t="shared" ca="1" si="116"/>
        <v>〇×〇×〇×--〇</v>
      </c>
      <c r="H45" s="20" t="b">
        <f t="shared" ca="1" si="118"/>
        <v>1</v>
      </c>
      <c r="I45" s="22">
        <f t="shared" ca="1" si="114"/>
        <v>-1</v>
      </c>
      <c r="J45" s="1" t="b">
        <f ca="1">(1&lt;COUNTIF(D$10:D45,D45))</f>
        <v>1</v>
      </c>
      <c r="K45" s="1" t="b">
        <f t="shared" ca="1" si="81"/>
        <v>1</v>
      </c>
      <c r="L45" s="7">
        <f ca="1">MATCH(TRUE,K45:K$1048576,FALSE)-1</f>
        <v>0</v>
      </c>
      <c r="M45" s="24" t="str">
        <f t="shared" ca="1" si="119"/>
        <v>〇×〇×〇×--〇_9</v>
      </c>
      <c r="N45" s="25">
        <f t="shared" ca="1" si="82"/>
        <v>-2.2535161742124597E-5</v>
      </c>
      <c r="O45" s="26">
        <f t="shared" ca="1" si="83"/>
        <v>-1</v>
      </c>
      <c r="P45" s="27">
        <f t="shared" ca="1" si="84"/>
        <v>-1</v>
      </c>
      <c r="R45" s="41" t="str">
        <f ca="1">VLOOKUP(S45,cvt!$B$2:$C$4,2,FALSE)&amp;VLOOKUP(T45,cvt!$B$2:$C$4,2,FALSE)&amp;VLOOKUP(U45,cvt!$B$2:$C$4,2,FALSE)
&amp;VLOOKUP(V45,cvt!$B$2:$C$4,2,FALSE)&amp;VLOOKUP(W45,cvt!$B$2:$C$4,2,FALSE)&amp;VLOOKUP(X45,cvt!$B$2:$C$4,2,FALSE)
&amp;VLOOKUP(Y45,cvt!$B$2:$C$4,2,FALSE)&amp;VLOOKUP(Z45,cvt!$B$2:$C$4,2,FALSE)&amp;VLOOKUP(AA45,cvt!$B$2:$C$4,2,FALSE)</f>
        <v>〇×〇×〇×--〇</v>
      </c>
      <c r="S45" s="7">
        <f ca="1">VLOOKUP(MID($D45,S$9+1,1), cvt!$A$2:$B$4,2, FALSE)</f>
        <v>1</v>
      </c>
      <c r="T45" s="7">
        <f ca="1">VLOOKUP(MID($D45,T$9+1,1), cvt!$A$2:$B$4,2, FALSE)</f>
        <v>-1</v>
      </c>
      <c r="U45" s="7">
        <f ca="1">VLOOKUP(MID($D45,U$9+1,1), cvt!$A$2:$B$4,2, FALSE)</f>
        <v>1</v>
      </c>
      <c r="V45" s="17">
        <f ca="1">VLOOKUP(MID($D45,V$9+1,1), cvt!$A$2:$B$4,2, FALSE)</f>
        <v>-1</v>
      </c>
      <c r="W45" s="7">
        <f ca="1">VLOOKUP(MID($D45,W$9+1,1), cvt!$A$2:$B$4,2, FALSE)</f>
        <v>1</v>
      </c>
      <c r="X45" s="18">
        <f ca="1">VLOOKUP(MID($D45,X$9+1,1), cvt!$A$2:$B$4,2, FALSE)</f>
        <v>-1</v>
      </c>
      <c r="Y45" s="7">
        <f ca="1">VLOOKUP(MID($D45,Y$9+1,1), cvt!$A$2:$B$4,2, FALSE)</f>
        <v>0</v>
      </c>
      <c r="Z45" s="7">
        <f ca="1">VLOOKUP(MID($D45,Z$9+1,1), cvt!$A$2:$B$4,2, FALSE)</f>
        <v>0</v>
      </c>
      <c r="AA45" s="42">
        <f ca="1">VLOOKUP(MID($D45,AA$9+1,1), cvt!$A$2:$B$4,2, FALSE)</f>
        <v>1</v>
      </c>
      <c r="AB45" s="7">
        <f t="shared" ca="1" si="85"/>
        <v>1</v>
      </c>
      <c r="AC45" s="50" t="b">
        <f t="shared" ca="1" si="86"/>
        <v>1</v>
      </c>
      <c r="AE45" s="19" t="str">
        <f ca="1">VLOOKUP(AF45,cvt!$B$2:$C$4,2,FALSE)&amp;VLOOKUP(AG45,cvt!$B$2:$C$4,2,FALSE)&amp;VLOOKUP(AH45,cvt!$B$2:$C$4,2,FALSE)
&amp;VLOOKUP(AI45,cvt!$B$2:$C$4,2,FALSE)&amp;VLOOKUP(AJ45,cvt!$B$2:$C$4,2,FALSE)&amp;VLOOKUP(AK45,cvt!$B$2:$C$4,2,FALSE)
&amp;VLOOKUP(AL45,cvt!$B$2:$C$4,2,FALSE)&amp;VLOOKUP(AM45,cvt!$B$2:$C$4,2,FALSE)&amp;VLOOKUP(AN45,cvt!$B$2:$C$4,2,FALSE)</f>
        <v>〇×〇×〇×--〇</v>
      </c>
      <c r="AF45" s="17">
        <f t="shared" ca="1" si="120"/>
        <v>1</v>
      </c>
      <c r="AG45" s="7">
        <f t="shared" ca="1" si="121"/>
        <v>-1</v>
      </c>
      <c r="AH45" s="7">
        <f t="shared" ca="1" si="122"/>
        <v>1</v>
      </c>
      <c r="AI45" s="17">
        <f t="shared" ca="1" si="123"/>
        <v>-1</v>
      </c>
      <c r="AJ45" s="7">
        <f t="shared" ca="1" si="124"/>
        <v>1</v>
      </c>
      <c r="AK45" s="18">
        <f t="shared" ca="1" si="125"/>
        <v>-1</v>
      </c>
      <c r="AL45" s="7">
        <f t="shared" ca="1" si="126"/>
        <v>0</v>
      </c>
      <c r="AM45" s="7">
        <f t="shared" ca="1" si="127"/>
        <v>0</v>
      </c>
      <c r="AN45" s="18">
        <f t="shared" ca="1" si="128"/>
        <v>1</v>
      </c>
      <c r="AO45" s="7">
        <f t="shared" ca="1" si="115"/>
        <v>1</v>
      </c>
      <c r="AP45" s="50" t="b">
        <f t="shared" ca="1" si="87"/>
        <v>1</v>
      </c>
      <c r="AS45" s="22">
        <f t="shared" ca="1" si="88"/>
        <v>0</v>
      </c>
      <c r="AT45" s="7">
        <f t="shared" ca="1" si="23"/>
        <v>0</v>
      </c>
      <c r="AU45" s="7">
        <f t="shared" ca="1" si="24"/>
        <v>0</v>
      </c>
      <c r="AV45" s="7">
        <f t="shared" ca="1" si="25"/>
        <v>0</v>
      </c>
      <c r="AW45" s="7">
        <f t="shared" ca="1" si="26"/>
        <v>0</v>
      </c>
      <c r="AX45" s="7">
        <f t="shared" ca="1" si="27"/>
        <v>0</v>
      </c>
      <c r="AY45" s="7">
        <f t="shared" ca="1" si="28"/>
        <v>0</v>
      </c>
      <c r="AZ45" s="7">
        <f t="shared" ca="1" si="29"/>
        <v>0</v>
      </c>
      <c r="BA45" s="18">
        <f t="shared" ca="1" si="30"/>
        <v>0</v>
      </c>
      <c r="BB45" s="295">
        <f t="shared" ca="1" si="89"/>
        <v>1</v>
      </c>
      <c r="BD45" s="132"/>
      <c r="BE45" s="297">
        <f t="shared" ca="1" si="90"/>
        <v>1</v>
      </c>
      <c r="BF45" s="298">
        <f t="shared" ca="1" si="31"/>
        <v>0.65029522127322903</v>
      </c>
      <c r="BG45" s="298">
        <f t="shared" ca="1" si="32"/>
        <v>0.66028983545318687</v>
      </c>
      <c r="BH45" s="318">
        <f t="shared" ca="1" si="33"/>
        <v>0.64972655813153501</v>
      </c>
      <c r="BI45" s="298">
        <f t="shared" ca="1" si="34"/>
        <v>0.65002804502111444</v>
      </c>
      <c r="BJ45" s="299">
        <f t="shared" ca="1" si="35"/>
        <v>0.65029320640965171</v>
      </c>
      <c r="BK45" s="298">
        <f t="shared" ca="1" si="36"/>
        <v>0.64942668056342145</v>
      </c>
      <c r="BL45" s="298">
        <f t="shared" ca="1" si="37"/>
        <v>0.61083952513994022</v>
      </c>
      <c r="BM45" s="299">
        <f t="shared" ca="1" si="38"/>
        <v>0.6508682169276182</v>
      </c>
      <c r="BN45" s="295">
        <f t="shared" ca="1" si="39"/>
        <v>0.17402001625314881</v>
      </c>
      <c r="BO45" s="248">
        <f t="shared" ca="1" si="91"/>
        <v>-2.2535161742124597E-5</v>
      </c>
      <c r="BQ45" s="304">
        <f t="shared" ca="1" si="92"/>
        <v>0.42412001625314877</v>
      </c>
      <c r="BR45" s="297">
        <f t="shared" ca="1" si="93"/>
        <v>0</v>
      </c>
      <c r="BS45" s="298">
        <f t="shared" ca="1" si="40"/>
        <v>0</v>
      </c>
      <c r="BT45" s="298">
        <f t="shared" ca="1" si="41"/>
        <v>0</v>
      </c>
      <c r="BU45" s="318">
        <f t="shared" ca="1" si="42"/>
        <v>0</v>
      </c>
      <c r="BV45" s="298">
        <f t="shared" ca="1" si="43"/>
        <v>0</v>
      </c>
      <c r="BW45" s="299">
        <f t="shared" ca="1" si="44"/>
        <v>0</v>
      </c>
      <c r="BX45" s="298">
        <f t="shared" ca="1" si="45"/>
        <v>0</v>
      </c>
      <c r="BY45" s="298">
        <f t="shared" ca="1" si="46"/>
        <v>0</v>
      </c>
      <c r="BZ45" s="298">
        <f t="shared" ca="1" si="47"/>
        <v>0</v>
      </c>
      <c r="CA45" s="315">
        <f t="shared" ca="1" si="48"/>
        <v>0.42412001625314877</v>
      </c>
      <c r="CC45" s="52"/>
      <c r="CD45" s="306">
        <f t="shared" ca="1" si="94"/>
        <v>0</v>
      </c>
      <c r="CE45" s="15">
        <f t="shared" ca="1" si="49"/>
        <v>0</v>
      </c>
      <c r="CF45" s="15">
        <f t="shared" ca="1" si="50"/>
        <v>0</v>
      </c>
      <c r="CG45" s="286">
        <f t="shared" ca="1" si="51"/>
        <v>0</v>
      </c>
      <c r="CH45" s="15">
        <f t="shared" ca="1" si="52"/>
        <v>0</v>
      </c>
      <c r="CI45" s="288">
        <f t="shared" ca="1" si="53"/>
        <v>0</v>
      </c>
      <c r="CJ45" s="15">
        <f t="shared" ca="1" si="54"/>
        <v>0</v>
      </c>
      <c r="CK45" s="15">
        <f t="shared" ca="1" si="55"/>
        <v>0</v>
      </c>
      <c r="CL45" s="15">
        <f t="shared" ca="1" si="56"/>
        <v>0</v>
      </c>
      <c r="CM45" s="313">
        <f t="shared" ca="1" si="57"/>
        <v>1</v>
      </c>
      <c r="CO45" s="320">
        <f t="shared" ca="1" si="95"/>
        <v>34</v>
      </c>
      <c r="CP45" s="22">
        <f ca="1">COUNTIFS($C$10:$C44,"&lt;"&amp;$C45,$M$10:$M44,$D45&amp;"_"&amp;CP$9)</f>
        <v>0</v>
      </c>
      <c r="CQ45" s="7">
        <f ca="1">COUNTIFS($C$10:$C44,"&lt;"&amp;$C45,$M$10:$M44,$D45&amp;"_"&amp;CQ$9)</f>
        <v>0</v>
      </c>
      <c r="CR45" s="7">
        <f ca="1">COUNTIFS($C$10:$C44,"&lt;"&amp;$C45,$M$10:$M44,$D45&amp;"_"&amp;CR$9)</f>
        <v>0</v>
      </c>
      <c r="CS45" s="17">
        <f ca="1">COUNTIFS($C$10:$C44,"&lt;"&amp;$C45,$M$10:$M44,$D45&amp;"_"&amp;CS$9)</f>
        <v>0</v>
      </c>
      <c r="CT45" s="7">
        <f ca="1">COUNTIFS($C$10:$C44,"&lt;"&amp;$C45,$M$10:$M44,$D45&amp;"_"&amp;CT$9)</f>
        <v>0</v>
      </c>
      <c r="CU45" s="18">
        <f ca="1">COUNTIFS($C$10:$C44,"&lt;"&amp;$C45,$M$10:$M44,$D45&amp;"_"&amp;CU$9)</f>
        <v>0</v>
      </c>
      <c r="CV45" s="7">
        <f ca="1">COUNTIFS($C$10:$C44,"&lt;"&amp;$C45,$M$10:$M44,$D45&amp;"_"&amp;CV$9)</f>
        <v>0</v>
      </c>
      <c r="CW45" s="7">
        <f ca="1">COUNTIFS($C$10:$C44,"&lt;"&amp;$C45,$M$10:$M44,$D45&amp;"_"&amp;CW$9)</f>
        <v>0</v>
      </c>
      <c r="CX45" s="7">
        <f ca="1">COUNTIFS($C$10:$C44,"&lt;"&amp;$C45,$M$10:$M44,$D45&amp;"_"&amp;CX$9)</f>
        <v>0</v>
      </c>
      <c r="CY45" s="221">
        <f ca="1">COUNTIFS($C$10:$C44,"&lt;"&amp;$C45,$M$10:$M44,$D45&amp;"_"&amp;CY$9)</f>
        <v>34</v>
      </c>
      <c r="DA45" s="20"/>
      <c r="DB45" s="308">
        <f ca="1">IF(CP45=0,0,SUMIFS($P$10:$P44, $C$10:$C44,"&lt;"&amp;$C45, $M$10:$M44,$D45&amp;"_"&amp;DB$9)/CP45)</f>
        <v>0</v>
      </c>
      <c r="DC45" s="263">
        <f ca="1">IF(CQ45=0,0,SUMIFS($P$10:$P44, $C$10:$C44,"&lt;"&amp;$C45, $M$10:$M44,$D45&amp;"_"&amp;DC$9)/CQ45)</f>
        <v>0</v>
      </c>
      <c r="DD45" s="263">
        <f ca="1">IF(CR45=0,0,SUMIFS($P$10:$P44, $C$10:$C44,"&lt;"&amp;$C45, $M$10:$M44,$D45&amp;"_"&amp;DD$9)/CR45)</f>
        <v>0</v>
      </c>
      <c r="DE45" s="262">
        <f ca="1">IF(CS45=0,0,SUMIFS($P$10:$P44, $C$10:$C44,"&lt;"&amp;$C45, $M$10:$M44,$D45&amp;"_"&amp;DE$9)/CS45)</f>
        <v>0</v>
      </c>
      <c r="DF45" s="263">
        <f ca="1">IF(CT45=0,0,SUMIFS($P$10:$P44, $C$10:$C44,"&lt;"&amp;$C45, $M$10:$M44,$D45&amp;"_"&amp;DF$9)/CT45)</f>
        <v>0</v>
      </c>
      <c r="DG45" s="310">
        <f ca="1">IF(CU45=0,0,SUMIFS($P$10:$P44, $C$10:$C44,"&lt;"&amp;$C45, $M$10:$M44,$D45&amp;"_"&amp;DG$9)/CU45)</f>
        <v>0</v>
      </c>
      <c r="DH45" s="263">
        <f ca="1">IF(CV45=0,0,SUMIFS($P$10:$P44, $C$10:$C44,"&lt;"&amp;$C45, $M$10:$M44,$D45&amp;"_"&amp;DH$9)/CV45)</f>
        <v>0</v>
      </c>
      <c r="DI45" s="263">
        <f ca="1">IF(CW45=0,0,SUMIFS($P$10:$P44, $C$10:$C44,"&lt;"&amp;$C45, $M$10:$M44,$D45&amp;"_"&amp;DI$9)/CW45)</f>
        <v>0</v>
      </c>
      <c r="DJ45" s="264">
        <f ca="1">IF(CX45=0,0,SUMIFS($P$10:$P44, $C$10:$C44,"&lt;"&amp;$C45, $M$10:$M44,$D45&amp;"_"&amp;DJ$9)/CX45)</f>
        <v>0</v>
      </c>
      <c r="DK45" s="264">
        <f ca="1">IF(CY45=0,0,SUMIFS($P$10:$P44, $C$10:$C44,"&lt;"&amp;$C45, $M$10:$M44,$D45&amp;"_"&amp;DK$9)/CY45)</f>
        <v>-1</v>
      </c>
      <c r="DM45" s="104"/>
      <c r="DN45" s="306">
        <f t="shared" ca="1" si="96"/>
        <v>-9999</v>
      </c>
      <c r="DO45" s="15">
        <f t="shared" ca="1" si="58"/>
        <v>-9999</v>
      </c>
      <c r="DP45" s="15">
        <f t="shared" ca="1" si="59"/>
        <v>-9999</v>
      </c>
      <c r="DQ45" s="15">
        <f t="shared" ca="1" si="60"/>
        <v>-9999</v>
      </c>
      <c r="DR45" s="15">
        <f t="shared" ca="1" si="61"/>
        <v>-9999</v>
      </c>
      <c r="DS45" s="15">
        <f t="shared" ca="1" si="62"/>
        <v>-9999</v>
      </c>
      <c r="DT45" s="15">
        <f t="shared" ca="1" si="63"/>
        <v>-9999</v>
      </c>
      <c r="DU45" s="15">
        <f t="shared" ca="1" si="64"/>
        <v>-9999</v>
      </c>
      <c r="DV45" s="52">
        <f t="shared" ca="1" si="65"/>
        <v>-9999</v>
      </c>
      <c r="DW45" s="313">
        <f t="shared" ca="1" si="66"/>
        <v>-0.83340137443299145</v>
      </c>
      <c r="DX45" s="52"/>
      <c r="DY45" s="402">
        <f t="shared" ca="1" si="97"/>
        <v>9</v>
      </c>
      <c r="ED45" s="19">
        <f t="shared" ca="1" si="129"/>
        <v>-1</v>
      </c>
      <c r="EE45" s="1">
        <f t="shared" ca="1" si="130"/>
        <v>1</v>
      </c>
      <c r="EF45" s="1">
        <f t="shared" ca="1" si="131"/>
        <v>-1</v>
      </c>
      <c r="EG45" s="2">
        <f t="shared" ca="1" si="132"/>
        <v>1</v>
      </c>
      <c r="EH45" s="1">
        <f t="shared" ca="1" si="133"/>
        <v>-1</v>
      </c>
      <c r="EI45" s="3">
        <f t="shared" ca="1" si="134"/>
        <v>1</v>
      </c>
      <c r="EJ45" s="1">
        <f t="shared" ca="1" si="135"/>
        <v>0</v>
      </c>
      <c r="EK45" s="1">
        <f t="shared" ca="1" si="136"/>
        <v>0</v>
      </c>
      <c r="EL45" s="20">
        <f t="shared" ca="1" si="137"/>
        <v>-1</v>
      </c>
      <c r="EN45" s="86">
        <f ca="1">MAX(0, SUMPRODUCT($ED45:$EL45,OFFSET(DNN!$E$9:$M$9,EN$9,0)) + OFFSET(DNN!$D$9,EN$9,0))</f>
        <v>0</v>
      </c>
      <c r="EO45" s="84">
        <f ca="1">MAX(0, SUMPRODUCT($ED45:$EL45,OFFSET(DNN!$E$9:$M$9,EO$9,0)) + OFFSET(DNN!$D$9,EO$9,0))</f>
        <v>7.2346022384755949E-3</v>
      </c>
      <c r="EP45" s="84">
        <f ca="1">MAX(0, SUMPRODUCT($ED45:$EL45,OFFSET(DNN!$E$9:$M$9,EP$9,0)) + OFFSET(DNN!$D$9,EP$9,0))</f>
        <v>3.6951849750035152E-3</v>
      </c>
      <c r="EQ45" s="84">
        <f ca="1">MAX(0, SUMPRODUCT($ED45:$EL45,OFFSET(DNN!$E$9:$M$9,EQ$9,0)) + OFFSET(DNN!$D$9,EQ$9,0))</f>
        <v>0</v>
      </c>
      <c r="ER45" s="85">
        <f ca="1">MAX(0, SUMPRODUCT($ED45:$EL45,OFFSET(DNN!$E$9:$M$9,ER$9,0)) + OFFSET(DNN!$D$9,ER$9,0))</f>
        <v>0</v>
      </c>
      <c r="ET45" s="86">
        <f ca="1">MAX(0, SUMPRODUCT($EN45:$ER45,OFFSET(DNN!$Q$9:$U$9,ET$9,0)) + OFFSET(DNN!$P$9,ET$9,0))</f>
        <v>4.3954959453478351E-4</v>
      </c>
      <c r="EU45" s="84">
        <f ca="1">MAX(0, SUMPRODUCT($EN45:$ER45,OFFSET(DNN!$Q$9:$U$9,EU$9,0)) + OFFSET(DNN!$P$9,EU$9,0))</f>
        <v>0</v>
      </c>
      <c r="EV45" s="84">
        <f ca="1">MAX(0, SUMPRODUCT($EN45:$ER45,OFFSET(DNN!$Q$9:$U$9,EV$9,0)) + OFFSET(DNN!$P$9,EV$9,0))</f>
        <v>1.2810123361902579E-3</v>
      </c>
      <c r="EW45" s="84">
        <f ca="1">MAX(0, SUMPRODUCT($EN45:$ER45,OFFSET(DNN!$Q$9:$U$9,EW$9,0)) + OFFSET(DNN!$P$9,EW$9,0))</f>
        <v>7.8382123007882457E-4</v>
      </c>
      <c r="EX45" s="85">
        <f ca="1">MAX(0, SUMPRODUCT($EN45:$ER45,OFFSET(DNN!$Q$9:$U$9,EX$9,0)) + OFFSET(DNN!$P$9,EX$9,0))</f>
        <v>0</v>
      </c>
      <c r="EZ45" s="111">
        <f ca="1">SUMPRODUCT($ET45:$EX45,OFFSET(DNN!$Y$9:$AC$9,EZ$9,0)) + OFFSET(DNN!$X$9,EZ$9,0)</f>
        <v>0.43031618918982212</v>
      </c>
      <c r="FA45" s="97">
        <f ca="1">SUMPRODUCT($ET45:$EX45,OFFSET(DNN!$Y$9:$AC$9,FA$9,0)) + OFFSET(DNN!$X$9,FA$9,0)</f>
        <v>-1.2643439935754107E-5</v>
      </c>
      <c r="FB45" s="97">
        <f ca="1">SUMPRODUCT($ET45:$EX45,OFFSET(DNN!$Y$9:$AC$9,FB$9,0)) + OFFSET(DNN!$X$9,FB$9,0)</f>
        <v>1.5239793458415756E-2</v>
      </c>
      <c r="FC45" s="97">
        <f ca="1">SUMPRODUCT($ET45:$EX45,OFFSET(DNN!$Y$9:$AC$9,FC$9,0)) + OFFSET(DNN!$X$9,FC$9,0)</f>
        <v>-8.8749521084055777E-4</v>
      </c>
      <c r="FD45" s="97">
        <f ca="1">SUMPRODUCT($ET45:$EX45,OFFSET(DNN!$Y$9:$AC$9,FD$9,0)) + OFFSET(DNN!$X$9,FD$9,0)</f>
        <v>-4.235816470721872E-4</v>
      </c>
      <c r="FE45" s="97">
        <f ca="1">SUMPRODUCT($ET45:$EX45,OFFSET(DNN!$Y$9:$AC$9,FE$9,0)) + OFFSET(DNN!$X$9,FE$9,0)</f>
        <v>-1.574182761064886E-5</v>
      </c>
      <c r="FF45" s="97">
        <f ca="1">SUMPRODUCT($ET45:$EX45,OFFSET(DNN!$Y$9:$AC$9,FF$9,0)) + OFFSET(DNN!$X$9,FF$9,0)</f>
        <v>-1.3491460223194656E-3</v>
      </c>
      <c r="FG45" s="97">
        <f ca="1">SUMPRODUCT($ET45:$EX45,OFFSET(DNN!$Y$9:$AC$9,FG$9,0)) + OFFSET(DNN!$X$9,FG$9,0)</f>
        <v>-6.2604808096248285E-2</v>
      </c>
      <c r="FH45" s="97">
        <f ca="1">SUMPRODUCT($ET45:$EX45,OFFSET(DNN!$Y$9:$AC$9,FH$9,0)) + OFFSET(DNN!$X$9,FH$9,0)</f>
        <v>8.6810016937029894E-4</v>
      </c>
      <c r="FI45" s="108">
        <f ca="1">SUMPRODUCT($ET45:$EX45,OFFSET(DNN!$Y$9:$AC$9,FI$9,0)) + OFFSET(DNN!$X$9,FI$9,0)</f>
        <v>-1.3182687612562751</v>
      </c>
      <c r="FJ45" s="98">
        <f ca="1">SUMPRODUCT($ET45:$EX45,OFFSET(DNN!$Y$9:$AC$9,FJ$9,0)) + OFFSET(DNN!$X$9,FJ$9,0)</f>
        <v>-2.2535161745939301E-5</v>
      </c>
      <c r="FL45" s="415">
        <f t="shared" ca="1" si="98"/>
        <v>0.43031618918982212</v>
      </c>
      <c r="FM45" s="130">
        <f t="shared" ca="1" si="99"/>
        <v>1</v>
      </c>
      <c r="FN45" s="131">
        <f t="shared" ca="1" si="100"/>
        <v>0.65029522127322903</v>
      </c>
      <c r="FO45" s="131">
        <f t="shared" ca="1" si="101"/>
        <v>0.66028983545318687</v>
      </c>
      <c r="FP45" s="131">
        <f t="shared" ca="1" si="102"/>
        <v>0.64972655813153501</v>
      </c>
      <c r="FQ45" s="131">
        <f t="shared" ca="1" si="103"/>
        <v>0.65002804502111444</v>
      </c>
      <c r="FR45" s="131">
        <f t="shared" ca="1" si="104"/>
        <v>0.65029320640965171</v>
      </c>
      <c r="FS45" s="131">
        <f t="shared" ca="1" si="105"/>
        <v>0.64942668056342145</v>
      </c>
      <c r="FT45" s="131">
        <f t="shared" ca="1" si="106"/>
        <v>0.61083952513994022</v>
      </c>
      <c r="FU45" s="132">
        <f t="shared" ca="1" si="107"/>
        <v>0.6508682169276182</v>
      </c>
      <c r="FV45" s="131">
        <f t="shared" ca="1" si="108"/>
        <v>0.17402001625314881</v>
      </c>
      <c r="FW45" s="83">
        <f t="shared" ca="1" si="109"/>
        <v>-2.2535161742124597E-5</v>
      </c>
    </row>
    <row r="46" spans="1:179">
      <c r="A46" s="19">
        <f t="shared" si="117"/>
        <v>36</v>
      </c>
      <c r="B46" s="1">
        <f t="shared" ca="1" si="111"/>
        <v>0</v>
      </c>
      <c r="C46" s="20">
        <f t="shared" ca="1" si="112"/>
        <v>36</v>
      </c>
      <c r="D46" s="19" t="str">
        <f t="shared" ca="1" si="113"/>
        <v>〇×〇×〇×--〇</v>
      </c>
      <c r="E46" s="7">
        <f t="shared" ca="1" si="77"/>
        <v>9</v>
      </c>
      <c r="F46" s="7">
        <f t="shared" ca="1" si="78"/>
        <v>1</v>
      </c>
      <c r="G46" s="1" t="str">
        <f t="shared" ca="1" si="116"/>
        <v>〇×〇×〇×--〇</v>
      </c>
      <c r="H46" s="20" t="b">
        <f t="shared" ca="1" si="118"/>
        <v>1</v>
      </c>
      <c r="I46" s="22">
        <f t="shared" ca="1" si="114"/>
        <v>-1</v>
      </c>
      <c r="J46" s="1" t="b">
        <f ca="1">(1&lt;COUNTIF(D$10:D46,D46))</f>
        <v>1</v>
      </c>
      <c r="K46" s="1" t="b">
        <f t="shared" ca="1" si="81"/>
        <v>1</v>
      </c>
      <c r="L46" s="7">
        <f ca="1">MATCH(TRUE,K46:K$1048576,FALSE)-1</f>
        <v>0</v>
      </c>
      <c r="M46" s="24" t="str">
        <f t="shared" ca="1" si="119"/>
        <v>〇×〇×〇×--〇_9</v>
      </c>
      <c r="N46" s="25">
        <f t="shared" ca="1" si="82"/>
        <v>-2.2535161742124597E-5</v>
      </c>
      <c r="O46" s="26">
        <f t="shared" ca="1" si="83"/>
        <v>-1</v>
      </c>
      <c r="P46" s="27">
        <f t="shared" ca="1" si="84"/>
        <v>-1</v>
      </c>
      <c r="R46" s="41" t="str">
        <f ca="1">VLOOKUP(S46,cvt!$B$2:$C$4,2,FALSE)&amp;VLOOKUP(T46,cvt!$B$2:$C$4,2,FALSE)&amp;VLOOKUP(U46,cvt!$B$2:$C$4,2,FALSE)
&amp;VLOOKUP(V46,cvt!$B$2:$C$4,2,FALSE)&amp;VLOOKUP(W46,cvt!$B$2:$C$4,2,FALSE)&amp;VLOOKUP(X46,cvt!$B$2:$C$4,2,FALSE)
&amp;VLOOKUP(Y46,cvt!$B$2:$C$4,2,FALSE)&amp;VLOOKUP(Z46,cvt!$B$2:$C$4,2,FALSE)&amp;VLOOKUP(AA46,cvt!$B$2:$C$4,2,FALSE)</f>
        <v>〇×〇×〇×--〇</v>
      </c>
      <c r="S46" s="7">
        <f ca="1">VLOOKUP(MID($D46,S$9+1,1), cvt!$A$2:$B$4,2, FALSE)</f>
        <v>1</v>
      </c>
      <c r="T46" s="7">
        <f ca="1">VLOOKUP(MID($D46,T$9+1,1), cvt!$A$2:$B$4,2, FALSE)</f>
        <v>-1</v>
      </c>
      <c r="U46" s="7">
        <f ca="1">VLOOKUP(MID($D46,U$9+1,1), cvt!$A$2:$B$4,2, FALSE)</f>
        <v>1</v>
      </c>
      <c r="V46" s="17">
        <f ca="1">VLOOKUP(MID($D46,V$9+1,1), cvt!$A$2:$B$4,2, FALSE)</f>
        <v>-1</v>
      </c>
      <c r="W46" s="7">
        <f ca="1">VLOOKUP(MID($D46,W$9+1,1), cvt!$A$2:$B$4,2, FALSE)</f>
        <v>1</v>
      </c>
      <c r="X46" s="18">
        <f ca="1">VLOOKUP(MID($D46,X$9+1,1), cvt!$A$2:$B$4,2, FALSE)</f>
        <v>-1</v>
      </c>
      <c r="Y46" s="7">
        <f ca="1">VLOOKUP(MID($D46,Y$9+1,1), cvt!$A$2:$B$4,2, FALSE)</f>
        <v>0</v>
      </c>
      <c r="Z46" s="7">
        <f ca="1">VLOOKUP(MID($D46,Z$9+1,1), cvt!$A$2:$B$4,2, FALSE)</f>
        <v>0</v>
      </c>
      <c r="AA46" s="42">
        <f ca="1">VLOOKUP(MID($D46,AA$9+1,1), cvt!$A$2:$B$4,2, FALSE)</f>
        <v>1</v>
      </c>
      <c r="AB46" s="7">
        <f t="shared" ca="1" si="85"/>
        <v>1</v>
      </c>
      <c r="AC46" s="50" t="b">
        <f t="shared" ca="1" si="86"/>
        <v>1</v>
      </c>
      <c r="AE46" s="19" t="str">
        <f ca="1">VLOOKUP(AF46,cvt!$B$2:$C$4,2,FALSE)&amp;VLOOKUP(AG46,cvt!$B$2:$C$4,2,FALSE)&amp;VLOOKUP(AH46,cvt!$B$2:$C$4,2,FALSE)
&amp;VLOOKUP(AI46,cvt!$B$2:$C$4,2,FALSE)&amp;VLOOKUP(AJ46,cvt!$B$2:$C$4,2,FALSE)&amp;VLOOKUP(AK46,cvt!$B$2:$C$4,2,FALSE)
&amp;VLOOKUP(AL46,cvt!$B$2:$C$4,2,FALSE)&amp;VLOOKUP(AM46,cvt!$B$2:$C$4,2,FALSE)&amp;VLOOKUP(AN46,cvt!$B$2:$C$4,2,FALSE)</f>
        <v>〇×〇×〇×--〇</v>
      </c>
      <c r="AF46" s="17">
        <f t="shared" ca="1" si="120"/>
        <v>1</v>
      </c>
      <c r="AG46" s="7">
        <f t="shared" ca="1" si="121"/>
        <v>-1</v>
      </c>
      <c r="AH46" s="7">
        <f t="shared" ca="1" si="122"/>
        <v>1</v>
      </c>
      <c r="AI46" s="17">
        <f t="shared" ca="1" si="123"/>
        <v>-1</v>
      </c>
      <c r="AJ46" s="7">
        <f t="shared" ca="1" si="124"/>
        <v>1</v>
      </c>
      <c r="AK46" s="18">
        <f t="shared" ca="1" si="125"/>
        <v>-1</v>
      </c>
      <c r="AL46" s="7">
        <f t="shared" ca="1" si="126"/>
        <v>0</v>
      </c>
      <c r="AM46" s="7">
        <f t="shared" ca="1" si="127"/>
        <v>0</v>
      </c>
      <c r="AN46" s="18">
        <f t="shared" ca="1" si="128"/>
        <v>1</v>
      </c>
      <c r="AO46" s="7">
        <f t="shared" ca="1" si="115"/>
        <v>1</v>
      </c>
      <c r="AP46" s="50" t="b">
        <f t="shared" ca="1" si="87"/>
        <v>1</v>
      </c>
      <c r="AS46" s="22">
        <f t="shared" ca="1" si="88"/>
        <v>0</v>
      </c>
      <c r="AT46" s="7">
        <f t="shared" ca="1" si="23"/>
        <v>0</v>
      </c>
      <c r="AU46" s="7">
        <f t="shared" ca="1" si="24"/>
        <v>0</v>
      </c>
      <c r="AV46" s="7">
        <f t="shared" ca="1" si="25"/>
        <v>0</v>
      </c>
      <c r="AW46" s="7">
        <f t="shared" ca="1" si="26"/>
        <v>0</v>
      </c>
      <c r="AX46" s="7">
        <f t="shared" ca="1" si="27"/>
        <v>0</v>
      </c>
      <c r="AY46" s="7">
        <f t="shared" ca="1" si="28"/>
        <v>0</v>
      </c>
      <c r="AZ46" s="7">
        <f t="shared" ca="1" si="29"/>
        <v>0</v>
      </c>
      <c r="BA46" s="18">
        <f t="shared" ca="1" si="30"/>
        <v>0</v>
      </c>
      <c r="BB46" s="295">
        <f t="shared" ca="1" si="89"/>
        <v>1</v>
      </c>
      <c r="BD46" s="132"/>
      <c r="BE46" s="297">
        <f t="shared" ca="1" si="90"/>
        <v>1</v>
      </c>
      <c r="BF46" s="298">
        <f t="shared" ca="1" si="31"/>
        <v>0.65029522127322903</v>
      </c>
      <c r="BG46" s="298">
        <f t="shared" ca="1" si="32"/>
        <v>0.66028983545318687</v>
      </c>
      <c r="BH46" s="318">
        <f t="shared" ca="1" si="33"/>
        <v>0.64972655813153501</v>
      </c>
      <c r="BI46" s="298">
        <f t="shared" ca="1" si="34"/>
        <v>0.65002804502111444</v>
      </c>
      <c r="BJ46" s="299">
        <f t="shared" ca="1" si="35"/>
        <v>0.65029320640965171</v>
      </c>
      <c r="BK46" s="298">
        <f t="shared" ca="1" si="36"/>
        <v>0.64942668056342145</v>
      </c>
      <c r="BL46" s="298">
        <f t="shared" ca="1" si="37"/>
        <v>0.61083952513994022</v>
      </c>
      <c r="BM46" s="299">
        <f t="shared" ca="1" si="38"/>
        <v>0.6508682169276182</v>
      </c>
      <c r="BN46" s="295">
        <f t="shared" ca="1" si="39"/>
        <v>0.17402001625314881</v>
      </c>
      <c r="BO46" s="248">
        <f t="shared" ca="1" si="91"/>
        <v>-2.2535161742124597E-5</v>
      </c>
      <c r="BQ46" s="304">
        <f t="shared" ca="1" si="92"/>
        <v>0.1741200162531488</v>
      </c>
      <c r="BR46" s="297">
        <f t="shared" ca="1" si="93"/>
        <v>0</v>
      </c>
      <c r="BS46" s="298">
        <f t="shared" ca="1" si="40"/>
        <v>0</v>
      </c>
      <c r="BT46" s="298">
        <f t="shared" ca="1" si="41"/>
        <v>0</v>
      </c>
      <c r="BU46" s="318">
        <f t="shared" ca="1" si="42"/>
        <v>0</v>
      </c>
      <c r="BV46" s="298">
        <f t="shared" ca="1" si="43"/>
        <v>0</v>
      </c>
      <c r="BW46" s="299">
        <f t="shared" ca="1" si="44"/>
        <v>0</v>
      </c>
      <c r="BX46" s="298">
        <f t="shared" ca="1" si="45"/>
        <v>0</v>
      </c>
      <c r="BY46" s="298">
        <f t="shared" ca="1" si="46"/>
        <v>0</v>
      </c>
      <c r="BZ46" s="298">
        <f t="shared" ca="1" si="47"/>
        <v>0</v>
      </c>
      <c r="CA46" s="315">
        <f t="shared" ca="1" si="48"/>
        <v>0.1741200162531488</v>
      </c>
      <c r="CC46" s="52"/>
      <c r="CD46" s="306">
        <f t="shared" ca="1" si="94"/>
        <v>0</v>
      </c>
      <c r="CE46" s="15">
        <f t="shared" ca="1" si="49"/>
        <v>0</v>
      </c>
      <c r="CF46" s="15">
        <f t="shared" ca="1" si="50"/>
        <v>0</v>
      </c>
      <c r="CG46" s="286">
        <f t="shared" ca="1" si="51"/>
        <v>0</v>
      </c>
      <c r="CH46" s="15">
        <f t="shared" ca="1" si="52"/>
        <v>0</v>
      </c>
      <c r="CI46" s="288">
        <f t="shared" ca="1" si="53"/>
        <v>0</v>
      </c>
      <c r="CJ46" s="15">
        <f t="shared" ca="1" si="54"/>
        <v>0</v>
      </c>
      <c r="CK46" s="15">
        <f t="shared" ca="1" si="55"/>
        <v>0</v>
      </c>
      <c r="CL46" s="15">
        <f t="shared" ca="1" si="56"/>
        <v>0</v>
      </c>
      <c r="CM46" s="313">
        <f t="shared" ca="1" si="57"/>
        <v>1</v>
      </c>
      <c r="CO46" s="320">
        <f t="shared" ca="1" si="95"/>
        <v>35</v>
      </c>
      <c r="CP46" s="22">
        <f ca="1">COUNTIFS($C$10:$C45,"&lt;"&amp;$C46,$M$10:$M45,$D46&amp;"_"&amp;CP$9)</f>
        <v>0</v>
      </c>
      <c r="CQ46" s="7">
        <f ca="1">COUNTIFS($C$10:$C45,"&lt;"&amp;$C46,$M$10:$M45,$D46&amp;"_"&amp;CQ$9)</f>
        <v>0</v>
      </c>
      <c r="CR46" s="7">
        <f ca="1">COUNTIFS($C$10:$C45,"&lt;"&amp;$C46,$M$10:$M45,$D46&amp;"_"&amp;CR$9)</f>
        <v>0</v>
      </c>
      <c r="CS46" s="17">
        <f ca="1">COUNTIFS($C$10:$C45,"&lt;"&amp;$C46,$M$10:$M45,$D46&amp;"_"&amp;CS$9)</f>
        <v>0</v>
      </c>
      <c r="CT46" s="7">
        <f ca="1">COUNTIFS($C$10:$C45,"&lt;"&amp;$C46,$M$10:$M45,$D46&amp;"_"&amp;CT$9)</f>
        <v>0</v>
      </c>
      <c r="CU46" s="18">
        <f ca="1">COUNTIFS($C$10:$C45,"&lt;"&amp;$C46,$M$10:$M45,$D46&amp;"_"&amp;CU$9)</f>
        <v>0</v>
      </c>
      <c r="CV46" s="7">
        <f ca="1">COUNTIFS($C$10:$C45,"&lt;"&amp;$C46,$M$10:$M45,$D46&amp;"_"&amp;CV$9)</f>
        <v>0</v>
      </c>
      <c r="CW46" s="7">
        <f ca="1">COUNTIFS($C$10:$C45,"&lt;"&amp;$C46,$M$10:$M45,$D46&amp;"_"&amp;CW$9)</f>
        <v>0</v>
      </c>
      <c r="CX46" s="7">
        <f ca="1">COUNTIFS($C$10:$C45,"&lt;"&amp;$C46,$M$10:$M45,$D46&amp;"_"&amp;CX$9)</f>
        <v>0</v>
      </c>
      <c r="CY46" s="221">
        <f ca="1">COUNTIFS($C$10:$C45,"&lt;"&amp;$C46,$M$10:$M45,$D46&amp;"_"&amp;CY$9)</f>
        <v>35</v>
      </c>
      <c r="DA46" s="20"/>
      <c r="DB46" s="308">
        <f ca="1">IF(CP46=0,0,SUMIFS($P$10:$P45, $C$10:$C45,"&lt;"&amp;$C46, $M$10:$M45,$D46&amp;"_"&amp;DB$9)/CP46)</f>
        <v>0</v>
      </c>
      <c r="DC46" s="263">
        <f ca="1">IF(CQ46=0,0,SUMIFS($P$10:$P45, $C$10:$C45,"&lt;"&amp;$C46, $M$10:$M45,$D46&amp;"_"&amp;DC$9)/CQ46)</f>
        <v>0</v>
      </c>
      <c r="DD46" s="263">
        <f ca="1">IF(CR46=0,0,SUMIFS($P$10:$P45, $C$10:$C45,"&lt;"&amp;$C46, $M$10:$M45,$D46&amp;"_"&amp;DD$9)/CR46)</f>
        <v>0</v>
      </c>
      <c r="DE46" s="262">
        <f ca="1">IF(CS46=0,0,SUMIFS($P$10:$P45, $C$10:$C45,"&lt;"&amp;$C46, $M$10:$M45,$D46&amp;"_"&amp;DE$9)/CS46)</f>
        <v>0</v>
      </c>
      <c r="DF46" s="263">
        <f ca="1">IF(CT46=0,0,SUMIFS($P$10:$P45, $C$10:$C45,"&lt;"&amp;$C46, $M$10:$M45,$D46&amp;"_"&amp;DF$9)/CT46)</f>
        <v>0</v>
      </c>
      <c r="DG46" s="310">
        <f ca="1">IF(CU46=0,0,SUMIFS($P$10:$P45, $C$10:$C45,"&lt;"&amp;$C46, $M$10:$M45,$D46&amp;"_"&amp;DG$9)/CU46)</f>
        <v>0</v>
      </c>
      <c r="DH46" s="263">
        <f ca="1">IF(CV46=0,0,SUMIFS($P$10:$P45, $C$10:$C45,"&lt;"&amp;$C46, $M$10:$M45,$D46&amp;"_"&amp;DH$9)/CV46)</f>
        <v>0</v>
      </c>
      <c r="DI46" s="263">
        <f ca="1">IF(CW46=0,0,SUMIFS($P$10:$P45, $C$10:$C45,"&lt;"&amp;$C46, $M$10:$M45,$D46&amp;"_"&amp;DI$9)/CW46)</f>
        <v>0</v>
      </c>
      <c r="DJ46" s="264">
        <f ca="1">IF(CX46=0,0,SUMIFS($P$10:$P45, $C$10:$C45,"&lt;"&amp;$C46, $M$10:$M45,$D46&amp;"_"&amp;DJ$9)/CX46)</f>
        <v>0</v>
      </c>
      <c r="DK46" s="264">
        <f ca="1">IF(CY46=0,0,SUMIFS($P$10:$P45, $C$10:$C45,"&lt;"&amp;$C46, $M$10:$M45,$D46&amp;"_"&amp;DK$9)/CY46)</f>
        <v>-1</v>
      </c>
      <c r="DM46" s="104"/>
      <c r="DN46" s="306">
        <f t="shared" ca="1" si="96"/>
        <v>-9999</v>
      </c>
      <c r="DO46" s="15">
        <f t="shared" ca="1" si="58"/>
        <v>-9999</v>
      </c>
      <c r="DP46" s="15">
        <f t="shared" ca="1" si="59"/>
        <v>-9999</v>
      </c>
      <c r="DQ46" s="15">
        <f t="shared" ca="1" si="60"/>
        <v>-9999</v>
      </c>
      <c r="DR46" s="15">
        <f t="shared" ca="1" si="61"/>
        <v>-9999</v>
      </c>
      <c r="DS46" s="15">
        <f t="shared" ca="1" si="62"/>
        <v>-9999</v>
      </c>
      <c r="DT46" s="15">
        <f t="shared" ca="1" si="63"/>
        <v>-9999</v>
      </c>
      <c r="DU46" s="15">
        <f t="shared" ca="1" si="64"/>
        <v>-9999</v>
      </c>
      <c r="DV46" s="52">
        <f t="shared" ca="1" si="65"/>
        <v>-9999</v>
      </c>
      <c r="DW46" s="313">
        <f t="shared" ca="1" si="66"/>
        <v>-0.83566445046945514</v>
      </c>
      <c r="DX46" s="52"/>
      <c r="DY46" s="402">
        <f t="shared" ca="1" si="97"/>
        <v>9</v>
      </c>
      <c r="ED46" s="19">
        <f t="shared" ca="1" si="129"/>
        <v>-1</v>
      </c>
      <c r="EE46" s="1">
        <f t="shared" ca="1" si="130"/>
        <v>1</v>
      </c>
      <c r="EF46" s="1">
        <f t="shared" ca="1" si="131"/>
        <v>-1</v>
      </c>
      <c r="EG46" s="2">
        <f t="shared" ca="1" si="132"/>
        <v>1</v>
      </c>
      <c r="EH46" s="1">
        <f t="shared" ca="1" si="133"/>
        <v>-1</v>
      </c>
      <c r="EI46" s="3">
        <f t="shared" ca="1" si="134"/>
        <v>1</v>
      </c>
      <c r="EJ46" s="1">
        <f t="shared" ca="1" si="135"/>
        <v>0</v>
      </c>
      <c r="EK46" s="1">
        <f t="shared" ca="1" si="136"/>
        <v>0</v>
      </c>
      <c r="EL46" s="20">
        <f t="shared" ca="1" si="137"/>
        <v>-1</v>
      </c>
      <c r="EN46" s="86">
        <f ca="1">MAX(0, SUMPRODUCT($ED46:$EL46,OFFSET(DNN!$E$9:$M$9,EN$9,0)) + OFFSET(DNN!$D$9,EN$9,0))</f>
        <v>0</v>
      </c>
      <c r="EO46" s="84">
        <f ca="1">MAX(0, SUMPRODUCT($ED46:$EL46,OFFSET(DNN!$E$9:$M$9,EO$9,0)) + OFFSET(DNN!$D$9,EO$9,0))</f>
        <v>7.2346022384755949E-3</v>
      </c>
      <c r="EP46" s="84">
        <f ca="1">MAX(0, SUMPRODUCT($ED46:$EL46,OFFSET(DNN!$E$9:$M$9,EP$9,0)) + OFFSET(DNN!$D$9,EP$9,0))</f>
        <v>3.6951849750035152E-3</v>
      </c>
      <c r="EQ46" s="84">
        <f ca="1">MAX(0, SUMPRODUCT($ED46:$EL46,OFFSET(DNN!$E$9:$M$9,EQ$9,0)) + OFFSET(DNN!$D$9,EQ$9,0))</f>
        <v>0</v>
      </c>
      <c r="ER46" s="85">
        <f ca="1">MAX(0, SUMPRODUCT($ED46:$EL46,OFFSET(DNN!$E$9:$M$9,ER$9,0)) + OFFSET(DNN!$D$9,ER$9,0))</f>
        <v>0</v>
      </c>
      <c r="ET46" s="86">
        <f ca="1">MAX(0, SUMPRODUCT($EN46:$ER46,OFFSET(DNN!$Q$9:$U$9,ET$9,0)) + OFFSET(DNN!$P$9,ET$9,0))</f>
        <v>4.3954959453478351E-4</v>
      </c>
      <c r="EU46" s="84">
        <f ca="1">MAX(0, SUMPRODUCT($EN46:$ER46,OFFSET(DNN!$Q$9:$U$9,EU$9,0)) + OFFSET(DNN!$P$9,EU$9,0))</f>
        <v>0</v>
      </c>
      <c r="EV46" s="84">
        <f ca="1">MAX(0, SUMPRODUCT($EN46:$ER46,OFFSET(DNN!$Q$9:$U$9,EV$9,0)) + OFFSET(DNN!$P$9,EV$9,0))</f>
        <v>1.2810123361902579E-3</v>
      </c>
      <c r="EW46" s="84">
        <f ca="1">MAX(0, SUMPRODUCT($EN46:$ER46,OFFSET(DNN!$Q$9:$U$9,EW$9,0)) + OFFSET(DNN!$P$9,EW$9,0))</f>
        <v>7.8382123007882457E-4</v>
      </c>
      <c r="EX46" s="85">
        <f ca="1">MAX(0, SUMPRODUCT($EN46:$ER46,OFFSET(DNN!$Q$9:$U$9,EX$9,0)) + OFFSET(DNN!$P$9,EX$9,0))</f>
        <v>0</v>
      </c>
      <c r="EZ46" s="111">
        <f ca="1">SUMPRODUCT($ET46:$EX46,OFFSET(DNN!$Y$9:$AC$9,EZ$9,0)) + OFFSET(DNN!$X$9,EZ$9,0)</f>
        <v>0.43031618918982212</v>
      </c>
      <c r="FA46" s="97">
        <f ca="1">SUMPRODUCT($ET46:$EX46,OFFSET(DNN!$Y$9:$AC$9,FA$9,0)) + OFFSET(DNN!$X$9,FA$9,0)</f>
        <v>-1.2643439935754107E-5</v>
      </c>
      <c r="FB46" s="97">
        <f ca="1">SUMPRODUCT($ET46:$EX46,OFFSET(DNN!$Y$9:$AC$9,FB$9,0)) + OFFSET(DNN!$X$9,FB$9,0)</f>
        <v>1.5239793458415756E-2</v>
      </c>
      <c r="FC46" s="97">
        <f ca="1">SUMPRODUCT($ET46:$EX46,OFFSET(DNN!$Y$9:$AC$9,FC$9,0)) + OFFSET(DNN!$X$9,FC$9,0)</f>
        <v>-8.8749521084055777E-4</v>
      </c>
      <c r="FD46" s="97">
        <f ca="1">SUMPRODUCT($ET46:$EX46,OFFSET(DNN!$Y$9:$AC$9,FD$9,0)) + OFFSET(DNN!$X$9,FD$9,0)</f>
        <v>-4.235816470721872E-4</v>
      </c>
      <c r="FE46" s="97">
        <f ca="1">SUMPRODUCT($ET46:$EX46,OFFSET(DNN!$Y$9:$AC$9,FE$9,0)) + OFFSET(DNN!$X$9,FE$9,0)</f>
        <v>-1.574182761064886E-5</v>
      </c>
      <c r="FF46" s="97">
        <f ca="1">SUMPRODUCT($ET46:$EX46,OFFSET(DNN!$Y$9:$AC$9,FF$9,0)) + OFFSET(DNN!$X$9,FF$9,0)</f>
        <v>-1.3491460223194656E-3</v>
      </c>
      <c r="FG46" s="97">
        <f ca="1">SUMPRODUCT($ET46:$EX46,OFFSET(DNN!$Y$9:$AC$9,FG$9,0)) + OFFSET(DNN!$X$9,FG$9,0)</f>
        <v>-6.2604808096248285E-2</v>
      </c>
      <c r="FH46" s="97">
        <f ca="1">SUMPRODUCT($ET46:$EX46,OFFSET(DNN!$Y$9:$AC$9,FH$9,0)) + OFFSET(DNN!$X$9,FH$9,0)</f>
        <v>8.6810016937029894E-4</v>
      </c>
      <c r="FI46" s="108">
        <f ca="1">SUMPRODUCT($ET46:$EX46,OFFSET(DNN!$Y$9:$AC$9,FI$9,0)) + OFFSET(DNN!$X$9,FI$9,0)</f>
        <v>-1.3182687612562751</v>
      </c>
      <c r="FJ46" s="98">
        <f ca="1">SUMPRODUCT($ET46:$EX46,OFFSET(DNN!$Y$9:$AC$9,FJ$9,0)) + OFFSET(DNN!$X$9,FJ$9,0)</f>
        <v>-2.2535161745939301E-5</v>
      </c>
      <c r="FL46" s="415">
        <f t="shared" ca="1" si="98"/>
        <v>0.43031618918982212</v>
      </c>
      <c r="FM46" s="130">
        <f t="shared" ca="1" si="99"/>
        <v>1</v>
      </c>
      <c r="FN46" s="131">
        <f t="shared" ca="1" si="100"/>
        <v>0.65029522127322903</v>
      </c>
      <c r="FO46" s="131">
        <f t="shared" ca="1" si="101"/>
        <v>0.66028983545318687</v>
      </c>
      <c r="FP46" s="131">
        <f t="shared" ca="1" si="102"/>
        <v>0.64972655813153501</v>
      </c>
      <c r="FQ46" s="131">
        <f t="shared" ca="1" si="103"/>
        <v>0.65002804502111444</v>
      </c>
      <c r="FR46" s="131">
        <f t="shared" ca="1" si="104"/>
        <v>0.65029320640965171</v>
      </c>
      <c r="FS46" s="131">
        <f t="shared" ca="1" si="105"/>
        <v>0.64942668056342145</v>
      </c>
      <c r="FT46" s="131">
        <f t="shared" ca="1" si="106"/>
        <v>0.61083952513994022</v>
      </c>
      <c r="FU46" s="132">
        <f t="shared" ca="1" si="107"/>
        <v>0.6508682169276182</v>
      </c>
      <c r="FV46" s="131">
        <f t="shared" ca="1" si="108"/>
        <v>0.17402001625314881</v>
      </c>
      <c r="FW46" s="83">
        <f t="shared" ca="1" si="109"/>
        <v>-2.2535161742124597E-5</v>
      </c>
    </row>
    <row r="47" spans="1:179">
      <c r="A47" s="19">
        <f t="shared" si="117"/>
        <v>37</v>
      </c>
      <c r="B47" s="1">
        <f t="shared" ca="1" si="111"/>
        <v>0</v>
      </c>
      <c r="C47" s="20">
        <f t="shared" ca="1" si="112"/>
        <v>37</v>
      </c>
      <c r="D47" s="19" t="str">
        <f t="shared" ca="1" si="113"/>
        <v>〇×〇×〇×--〇</v>
      </c>
      <c r="E47" s="7">
        <f t="shared" ca="1" si="77"/>
        <v>9</v>
      </c>
      <c r="F47" s="7">
        <f t="shared" ca="1" si="78"/>
        <v>1</v>
      </c>
      <c r="G47" s="1" t="str">
        <f t="shared" ref="G47:G63" ca="1" si="138">AE47</f>
        <v>〇×〇×〇×--〇</v>
      </c>
      <c r="H47" s="20" t="b">
        <f t="shared" ca="1" si="118"/>
        <v>1</v>
      </c>
      <c r="I47" s="22">
        <f t="shared" ca="1" si="114"/>
        <v>-1</v>
      </c>
      <c r="J47" s="1" t="b">
        <f ca="1">(1&lt;COUNTIF(D$10:D47,D47))</f>
        <v>1</v>
      </c>
      <c r="K47" s="1" t="b">
        <f t="shared" ca="1" si="81"/>
        <v>1</v>
      </c>
      <c r="L47" s="7">
        <f ca="1">MATCH(TRUE,K47:K$1048576,FALSE)-1</f>
        <v>0</v>
      </c>
      <c r="M47" s="24" t="str">
        <f t="shared" ca="1" si="119"/>
        <v>〇×〇×〇×--〇_9</v>
      </c>
      <c r="N47" s="25">
        <f t="shared" ca="1" si="82"/>
        <v>-2.2535161742124597E-5</v>
      </c>
      <c r="O47" s="26">
        <f t="shared" ca="1" si="83"/>
        <v>-1</v>
      </c>
      <c r="P47" s="27">
        <f t="shared" ca="1" si="84"/>
        <v>-1</v>
      </c>
      <c r="R47" s="41" t="str">
        <f ca="1">VLOOKUP(S47,cvt!$B$2:$C$4,2,FALSE)&amp;VLOOKUP(T47,cvt!$B$2:$C$4,2,FALSE)&amp;VLOOKUP(U47,cvt!$B$2:$C$4,2,FALSE)
&amp;VLOOKUP(V47,cvt!$B$2:$C$4,2,FALSE)&amp;VLOOKUP(W47,cvt!$B$2:$C$4,2,FALSE)&amp;VLOOKUP(X47,cvt!$B$2:$C$4,2,FALSE)
&amp;VLOOKUP(Y47,cvt!$B$2:$C$4,2,FALSE)&amp;VLOOKUP(Z47,cvt!$B$2:$C$4,2,FALSE)&amp;VLOOKUP(AA47,cvt!$B$2:$C$4,2,FALSE)</f>
        <v>〇×〇×〇×--〇</v>
      </c>
      <c r="S47" s="7">
        <f ca="1">VLOOKUP(MID($D47,S$9+1,1), cvt!$A$2:$B$4,2, FALSE)</f>
        <v>1</v>
      </c>
      <c r="T47" s="7">
        <f ca="1">VLOOKUP(MID($D47,T$9+1,1), cvt!$A$2:$B$4,2, FALSE)</f>
        <v>-1</v>
      </c>
      <c r="U47" s="7">
        <f ca="1">VLOOKUP(MID($D47,U$9+1,1), cvt!$A$2:$B$4,2, FALSE)</f>
        <v>1</v>
      </c>
      <c r="V47" s="17">
        <f ca="1">VLOOKUP(MID($D47,V$9+1,1), cvt!$A$2:$B$4,2, FALSE)</f>
        <v>-1</v>
      </c>
      <c r="W47" s="7">
        <f ca="1">VLOOKUP(MID($D47,W$9+1,1), cvt!$A$2:$B$4,2, FALSE)</f>
        <v>1</v>
      </c>
      <c r="X47" s="18">
        <f ca="1">VLOOKUP(MID($D47,X$9+1,1), cvt!$A$2:$B$4,2, FALSE)</f>
        <v>-1</v>
      </c>
      <c r="Y47" s="7">
        <f ca="1">VLOOKUP(MID($D47,Y$9+1,1), cvt!$A$2:$B$4,2, FALSE)</f>
        <v>0</v>
      </c>
      <c r="Z47" s="7">
        <f ca="1">VLOOKUP(MID($D47,Z$9+1,1), cvt!$A$2:$B$4,2, FALSE)</f>
        <v>0</v>
      </c>
      <c r="AA47" s="42">
        <f ca="1">VLOOKUP(MID($D47,AA$9+1,1), cvt!$A$2:$B$4,2, FALSE)</f>
        <v>1</v>
      </c>
      <c r="AB47" s="7">
        <f t="shared" ca="1" si="85"/>
        <v>1</v>
      </c>
      <c r="AC47" s="50" t="b">
        <f t="shared" ca="1" si="86"/>
        <v>1</v>
      </c>
      <c r="AE47" s="19" t="str">
        <f ca="1">VLOOKUP(AF47,cvt!$B$2:$C$4,2,FALSE)&amp;VLOOKUP(AG47,cvt!$B$2:$C$4,2,FALSE)&amp;VLOOKUP(AH47,cvt!$B$2:$C$4,2,FALSE)
&amp;VLOOKUP(AI47,cvt!$B$2:$C$4,2,FALSE)&amp;VLOOKUP(AJ47,cvt!$B$2:$C$4,2,FALSE)&amp;VLOOKUP(AK47,cvt!$B$2:$C$4,2,FALSE)
&amp;VLOOKUP(AL47,cvt!$B$2:$C$4,2,FALSE)&amp;VLOOKUP(AM47,cvt!$B$2:$C$4,2,FALSE)&amp;VLOOKUP(AN47,cvt!$B$2:$C$4,2,FALSE)</f>
        <v>〇×〇×〇×--〇</v>
      </c>
      <c r="AF47" s="17">
        <f t="shared" ca="1" si="120"/>
        <v>1</v>
      </c>
      <c r="AG47" s="7">
        <f t="shared" ca="1" si="121"/>
        <v>-1</v>
      </c>
      <c r="AH47" s="7">
        <f t="shared" ca="1" si="122"/>
        <v>1</v>
      </c>
      <c r="AI47" s="17">
        <f t="shared" ca="1" si="123"/>
        <v>-1</v>
      </c>
      <c r="AJ47" s="7">
        <f t="shared" ca="1" si="124"/>
        <v>1</v>
      </c>
      <c r="AK47" s="18">
        <f t="shared" ca="1" si="125"/>
        <v>-1</v>
      </c>
      <c r="AL47" s="7">
        <f t="shared" ca="1" si="126"/>
        <v>0</v>
      </c>
      <c r="AM47" s="7">
        <f t="shared" ca="1" si="127"/>
        <v>0</v>
      </c>
      <c r="AN47" s="18">
        <f t="shared" ca="1" si="128"/>
        <v>1</v>
      </c>
      <c r="AO47" s="7">
        <f t="shared" ca="1" si="115"/>
        <v>1</v>
      </c>
      <c r="AP47" s="50" t="b">
        <f t="shared" ca="1" si="87"/>
        <v>1</v>
      </c>
      <c r="AS47" s="22">
        <f t="shared" ca="1" si="88"/>
        <v>0</v>
      </c>
      <c r="AT47" s="7">
        <f t="shared" ca="1" si="23"/>
        <v>0</v>
      </c>
      <c r="AU47" s="7">
        <f t="shared" ca="1" si="24"/>
        <v>0</v>
      </c>
      <c r="AV47" s="7">
        <f t="shared" ca="1" si="25"/>
        <v>0</v>
      </c>
      <c r="AW47" s="7">
        <f t="shared" ca="1" si="26"/>
        <v>0</v>
      </c>
      <c r="AX47" s="7">
        <f t="shared" ca="1" si="27"/>
        <v>0</v>
      </c>
      <c r="AY47" s="7">
        <f t="shared" ca="1" si="28"/>
        <v>0</v>
      </c>
      <c r="AZ47" s="7">
        <f t="shared" ca="1" si="29"/>
        <v>0</v>
      </c>
      <c r="BA47" s="18">
        <f t="shared" ca="1" si="30"/>
        <v>0</v>
      </c>
      <c r="BB47" s="295">
        <f t="shared" ca="1" si="89"/>
        <v>1</v>
      </c>
      <c r="BD47" s="132"/>
      <c r="BE47" s="297">
        <f t="shared" ca="1" si="90"/>
        <v>1</v>
      </c>
      <c r="BF47" s="298">
        <f t="shared" ca="1" si="31"/>
        <v>0.65029522127322903</v>
      </c>
      <c r="BG47" s="298">
        <f t="shared" ca="1" si="32"/>
        <v>0.66028983545318687</v>
      </c>
      <c r="BH47" s="318">
        <f t="shared" ca="1" si="33"/>
        <v>0.64972655813153501</v>
      </c>
      <c r="BI47" s="298">
        <f t="shared" ca="1" si="34"/>
        <v>0.65002804502111444</v>
      </c>
      <c r="BJ47" s="299">
        <f t="shared" ca="1" si="35"/>
        <v>0.65029320640965171</v>
      </c>
      <c r="BK47" s="298">
        <f t="shared" ca="1" si="36"/>
        <v>0.64942668056342145</v>
      </c>
      <c r="BL47" s="298">
        <f t="shared" ca="1" si="37"/>
        <v>0.61083952513994022</v>
      </c>
      <c r="BM47" s="299">
        <f t="shared" ca="1" si="38"/>
        <v>0.6508682169276182</v>
      </c>
      <c r="BN47" s="295">
        <f t="shared" ca="1" si="39"/>
        <v>0.17402001625314881</v>
      </c>
      <c r="BO47" s="248">
        <f t="shared" ca="1" si="91"/>
        <v>-2.2535161742124597E-5</v>
      </c>
      <c r="BQ47" s="304">
        <f t="shared" ca="1" si="92"/>
        <v>0.42412001625314877</v>
      </c>
      <c r="BR47" s="297">
        <f t="shared" ca="1" si="93"/>
        <v>0</v>
      </c>
      <c r="BS47" s="298">
        <f t="shared" ca="1" si="40"/>
        <v>0</v>
      </c>
      <c r="BT47" s="298">
        <f t="shared" ca="1" si="41"/>
        <v>0</v>
      </c>
      <c r="BU47" s="318">
        <f t="shared" ca="1" si="42"/>
        <v>0</v>
      </c>
      <c r="BV47" s="298">
        <f t="shared" ca="1" si="43"/>
        <v>0</v>
      </c>
      <c r="BW47" s="299">
        <f t="shared" ca="1" si="44"/>
        <v>0</v>
      </c>
      <c r="BX47" s="298">
        <f t="shared" ca="1" si="45"/>
        <v>0</v>
      </c>
      <c r="BY47" s="298">
        <f t="shared" ca="1" si="46"/>
        <v>0</v>
      </c>
      <c r="BZ47" s="298">
        <f t="shared" ca="1" si="47"/>
        <v>0</v>
      </c>
      <c r="CA47" s="315">
        <f t="shared" ca="1" si="48"/>
        <v>0.42412001625314877</v>
      </c>
      <c r="CC47" s="52"/>
      <c r="CD47" s="306">
        <f t="shared" ca="1" si="94"/>
        <v>0</v>
      </c>
      <c r="CE47" s="15">
        <f t="shared" ca="1" si="49"/>
        <v>0</v>
      </c>
      <c r="CF47" s="15">
        <f t="shared" ca="1" si="50"/>
        <v>0</v>
      </c>
      <c r="CG47" s="286">
        <f t="shared" ca="1" si="51"/>
        <v>0</v>
      </c>
      <c r="CH47" s="15">
        <f t="shared" ca="1" si="52"/>
        <v>0</v>
      </c>
      <c r="CI47" s="288">
        <f t="shared" ca="1" si="53"/>
        <v>0</v>
      </c>
      <c r="CJ47" s="15">
        <f t="shared" ca="1" si="54"/>
        <v>0</v>
      </c>
      <c r="CK47" s="15">
        <f t="shared" ca="1" si="55"/>
        <v>0</v>
      </c>
      <c r="CL47" s="15">
        <f t="shared" ca="1" si="56"/>
        <v>0</v>
      </c>
      <c r="CM47" s="313">
        <f t="shared" ca="1" si="57"/>
        <v>1</v>
      </c>
      <c r="CO47" s="320">
        <f t="shared" ca="1" si="95"/>
        <v>36</v>
      </c>
      <c r="CP47" s="22">
        <f ca="1">COUNTIFS($C$10:$C46,"&lt;"&amp;$C47,$M$10:$M46,$D47&amp;"_"&amp;CP$9)</f>
        <v>0</v>
      </c>
      <c r="CQ47" s="7">
        <f ca="1">COUNTIFS($C$10:$C46,"&lt;"&amp;$C47,$M$10:$M46,$D47&amp;"_"&amp;CQ$9)</f>
        <v>0</v>
      </c>
      <c r="CR47" s="7">
        <f ca="1">COUNTIFS($C$10:$C46,"&lt;"&amp;$C47,$M$10:$M46,$D47&amp;"_"&amp;CR$9)</f>
        <v>0</v>
      </c>
      <c r="CS47" s="17">
        <f ca="1">COUNTIFS($C$10:$C46,"&lt;"&amp;$C47,$M$10:$M46,$D47&amp;"_"&amp;CS$9)</f>
        <v>0</v>
      </c>
      <c r="CT47" s="7">
        <f ca="1">COUNTIFS($C$10:$C46,"&lt;"&amp;$C47,$M$10:$M46,$D47&amp;"_"&amp;CT$9)</f>
        <v>0</v>
      </c>
      <c r="CU47" s="18">
        <f ca="1">COUNTIFS($C$10:$C46,"&lt;"&amp;$C47,$M$10:$M46,$D47&amp;"_"&amp;CU$9)</f>
        <v>0</v>
      </c>
      <c r="CV47" s="7">
        <f ca="1">COUNTIFS($C$10:$C46,"&lt;"&amp;$C47,$M$10:$M46,$D47&amp;"_"&amp;CV$9)</f>
        <v>0</v>
      </c>
      <c r="CW47" s="7">
        <f ca="1">COUNTIFS($C$10:$C46,"&lt;"&amp;$C47,$M$10:$M46,$D47&amp;"_"&amp;CW$9)</f>
        <v>0</v>
      </c>
      <c r="CX47" s="7">
        <f ca="1">COUNTIFS($C$10:$C46,"&lt;"&amp;$C47,$M$10:$M46,$D47&amp;"_"&amp;CX$9)</f>
        <v>0</v>
      </c>
      <c r="CY47" s="221">
        <f ca="1">COUNTIFS($C$10:$C46,"&lt;"&amp;$C47,$M$10:$M46,$D47&amp;"_"&amp;CY$9)</f>
        <v>36</v>
      </c>
      <c r="DA47" s="20"/>
      <c r="DB47" s="308">
        <f ca="1">IF(CP47=0,0,SUMIFS($P$10:$P46, $C$10:$C46,"&lt;"&amp;$C47, $M$10:$M46,$D47&amp;"_"&amp;DB$9)/CP47)</f>
        <v>0</v>
      </c>
      <c r="DC47" s="263">
        <f ca="1">IF(CQ47=0,0,SUMIFS($P$10:$P46, $C$10:$C46,"&lt;"&amp;$C47, $M$10:$M46,$D47&amp;"_"&amp;DC$9)/CQ47)</f>
        <v>0</v>
      </c>
      <c r="DD47" s="263">
        <f ca="1">IF(CR47=0,0,SUMIFS($P$10:$P46, $C$10:$C46,"&lt;"&amp;$C47, $M$10:$M46,$D47&amp;"_"&amp;DD$9)/CR47)</f>
        <v>0</v>
      </c>
      <c r="DE47" s="262">
        <f ca="1">IF(CS47=0,0,SUMIFS($P$10:$P46, $C$10:$C46,"&lt;"&amp;$C47, $M$10:$M46,$D47&amp;"_"&amp;DE$9)/CS47)</f>
        <v>0</v>
      </c>
      <c r="DF47" s="263">
        <f ca="1">IF(CT47=0,0,SUMIFS($P$10:$P46, $C$10:$C46,"&lt;"&amp;$C47, $M$10:$M46,$D47&amp;"_"&amp;DF$9)/CT47)</f>
        <v>0</v>
      </c>
      <c r="DG47" s="310">
        <f ca="1">IF(CU47=0,0,SUMIFS($P$10:$P46, $C$10:$C46,"&lt;"&amp;$C47, $M$10:$M46,$D47&amp;"_"&amp;DG$9)/CU47)</f>
        <v>0</v>
      </c>
      <c r="DH47" s="263">
        <f ca="1">IF(CV47=0,0,SUMIFS($P$10:$P46, $C$10:$C46,"&lt;"&amp;$C47, $M$10:$M46,$D47&amp;"_"&amp;DH$9)/CV47)</f>
        <v>0</v>
      </c>
      <c r="DI47" s="263">
        <f ca="1">IF(CW47=0,0,SUMIFS($P$10:$P46, $C$10:$C46,"&lt;"&amp;$C47, $M$10:$M46,$D47&amp;"_"&amp;DI$9)/CW47)</f>
        <v>0</v>
      </c>
      <c r="DJ47" s="264">
        <f ca="1">IF(CX47=0,0,SUMIFS($P$10:$P46, $C$10:$C46,"&lt;"&amp;$C47, $M$10:$M46,$D47&amp;"_"&amp;DJ$9)/CX47)</f>
        <v>0</v>
      </c>
      <c r="DK47" s="264">
        <f ca="1">IF(CY47=0,0,SUMIFS($P$10:$P46, $C$10:$C46,"&lt;"&amp;$C47, $M$10:$M46,$D47&amp;"_"&amp;DK$9)/CY47)</f>
        <v>-1</v>
      </c>
      <c r="DM47" s="104"/>
      <c r="DN47" s="306">
        <f t="shared" ca="1" si="96"/>
        <v>-9999</v>
      </c>
      <c r="DO47" s="15">
        <f t="shared" ca="1" si="58"/>
        <v>-9999</v>
      </c>
      <c r="DP47" s="15">
        <f t="shared" ca="1" si="59"/>
        <v>-9999</v>
      </c>
      <c r="DQ47" s="15">
        <f t="shared" ca="1" si="60"/>
        <v>-9999</v>
      </c>
      <c r="DR47" s="15">
        <f t="shared" ca="1" si="61"/>
        <v>-9999</v>
      </c>
      <c r="DS47" s="15">
        <f t="shared" ca="1" si="62"/>
        <v>-9999</v>
      </c>
      <c r="DT47" s="15">
        <f t="shared" ca="1" si="63"/>
        <v>-9999</v>
      </c>
      <c r="DU47" s="15">
        <f t="shared" ca="1" si="64"/>
        <v>-9999</v>
      </c>
      <c r="DV47" s="52">
        <f t="shared" ca="1" si="65"/>
        <v>-9999</v>
      </c>
      <c r="DW47" s="313">
        <f t="shared" ca="1" si="66"/>
        <v>-0.83783783783783783</v>
      </c>
      <c r="DX47" s="52"/>
      <c r="DY47" s="402">
        <f t="shared" ca="1" si="97"/>
        <v>9</v>
      </c>
      <c r="ED47" s="19">
        <f t="shared" ca="1" si="129"/>
        <v>-1</v>
      </c>
      <c r="EE47" s="1">
        <f t="shared" ca="1" si="130"/>
        <v>1</v>
      </c>
      <c r="EF47" s="1">
        <f t="shared" ca="1" si="131"/>
        <v>-1</v>
      </c>
      <c r="EG47" s="2">
        <f t="shared" ca="1" si="132"/>
        <v>1</v>
      </c>
      <c r="EH47" s="1">
        <f t="shared" ca="1" si="133"/>
        <v>-1</v>
      </c>
      <c r="EI47" s="3">
        <f t="shared" ca="1" si="134"/>
        <v>1</v>
      </c>
      <c r="EJ47" s="1">
        <f t="shared" ca="1" si="135"/>
        <v>0</v>
      </c>
      <c r="EK47" s="1">
        <f t="shared" ca="1" si="136"/>
        <v>0</v>
      </c>
      <c r="EL47" s="20">
        <f t="shared" ca="1" si="137"/>
        <v>-1</v>
      </c>
      <c r="EN47" s="86">
        <f ca="1">MAX(0, SUMPRODUCT($ED47:$EL47,OFFSET(DNN!$E$9:$M$9,EN$9,0)) + OFFSET(DNN!$D$9,EN$9,0))</f>
        <v>0</v>
      </c>
      <c r="EO47" s="84">
        <f ca="1">MAX(0, SUMPRODUCT($ED47:$EL47,OFFSET(DNN!$E$9:$M$9,EO$9,0)) + OFFSET(DNN!$D$9,EO$9,0))</f>
        <v>7.2346022384755949E-3</v>
      </c>
      <c r="EP47" s="84">
        <f ca="1">MAX(0, SUMPRODUCT($ED47:$EL47,OFFSET(DNN!$E$9:$M$9,EP$9,0)) + OFFSET(DNN!$D$9,EP$9,0))</f>
        <v>3.6951849750035152E-3</v>
      </c>
      <c r="EQ47" s="84">
        <f ca="1">MAX(0, SUMPRODUCT($ED47:$EL47,OFFSET(DNN!$E$9:$M$9,EQ$9,0)) + OFFSET(DNN!$D$9,EQ$9,0))</f>
        <v>0</v>
      </c>
      <c r="ER47" s="85">
        <f ca="1">MAX(0, SUMPRODUCT($ED47:$EL47,OFFSET(DNN!$E$9:$M$9,ER$9,0)) + OFFSET(DNN!$D$9,ER$9,0))</f>
        <v>0</v>
      </c>
      <c r="ET47" s="86">
        <f ca="1">MAX(0, SUMPRODUCT($EN47:$ER47,OFFSET(DNN!$Q$9:$U$9,ET$9,0)) + OFFSET(DNN!$P$9,ET$9,0))</f>
        <v>4.3954959453478351E-4</v>
      </c>
      <c r="EU47" s="84">
        <f ca="1">MAX(0, SUMPRODUCT($EN47:$ER47,OFFSET(DNN!$Q$9:$U$9,EU$9,0)) + OFFSET(DNN!$P$9,EU$9,0))</f>
        <v>0</v>
      </c>
      <c r="EV47" s="84">
        <f ca="1">MAX(0, SUMPRODUCT($EN47:$ER47,OFFSET(DNN!$Q$9:$U$9,EV$9,0)) + OFFSET(DNN!$P$9,EV$9,0))</f>
        <v>1.2810123361902579E-3</v>
      </c>
      <c r="EW47" s="84">
        <f ca="1">MAX(0, SUMPRODUCT($EN47:$ER47,OFFSET(DNN!$Q$9:$U$9,EW$9,0)) + OFFSET(DNN!$P$9,EW$9,0))</f>
        <v>7.8382123007882457E-4</v>
      </c>
      <c r="EX47" s="85">
        <f ca="1">MAX(0, SUMPRODUCT($EN47:$ER47,OFFSET(DNN!$Q$9:$U$9,EX$9,0)) + OFFSET(DNN!$P$9,EX$9,0))</f>
        <v>0</v>
      </c>
      <c r="EZ47" s="111">
        <f ca="1">SUMPRODUCT($ET47:$EX47,OFFSET(DNN!$Y$9:$AC$9,EZ$9,0)) + OFFSET(DNN!$X$9,EZ$9,0)</f>
        <v>0.43031618918982212</v>
      </c>
      <c r="FA47" s="97">
        <f ca="1">SUMPRODUCT($ET47:$EX47,OFFSET(DNN!$Y$9:$AC$9,FA$9,0)) + OFFSET(DNN!$X$9,FA$9,0)</f>
        <v>-1.2643439935754107E-5</v>
      </c>
      <c r="FB47" s="97">
        <f ca="1">SUMPRODUCT($ET47:$EX47,OFFSET(DNN!$Y$9:$AC$9,FB$9,0)) + OFFSET(DNN!$X$9,FB$9,0)</f>
        <v>1.5239793458415756E-2</v>
      </c>
      <c r="FC47" s="97">
        <f ca="1">SUMPRODUCT($ET47:$EX47,OFFSET(DNN!$Y$9:$AC$9,FC$9,0)) + OFFSET(DNN!$X$9,FC$9,0)</f>
        <v>-8.8749521084055777E-4</v>
      </c>
      <c r="FD47" s="97">
        <f ca="1">SUMPRODUCT($ET47:$EX47,OFFSET(DNN!$Y$9:$AC$9,FD$9,0)) + OFFSET(DNN!$X$9,FD$9,0)</f>
        <v>-4.235816470721872E-4</v>
      </c>
      <c r="FE47" s="97">
        <f ca="1">SUMPRODUCT($ET47:$EX47,OFFSET(DNN!$Y$9:$AC$9,FE$9,0)) + OFFSET(DNN!$X$9,FE$9,0)</f>
        <v>-1.574182761064886E-5</v>
      </c>
      <c r="FF47" s="97">
        <f ca="1">SUMPRODUCT($ET47:$EX47,OFFSET(DNN!$Y$9:$AC$9,FF$9,0)) + OFFSET(DNN!$X$9,FF$9,0)</f>
        <v>-1.3491460223194656E-3</v>
      </c>
      <c r="FG47" s="97">
        <f ca="1">SUMPRODUCT($ET47:$EX47,OFFSET(DNN!$Y$9:$AC$9,FG$9,0)) + OFFSET(DNN!$X$9,FG$9,0)</f>
        <v>-6.2604808096248285E-2</v>
      </c>
      <c r="FH47" s="97">
        <f ca="1">SUMPRODUCT($ET47:$EX47,OFFSET(DNN!$Y$9:$AC$9,FH$9,0)) + OFFSET(DNN!$X$9,FH$9,0)</f>
        <v>8.6810016937029894E-4</v>
      </c>
      <c r="FI47" s="108">
        <f ca="1">SUMPRODUCT($ET47:$EX47,OFFSET(DNN!$Y$9:$AC$9,FI$9,0)) + OFFSET(DNN!$X$9,FI$9,0)</f>
        <v>-1.3182687612562751</v>
      </c>
      <c r="FJ47" s="98">
        <f ca="1">SUMPRODUCT($ET47:$EX47,OFFSET(DNN!$Y$9:$AC$9,FJ$9,0)) + OFFSET(DNN!$X$9,FJ$9,0)</f>
        <v>-2.2535161745939301E-5</v>
      </c>
      <c r="FL47" s="415">
        <f t="shared" ca="1" si="98"/>
        <v>0.43031618918982212</v>
      </c>
      <c r="FM47" s="130">
        <f t="shared" ca="1" si="99"/>
        <v>1</v>
      </c>
      <c r="FN47" s="131">
        <f t="shared" ca="1" si="100"/>
        <v>0.65029522127322903</v>
      </c>
      <c r="FO47" s="131">
        <f t="shared" ca="1" si="101"/>
        <v>0.66028983545318687</v>
      </c>
      <c r="FP47" s="131">
        <f t="shared" ca="1" si="102"/>
        <v>0.64972655813153501</v>
      </c>
      <c r="FQ47" s="131">
        <f t="shared" ca="1" si="103"/>
        <v>0.65002804502111444</v>
      </c>
      <c r="FR47" s="131">
        <f t="shared" ca="1" si="104"/>
        <v>0.65029320640965171</v>
      </c>
      <c r="FS47" s="131">
        <f t="shared" ca="1" si="105"/>
        <v>0.64942668056342145</v>
      </c>
      <c r="FT47" s="131">
        <f t="shared" ca="1" si="106"/>
        <v>0.61083952513994022</v>
      </c>
      <c r="FU47" s="132">
        <f t="shared" ca="1" si="107"/>
        <v>0.6508682169276182</v>
      </c>
      <c r="FV47" s="131">
        <f t="shared" ca="1" si="108"/>
        <v>0.17402001625314881</v>
      </c>
      <c r="FW47" s="83">
        <f t="shared" ca="1" si="109"/>
        <v>-2.2535161742124597E-5</v>
      </c>
    </row>
    <row r="48" spans="1:179">
      <c r="A48" s="19">
        <f t="shared" si="117"/>
        <v>38</v>
      </c>
      <c r="B48" s="1">
        <f t="shared" ca="1" si="111"/>
        <v>0</v>
      </c>
      <c r="C48" s="20">
        <f t="shared" ca="1" si="112"/>
        <v>38</v>
      </c>
      <c r="D48" s="19" t="str">
        <f t="shared" ca="1" si="113"/>
        <v>〇×〇×〇×--〇</v>
      </c>
      <c r="E48" s="7">
        <f t="shared" ca="1" si="77"/>
        <v>9</v>
      </c>
      <c r="F48" s="7">
        <f t="shared" ca="1" si="78"/>
        <v>1</v>
      </c>
      <c r="G48" s="1" t="str">
        <f t="shared" ca="1" si="138"/>
        <v>〇×〇×〇×--〇</v>
      </c>
      <c r="H48" s="20" t="b">
        <f t="shared" ca="1" si="118"/>
        <v>1</v>
      </c>
      <c r="I48" s="22">
        <f t="shared" ca="1" si="114"/>
        <v>-1</v>
      </c>
      <c r="J48" s="1" t="b">
        <f ca="1">(1&lt;COUNTIF(D$10:D48,D48))</f>
        <v>1</v>
      </c>
      <c r="K48" s="1" t="b">
        <f t="shared" ca="1" si="81"/>
        <v>1</v>
      </c>
      <c r="L48" s="7">
        <f ca="1">MATCH(TRUE,K48:K$1048576,FALSE)-1</f>
        <v>0</v>
      </c>
      <c r="M48" s="24" t="str">
        <f t="shared" ca="1" si="119"/>
        <v>〇×〇×〇×--〇_9</v>
      </c>
      <c r="N48" s="25">
        <f t="shared" ca="1" si="82"/>
        <v>-2.2535161742124597E-5</v>
      </c>
      <c r="O48" s="26">
        <f t="shared" ca="1" si="83"/>
        <v>-1</v>
      </c>
      <c r="P48" s="27">
        <f t="shared" ca="1" si="84"/>
        <v>-1</v>
      </c>
      <c r="R48" s="41" t="str">
        <f ca="1">VLOOKUP(S48,cvt!$B$2:$C$4,2,FALSE)&amp;VLOOKUP(T48,cvt!$B$2:$C$4,2,FALSE)&amp;VLOOKUP(U48,cvt!$B$2:$C$4,2,FALSE)
&amp;VLOOKUP(V48,cvt!$B$2:$C$4,2,FALSE)&amp;VLOOKUP(W48,cvt!$B$2:$C$4,2,FALSE)&amp;VLOOKUP(X48,cvt!$B$2:$C$4,2,FALSE)
&amp;VLOOKUP(Y48,cvt!$B$2:$C$4,2,FALSE)&amp;VLOOKUP(Z48,cvt!$B$2:$C$4,2,FALSE)&amp;VLOOKUP(AA48,cvt!$B$2:$C$4,2,FALSE)</f>
        <v>〇×〇×〇×--〇</v>
      </c>
      <c r="S48" s="7">
        <f ca="1">VLOOKUP(MID($D48,S$9+1,1), cvt!$A$2:$B$4,2, FALSE)</f>
        <v>1</v>
      </c>
      <c r="T48" s="7">
        <f ca="1">VLOOKUP(MID($D48,T$9+1,1), cvt!$A$2:$B$4,2, FALSE)</f>
        <v>-1</v>
      </c>
      <c r="U48" s="7">
        <f ca="1">VLOOKUP(MID($D48,U$9+1,1), cvt!$A$2:$B$4,2, FALSE)</f>
        <v>1</v>
      </c>
      <c r="V48" s="17">
        <f ca="1">VLOOKUP(MID($D48,V$9+1,1), cvt!$A$2:$B$4,2, FALSE)</f>
        <v>-1</v>
      </c>
      <c r="W48" s="7">
        <f ca="1">VLOOKUP(MID($D48,W$9+1,1), cvt!$A$2:$B$4,2, FALSE)</f>
        <v>1</v>
      </c>
      <c r="X48" s="18">
        <f ca="1">VLOOKUP(MID($D48,X$9+1,1), cvt!$A$2:$B$4,2, FALSE)</f>
        <v>-1</v>
      </c>
      <c r="Y48" s="7">
        <f ca="1">VLOOKUP(MID($D48,Y$9+1,1), cvt!$A$2:$B$4,2, FALSE)</f>
        <v>0</v>
      </c>
      <c r="Z48" s="7">
        <f ca="1">VLOOKUP(MID($D48,Z$9+1,1), cvt!$A$2:$B$4,2, FALSE)</f>
        <v>0</v>
      </c>
      <c r="AA48" s="42">
        <f ca="1">VLOOKUP(MID($D48,AA$9+1,1), cvt!$A$2:$B$4,2, FALSE)</f>
        <v>1</v>
      </c>
      <c r="AB48" s="7">
        <f t="shared" ca="1" si="85"/>
        <v>1</v>
      </c>
      <c r="AC48" s="50" t="b">
        <f t="shared" ca="1" si="86"/>
        <v>1</v>
      </c>
      <c r="AE48" s="19" t="str">
        <f ca="1">VLOOKUP(AF48,cvt!$B$2:$C$4,2,FALSE)&amp;VLOOKUP(AG48,cvt!$B$2:$C$4,2,FALSE)&amp;VLOOKUP(AH48,cvt!$B$2:$C$4,2,FALSE)
&amp;VLOOKUP(AI48,cvt!$B$2:$C$4,2,FALSE)&amp;VLOOKUP(AJ48,cvt!$B$2:$C$4,2,FALSE)&amp;VLOOKUP(AK48,cvt!$B$2:$C$4,2,FALSE)
&amp;VLOOKUP(AL48,cvt!$B$2:$C$4,2,FALSE)&amp;VLOOKUP(AM48,cvt!$B$2:$C$4,2,FALSE)&amp;VLOOKUP(AN48,cvt!$B$2:$C$4,2,FALSE)</f>
        <v>〇×〇×〇×--〇</v>
      </c>
      <c r="AF48" s="17">
        <f t="shared" ca="1" si="120"/>
        <v>1</v>
      </c>
      <c r="AG48" s="7">
        <f t="shared" ca="1" si="121"/>
        <v>-1</v>
      </c>
      <c r="AH48" s="7">
        <f t="shared" ca="1" si="122"/>
        <v>1</v>
      </c>
      <c r="AI48" s="17">
        <f t="shared" ca="1" si="123"/>
        <v>-1</v>
      </c>
      <c r="AJ48" s="7">
        <f t="shared" ca="1" si="124"/>
        <v>1</v>
      </c>
      <c r="AK48" s="18">
        <f t="shared" ca="1" si="125"/>
        <v>-1</v>
      </c>
      <c r="AL48" s="7">
        <f t="shared" ca="1" si="126"/>
        <v>0</v>
      </c>
      <c r="AM48" s="7">
        <f t="shared" ca="1" si="127"/>
        <v>0</v>
      </c>
      <c r="AN48" s="18">
        <f t="shared" ca="1" si="128"/>
        <v>1</v>
      </c>
      <c r="AO48" s="7">
        <f t="shared" ca="1" si="115"/>
        <v>1</v>
      </c>
      <c r="AP48" s="50" t="b">
        <f t="shared" ca="1" si="87"/>
        <v>1</v>
      </c>
      <c r="AS48" s="22">
        <f t="shared" ca="1" si="88"/>
        <v>0</v>
      </c>
      <c r="AT48" s="7">
        <f t="shared" ca="1" si="23"/>
        <v>0</v>
      </c>
      <c r="AU48" s="7">
        <f t="shared" ca="1" si="24"/>
        <v>0</v>
      </c>
      <c r="AV48" s="7">
        <f t="shared" ca="1" si="25"/>
        <v>0</v>
      </c>
      <c r="AW48" s="7">
        <f t="shared" ca="1" si="26"/>
        <v>0</v>
      </c>
      <c r="AX48" s="7">
        <f t="shared" ca="1" si="27"/>
        <v>0</v>
      </c>
      <c r="AY48" s="7">
        <f t="shared" ca="1" si="28"/>
        <v>0</v>
      </c>
      <c r="AZ48" s="7">
        <f t="shared" ca="1" si="29"/>
        <v>0</v>
      </c>
      <c r="BA48" s="18">
        <f t="shared" ca="1" si="30"/>
        <v>0</v>
      </c>
      <c r="BB48" s="295">
        <f t="shared" ca="1" si="89"/>
        <v>1</v>
      </c>
      <c r="BD48" s="132"/>
      <c r="BE48" s="297">
        <f t="shared" ca="1" si="90"/>
        <v>1</v>
      </c>
      <c r="BF48" s="298">
        <f t="shared" ca="1" si="31"/>
        <v>0.65029522127322903</v>
      </c>
      <c r="BG48" s="298">
        <f t="shared" ca="1" si="32"/>
        <v>0.66028983545318687</v>
      </c>
      <c r="BH48" s="318">
        <f t="shared" ca="1" si="33"/>
        <v>0.64972655813153501</v>
      </c>
      <c r="BI48" s="298">
        <f t="shared" ca="1" si="34"/>
        <v>0.65002804502111444</v>
      </c>
      <c r="BJ48" s="299">
        <f t="shared" ca="1" si="35"/>
        <v>0.65029320640965171</v>
      </c>
      <c r="BK48" s="298">
        <f t="shared" ca="1" si="36"/>
        <v>0.64942668056342145</v>
      </c>
      <c r="BL48" s="298">
        <f t="shared" ca="1" si="37"/>
        <v>0.61083952513994022</v>
      </c>
      <c r="BM48" s="299">
        <f t="shared" ca="1" si="38"/>
        <v>0.6508682169276182</v>
      </c>
      <c r="BN48" s="295">
        <f t="shared" ca="1" si="39"/>
        <v>0.17402001625314881</v>
      </c>
      <c r="BO48" s="248">
        <f t="shared" ca="1" si="91"/>
        <v>-2.2535161742124597E-5</v>
      </c>
      <c r="BQ48" s="304">
        <f t="shared" ca="1" si="92"/>
        <v>0.1741200162531488</v>
      </c>
      <c r="BR48" s="297">
        <f t="shared" ca="1" si="93"/>
        <v>0</v>
      </c>
      <c r="BS48" s="298">
        <f t="shared" ca="1" si="40"/>
        <v>0</v>
      </c>
      <c r="BT48" s="298">
        <f t="shared" ca="1" si="41"/>
        <v>0</v>
      </c>
      <c r="BU48" s="318">
        <f t="shared" ca="1" si="42"/>
        <v>0</v>
      </c>
      <c r="BV48" s="298">
        <f t="shared" ca="1" si="43"/>
        <v>0</v>
      </c>
      <c r="BW48" s="299">
        <f t="shared" ca="1" si="44"/>
        <v>0</v>
      </c>
      <c r="BX48" s="298">
        <f t="shared" ca="1" si="45"/>
        <v>0</v>
      </c>
      <c r="BY48" s="298">
        <f t="shared" ca="1" si="46"/>
        <v>0</v>
      </c>
      <c r="BZ48" s="298">
        <f t="shared" ca="1" si="47"/>
        <v>0</v>
      </c>
      <c r="CA48" s="315">
        <f t="shared" ca="1" si="48"/>
        <v>0.1741200162531488</v>
      </c>
      <c r="CC48" s="52"/>
      <c r="CD48" s="306">
        <f t="shared" ca="1" si="94"/>
        <v>0</v>
      </c>
      <c r="CE48" s="15">
        <f t="shared" ca="1" si="49"/>
        <v>0</v>
      </c>
      <c r="CF48" s="15">
        <f t="shared" ca="1" si="50"/>
        <v>0</v>
      </c>
      <c r="CG48" s="286">
        <f t="shared" ca="1" si="51"/>
        <v>0</v>
      </c>
      <c r="CH48" s="15">
        <f t="shared" ca="1" si="52"/>
        <v>0</v>
      </c>
      <c r="CI48" s="288">
        <f t="shared" ca="1" si="53"/>
        <v>0</v>
      </c>
      <c r="CJ48" s="15">
        <f t="shared" ca="1" si="54"/>
        <v>0</v>
      </c>
      <c r="CK48" s="15">
        <f t="shared" ca="1" si="55"/>
        <v>0</v>
      </c>
      <c r="CL48" s="15">
        <f t="shared" ca="1" si="56"/>
        <v>0</v>
      </c>
      <c r="CM48" s="313">
        <f t="shared" ca="1" si="57"/>
        <v>1</v>
      </c>
      <c r="CO48" s="320">
        <f t="shared" ca="1" si="95"/>
        <v>37</v>
      </c>
      <c r="CP48" s="22">
        <f ca="1">COUNTIFS($C$10:$C47,"&lt;"&amp;$C48,$M$10:$M47,$D48&amp;"_"&amp;CP$9)</f>
        <v>0</v>
      </c>
      <c r="CQ48" s="7">
        <f ca="1">COUNTIFS($C$10:$C47,"&lt;"&amp;$C48,$M$10:$M47,$D48&amp;"_"&amp;CQ$9)</f>
        <v>0</v>
      </c>
      <c r="CR48" s="7">
        <f ca="1">COUNTIFS($C$10:$C47,"&lt;"&amp;$C48,$M$10:$M47,$D48&amp;"_"&amp;CR$9)</f>
        <v>0</v>
      </c>
      <c r="CS48" s="17">
        <f ca="1">COUNTIFS($C$10:$C47,"&lt;"&amp;$C48,$M$10:$M47,$D48&amp;"_"&amp;CS$9)</f>
        <v>0</v>
      </c>
      <c r="CT48" s="7">
        <f ca="1">COUNTIFS($C$10:$C47,"&lt;"&amp;$C48,$M$10:$M47,$D48&amp;"_"&amp;CT$9)</f>
        <v>0</v>
      </c>
      <c r="CU48" s="18">
        <f ca="1">COUNTIFS($C$10:$C47,"&lt;"&amp;$C48,$M$10:$M47,$D48&amp;"_"&amp;CU$9)</f>
        <v>0</v>
      </c>
      <c r="CV48" s="7">
        <f ca="1">COUNTIFS($C$10:$C47,"&lt;"&amp;$C48,$M$10:$M47,$D48&amp;"_"&amp;CV$9)</f>
        <v>0</v>
      </c>
      <c r="CW48" s="7">
        <f ca="1">COUNTIFS($C$10:$C47,"&lt;"&amp;$C48,$M$10:$M47,$D48&amp;"_"&amp;CW$9)</f>
        <v>0</v>
      </c>
      <c r="CX48" s="7">
        <f ca="1">COUNTIFS($C$10:$C47,"&lt;"&amp;$C48,$M$10:$M47,$D48&amp;"_"&amp;CX$9)</f>
        <v>0</v>
      </c>
      <c r="CY48" s="221">
        <f ca="1">COUNTIFS($C$10:$C47,"&lt;"&amp;$C48,$M$10:$M47,$D48&amp;"_"&amp;CY$9)</f>
        <v>37</v>
      </c>
      <c r="DA48" s="20"/>
      <c r="DB48" s="308">
        <f ca="1">IF(CP48=0,0,SUMIFS($P$10:$P47, $C$10:$C47,"&lt;"&amp;$C48, $M$10:$M47,$D48&amp;"_"&amp;DB$9)/CP48)</f>
        <v>0</v>
      </c>
      <c r="DC48" s="263">
        <f ca="1">IF(CQ48=0,0,SUMIFS($P$10:$P47, $C$10:$C47,"&lt;"&amp;$C48, $M$10:$M47,$D48&amp;"_"&amp;DC$9)/CQ48)</f>
        <v>0</v>
      </c>
      <c r="DD48" s="263">
        <f ca="1">IF(CR48=0,0,SUMIFS($P$10:$P47, $C$10:$C47,"&lt;"&amp;$C48, $M$10:$M47,$D48&amp;"_"&amp;DD$9)/CR48)</f>
        <v>0</v>
      </c>
      <c r="DE48" s="262">
        <f ca="1">IF(CS48=0,0,SUMIFS($P$10:$P47, $C$10:$C47,"&lt;"&amp;$C48, $M$10:$M47,$D48&amp;"_"&amp;DE$9)/CS48)</f>
        <v>0</v>
      </c>
      <c r="DF48" s="263">
        <f ca="1">IF(CT48=0,0,SUMIFS($P$10:$P47, $C$10:$C47,"&lt;"&amp;$C48, $M$10:$M47,$D48&amp;"_"&amp;DF$9)/CT48)</f>
        <v>0</v>
      </c>
      <c r="DG48" s="310">
        <f ca="1">IF(CU48=0,0,SUMIFS($P$10:$P47, $C$10:$C47,"&lt;"&amp;$C48, $M$10:$M47,$D48&amp;"_"&amp;DG$9)/CU48)</f>
        <v>0</v>
      </c>
      <c r="DH48" s="263">
        <f ca="1">IF(CV48=0,0,SUMIFS($P$10:$P47, $C$10:$C47,"&lt;"&amp;$C48, $M$10:$M47,$D48&amp;"_"&amp;DH$9)/CV48)</f>
        <v>0</v>
      </c>
      <c r="DI48" s="263">
        <f ca="1">IF(CW48=0,0,SUMIFS($P$10:$P47, $C$10:$C47,"&lt;"&amp;$C48, $M$10:$M47,$D48&amp;"_"&amp;DI$9)/CW48)</f>
        <v>0</v>
      </c>
      <c r="DJ48" s="264">
        <f ca="1">IF(CX48=0,0,SUMIFS($P$10:$P47, $C$10:$C47,"&lt;"&amp;$C48, $M$10:$M47,$D48&amp;"_"&amp;DJ$9)/CX48)</f>
        <v>0</v>
      </c>
      <c r="DK48" s="264">
        <f ca="1">IF(CY48=0,0,SUMIFS($P$10:$P47, $C$10:$C47,"&lt;"&amp;$C48, $M$10:$M47,$D48&amp;"_"&amp;DK$9)/CY48)</f>
        <v>-1</v>
      </c>
      <c r="DM48" s="104"/>
      <c r="DN48" s="306">
        <f t="shared" ca="1" si="96"/>
        <v>-9999</v>
      </c>
      <c r="DO48" s="15">
        <f t="shared" ca="1" si="58"/>
        <v>-9999</v>
      </c>
      <c r="DP48" s="15">
        <f t="shared" ca="1" si="59"/>
        <v>-9999</v>
      </c>
      <c r="DQ48" s="15">
        <f t="shared" ca="1" si="60"/>
        <v>-9999</v>
      </c>
      <c r="DR48" s="15">
        <f t="shared" ca="1" si="61"/>
        <v>-9999</v>
      </c>
      <c r="DS48" s="15">
        <f t="shared" ca="1" si="62"/>
        <v>-9999</v>
      </c>
      <c r="DT48" s="15">
        <f t="shared" ca="1" si="63"/>
        <v>-9999</v>
      </c>
      <c r="DU48" s="15">
        <f t="shared" ca="1" si="64"/>
        <v>-9999</v>
      </c>
      <c r="DV48" s="52">
        <f t="shared" ca="1" si="65"/>
        <v>-9999</v>
      </c>
      <c r="DW48" s="313">
        <f t="shared" ca="1" si="66"/>
        <v>-0.83992730183425734</v>
      </c>
      <c r="DX48" s="52"/>
      <c r="DY48" s="402">
        <f t="shared" ca="1" si="97"/>
        <v>9</v>
      </c>
      <c r="ED48" s="19">
        <f t="shared" ca="1" si="129"/>
        <v>-1</v>
      </c>
      <c r="EE48" s="1">
        <f t="shared" ca="1" si="130"/>
        <v>1</v>
      </c>
      <c r="EF48" s="1">
        <f t="shared" ca="1" si="131"/>
        <v>-1</v>
      </c>
      <c r="EG48" s="2">
        <f t="shared" ca="1" si="132"/>
        <v>1</v>
      </c>
      <c r="EH48" s="1">
        <f t="shared" ca="1" si="133"/>
        <v>-1</v>
      </c>
      <c r="EI48" s="3">
        <f t="shared" ca="1" si="134"/>
        <v>1</v>
      </c>
      <c r="EJ48" s="1">
        <f t="shared" ca="1" si="135"/>
        <v>0</v>
      </c>
      <c r="EK48" s="1">
        <f t="shared" ca="1" si="136"/>
        <v>0</v>
      </c>
      <c r="EL48" s="20">
        <f t="shared" ca="1" si="137"/>
        <v>-1</v>
      </c>
      <c r="EN48" s="86">
        <f ca="1">MAX(0, SUMPRODUCT($ED48:$EL48,OFFSET(DNN!$E$9:$M$9,EN$9,0)) + OFFSET(DNN!$D$9,EN$9,0))</f>
        <v>0</v>
      </c>
      <c r="EO48" s="84">
        <f ca="1">MAX(0, SUMPRODUCT($ED48:$EL48,OFFSET(DNN!$E$9:$M$9,EO$9,0)) + OFFSET(DNN!$D$9,EO$9,0))</f>
        <v>7.2346022384755949E-3</v>
      </c>
      <c r="EP48" s="84">
        <f ca="1">MAX(0, SUMPRODUCT($ED48:$EL48,OFFSET(DNN!$E$9:$M$9,EP$9,0)) + OFFSET(DNN!$D$9,EP$9,0))</f>
        <v>3.6951849750035152E-3</v>
      </c>
      <c r="EQ48" s="84">
        <f ca="1">MAX(0, SUMPRODUCT($ED48:$EL48,OFFSET(DNN!$E$9:$M$9,EQ$9,0)) + OFFSET(DNN!$D$9,EQ$9,0))</f>
        <v>0</v>
      </c>
      <c r="ER48" s="85">
        <f ca="1">MAX(0, SUMPRODUCT($ED48:$EL48,OFFSET(DNN!$E$9:$M$9,ER$9,0)) + OFFSET(DNN!$D$9,ER$9,0))</f>
        <v>0</v>
      </c>
      <c r="ET48" s="86">
        <f ca="1">MAX(0, SUMPRODUCT($EN48:$ER48,OFFSET(DNN!$Q$9:$U$9,ET$9,0)) + OFFSET(DNN!$P$9,ET$9,0))</f>
        <v>4.3954959453478351E-4</v>
      </c>
      <c r="EU48" s="84">
        <f ca="1">MAX(0, SUMPRODUCT($EN48:$ER48,OFFSET(DNN!$Q$9:$U$9,EU$9,0)) + OFFSET(DNN!$P$9,EU$9,0))</f>
        <v>0</v>
      </c>
      <c r="EV48" s="84">
        <f ca="1">MAX(0, SUMPRODUCT($EN48:$ER48,OFFSET(DNN!$Q$9:$U$9,EV$9,0)) + OFFSET(DNN!$P$9,EV$9,0))</f>
        <v>1.2810123361902579E-3</v>
      </c>
      <c r="EW48" s="84">
        <f ca="1">MAX(0, SUMPRODUCT($EN48:$ER48,OFFSET(DNN!$Q$9:$U$9,EW$9,0)) + OFFSET(DNN!$P$9,EW$9,0))</f>
        <v>7.8382123007882457E-4</v>
      </c>
      <c r="EX48" s="85">
        <f ca="1">MAX(0, SUMPRODUCT($EN48:$ER48,OFFSET(DNN!$Q$9:$U$9,EX$9,0)) + OFFSET(DNN!$P$9,EX$9,0))</f>
        <v>0</v>
      </c>
      <c r="EZ48" s="111">
        <f ca="1">SUMPRODUCT($ET48:$EX48,OFFSET(DNN!$Y$9:$AC$9,EZ$9,0)) + OFFSET(DNN!$X$9,EZ$9,0)</f>
        <v>0.43031618918982212</v>
      </c>
      <c r="FA48" s="97">
        <f ca="1">SUMPRODUCT($ET48:$EX48,OFFSET(DNN!$Y$9:$AC$9,FA$9,0)) + OFFSET(DNN!$X$9,FA$9,0)</f>
        <v>-1.2643439935754107E-5</v>
      </c>
      <c r="FB48" s="97">
        <f ca="1">SUMPRODUCT($ET48:$EX48,OFFSET(DNN!$Y$9:$AC$9,FB$9,0)) + OFFSET(DNN!$X$9,FB$9,0)</f>
        <v>1.5239793458415756E-2</v>
      </c>
      <c r="FC48" s="97">
        <f ca="1">SUMPRODUCT($ET48:$EX48,OFFSET(DNN!$Y$9:$AC$9,FC$9,0)) + OFFSET(DNN!$X$9,FC$9,0)</f>
        <v>-8.8749521084055777E-4</v>
      </c>
      <c r="FD48" s="97">
        <f ca="1">SUMPRODUCT($ET48:$EX48,OFFSET(DNN!$Y$9:$AC$9,FD$9,0)) + OFFSET(DNN!$X$9,FD$9,0)</f>
        <v>-4.235816470721872E-4</v>
      </c>
      <c r="FE48" s="97">
        <f ca="1">SUMPRODUCT($ET48:$EX48,OFFSET(DNN!$Y$9:$AC$9,FE$9,0)) + OFFSET(DNN!$X$9,FE$9,0)</f>
        <v>-1.574182761064886E-5</v>
      </c>
      <c r="FF48" s="97">
        <f ca="1">SUMPRODUCT($ET48:$EX48,OFFSET(DNN!$Y$9:$AC$9,FF$9,0)) + OFFSET(DNN!$X$9,FF$9,0)</f>
        <v>-1.3491460223194656E-3</v>
      </c>
      <c r="FG48" s="97">
        <f ca="1">SUMPRODUCT($ET48:$EX48,OFFSET(DNN!$Y$9:$AC$9,FG$9,0)) + OFFSET(DNN!$X$9,FG$9,0)</f>
        <v>-6.2604808096248285E-2</v>
      </c>
      <c r="FH48" s="97">
        <f ca="1">SUMPRODUCT($ET48:$EX48,OFFSET(DNN!$Y$9:$AC$9,FH$9,0)) + OFFSET(DNN!$X$9,FH$9,0)</f>
        <v>8.6810016937029894E-4</v>
      </c>
      <c r="FI48" s="108">
        <f ca="1">SUMPRODUCT($ET48:$EX48,OFFSET(DNN!$Y$9:$AC$9,FI$9,0)) + OFFSET(DNN!$X$9,FI$9,0)</f>
        <v>-1.3182687612562751</v>
      </c>
      <c r="FJ48" s="98">
        <f ca="1">SUMPRODUCT($ET48:$EX48,OFFSET(DNN!$Y$9:$AC$9,FJ$9,0)) + OFFSET(DNN!$X$9,FJ$9,0)</f>
        <v>-2.2535161745939301E-5</v>
      </c>
      <c r="FL48" s="415">
        <f t="shared" ca="1" si="98"/>
        <v>0.43031618918982212</v>
      </c>
      <c r="FM48" s="130">
        <f t="shared" ca="1" si="99"/>
        <v>1</v>
      </c>
      <c r="FN48" s="131">
        <f t="shared" ca="1" si="100"/>
        <v>0.65029522127322903</v>
      </c>
      <c r="FO48" s="131">
        <f t="shared" ca="1" si="101"/>
        <v>0.66028983545318687</v>
      </c>
      <c r="FP48" s="131">
        <f t="shared" ca="1" si="102"/>
        <v>0.64972655813153501</v>
      </c>
      <c r="FQ48" s="131">
        <f t="shared" ca="1" si="103"/>
        <v>0.65002804502111444</v>
      </c>
      <c r="FR48" s="131">
        <f t="shared" ca="1" si="104"/>
        <v>0.65029320640965171</v>
      </c>
      <c r="FS48" s="131">
        <f t="shared" ca="1" si="105"/>
        <v>0.64942668056342145</v>
      </c>
      <c r="FT48" s="131">
        <f t="shared" ca="1" si="106"/>
        <v>0.61083952513994022</v>
      </c>
      <c r="FU48" s="132">
        <f t="shared" ca="1" si="107"/>
        <v>0.6508682169276182</v>
      </c>
      <c r="FV48" s="131">
        <f t="shared" ca="1" si="108"/>
        <v>0.17402001625314881</v>
      </c>
      <c r="FW48" s="83">
        <f t="shared" ca="1" si="109"/>
        <v>-2.2535161742124597E-5</v>
      </c>
    </row>
    <row r="49" spans="1:179">
      <c r="A49" s="19">
        <f t="shared" si="117"/>
        <v>39</v>
      </c>
      <c r="B49" s="1">
        <f t="shared" ca="1" si="111"/>
        <v>0</v>
      </c>
      <c r="C49" s="20">
        <f t="shared" ca="1" si="112"/>
        <v>39</v>
      </c>
      <c r="D49" s="19" t="str">
        <f t="shared" ca="1" si="113"/>
        <v>〇×〇×〇×--〇</v>
      </c>
      <c r="E49" s="7">
        <f t="shared" ca="1" si="77"/>
        <v>9</v>
      </c>
      <c r="F49" s="7">
        <f t="shared" ca="1" si="78"/>
        <v>1</v>
      </c>
      <c r="G49" s="1" t="str">
        <f t="shared" ca="1" si="138"/>
        <v>〇×〇×〇×--〇</v>
      </c>
      <c r="H49" s="20" t="b">
        <f t="shared" ca="1" si="118"/>
        <v>1</v>
      </c>
      <c r="I49" s="22">
        <f t="shared" ca="1" si="114"/>
        <v>-1</v>
      </c>
      <c r="J49" s="1" t="b">
        <f ca="1">(1&lt;COUNTIF(D$10:D49,D49))</f>
        <v>1</v>
      </c>
      <c r="K49" s="1" t="b">
        <f t="shared" ca="1" si="81"/>
        <v>1</v>
      </c>
      <c r="L49" s="7">
        <f ca="1">MATCH(TRUE,K49:K$1048576,FALSE)-1</f>
        <v>0</v>
      </c>
      <c r="M49" s="24" t="str">
        <f t="shared" ca="1" si="119"/>
        <v>〇×〇×〇×--〇_9</v>
      </c>
      <c r="N49" s="25">
        <f t="shared" ca="1" si="82"/>
        <v>-2.2535161742124597E-5</v>
      </c>
      <c r="O49" s="26">
        <f t="shared" ca="1" si="83"/>
        <v>-1</v>
      </c>
      <c r="P49" s="27">
        <f t="shared" ca="1" si="84"/>
        <v>-1</v>
      </c>
      <c r="R49" s="41" t="str">
        <f ca="1">VLOOKUP(S49,cvt!$B$2:$C$4,2,FALSE)&amp;VLOOKUP(T49,cvt!$B$2:$C$4,2,FALSE)&amp;VLOOKUP(U49,cvt!$B$2:$C$4,2,FALSE)
&amp;VLOOKUP(V49,cvt!$B$2:$C$4,2,FALSE)&amp;VLOOKUP(W49,cvt!$B$2:$C$4,2,FALSE)&amp;VLOOKUP(X49,cvt!$B$2:$C$4,2,FALSE)
&amp;VLOOKUP(Y49,cvt!$B$2:$C$4,2,FALSE)&amp;VLOOKUP(Z49,cvt!$B$2:$C$4,2,FALSE)&amp;VLOOKUP(AA49,cvt!$B$2:$C$4,2,FALSE)</f>
        <v>〇×〇×〇×--〇</v>
      </c>
      <c r="S49" s="7">
        <f ca="1">VLOOKUP(MID($D49,S$9+1,1), cvt!$A$2:$B$4,2, FALSE)</f>
        <v>1</v>
      </c>
      <c r="T49" s="7">
        <f ca="1">VLOOKUP(MID($D49,T$9+1,1), cvt!$A$2:$B$4,2, FALSE)</f>
        <v>-1</v>
      </c>
      <c r="U49" s="7">
        <f ca="1">VLOOKUP(MID($D49,U$9+1,1), cvt!$A$2:$B$4,2, FALSE)</f>
        <v>1</v>
      </c>
      <c r="V49" s="17">
        <f ca="1">VLOOKUP(MID($D49,V$9+1,1), cvt!$A$2:$B$4,2, FALSE)</f>
        <v>-1</v>
      </c>
      <c r="W49" s="7">
        <f ca="1">VLOOKUP(MID($D49,W$9+1,1), cvt!$A$2:$B$4,2, FALSE)</f>
        <v>1</v>
      </c>
      <c r="X49" s="18">
        <f ca="1">VLOOKUP(MID($D49,X$9+1,1), cvt!$A$2:$B$4,2, FALSE)</f>
        <v>-1</v>
      </c>
      <c r="Y49" s="7">
        <f ca="1">VLOOKUP(MID($D49,Y$9+1,1), cvt!$A$2:$B$4,2, FALSE)</f>
        <v>0</v>
      </c>
      <c r="Z49" s="7">
        <f ca="1">VLOOKUP(MID($D49,Z$9+1,1), cvt!$A$2:$B$4,2, FALSE)</f>
        <v>0</v>
      </c>
      <c r="AA49" s="42">
        <f ca="1">VLOOKUP(MID($D49,AA$9+1,1), cvt!$A$2:$B$4,2, FALSE)</f>
        <v>1</v>
      </c>
      <c r="AB49" s="7">
        <f t="shared" ca="1" si="85"/>
        <v>1</v>
      </c>
      <c r="AC49" s="50" t="b">
        <f t="shared" ca="1" si="86"/>
        <v>1</v>
      </c>
      <c r="AE49" s="19" t="str">
        <f ca="1">VLOOKUP(AF49,cvt!$B$2:$C$4,2,FALSE)&amp;VLOOKUP(AG49,cvt!$B$2:$C$4,2,FALSE)&amp;VLOOKUP(AH49,cvt!$B$2:$C$4,2,FALSE)
&amp;VLOOKUP(AI49,cvt!$B$2:$C$4,2,FALSE)&amp;VLOOKUP(AJ49,cvt!$B$2:$C$4,2,FALSE)&amp;VLOOKUP(AK49,cvt!$B$2:$C$4,2,FALSE)
&amp;VLOOKUP(AL49,cvt!$B$2:$C$4,2,FALSE)&amp;VLOOKUP(AM49,cvt!$B$2:$C$4,2,FALSE)&amp;VLOOKUP(AN49,cvt!$B$2:$C$4,2,FALSE)</f>
        <v>〇×〇×〇×--〇</v>
      </c>
      <c r="AF49" s="17">
        <f t="shared" ca="1" si="120"/>
        <v>1</v>
      </c>
      <c r="AG49" s="7">
        <f t="shared" ca="1" si="121"/>
        <v>-1</v>
      </c>
      <c r="AH49" s="7">
        <f t="shared" ca="1" si="122"/>
        <v>1</v>
      </c>
      <c r="AI49" s="17">
        <f t="shared" ca="1" si="123"/>
        <v>-1</v>
      </c>
      <c r="AJ49" s="7">
        <f t="shared" ca="1" si="124"/>
        <v>1</v>
      </c>
      <c r="AK49" s="18">
        <f t="shared" ca="1" si="125"/>
        <v>-1</v>
      </c>
      <c r="AL49" s="7">
        <f t="shared" ca="1" si="126"/>
        <v>0</v>
      </c>
      <c r="AM49" s="7">
        <f t="shared" ca="1" si="127"/>
        <v>0</v>
      </c>
      <c r="AN49" s="18">
        <f t="shared" ca="1" si="128"/>
        <v>1</v>
      </c>
      <c r="AO49" s="7">
        <f t="shared" ca="1" si="115"/>
        <v>1</v>
      </c>
      <c r="AP49" s="50" t="b">
        <f t="shared" ca="1" si="87"/>
        <v>1</v>
      </c>
      <c r="AS49" s="22">
        <f t="shared" ca="1" si="88"/>
        <v>0</v>
      </c>
      <c r="AT49" s="7">
        <f t="shared" ca="1" si="23"/>
        <v>0</v>
      </c>
      <c r="AU49" s="7">
        <f t="shared" ca="1" si="24"/>
        <v>0</v>
      </c>
      <c r="AV49" s="7">
        <f t="shared" ca="1" si="25"/>
        <v>0</v>
      </c>
      <c r="AW49" s="7">
        <f t="shared" ca="1" si="26"/>
        <v>0</v>
      </c>
      <c r="AX49" s="7">
        <f t="shared" ca="1" si="27"/>
        <v>0</v>
      </c>
      <c r="AY49" s="7">
        <f t="shared" ca="1" si="28"/>
        <v>0</v>
      </c>
      <c r="AZ49" s="7">
        <f t="shared" ca="1" si="29"/>
        <v>0</v>
      </c>
      <c r="BA49" s="18">
        <f t="shared" ca="1" si="30"/>
        <v>0</v>
      </c>
      <c r="BB49" s="295">
        <f t="shared" ca="1" si="89"/>
        <v>1</v>
      </c>
      <c r="BD49" s="132"/>
      <c r="BE49" s="297">
        <f t="shared" ca="1" si="90"/>
        <v>1</v>
      </c>
      <c r="BF49" s="298">
        <f t="shared" ca="1" si="31"/>
        <v>0.65029522127322903</v>
      </c>
      <c r="BG49" s="298">
        <f t="shared" ca="1" si="32"/>
        <v>0.66028983545318687</v>
      </c>
      <c r="BH49" s="318">
        <f t="shared" ca="1" si="33"/>
        <v>0.64972655813153501</v>
      </c>
      <c r="BI49" s="298">
        <f t="shared" ca="1" si="34"/>
        <v>0.65002804502111444</v>
      </c>
      <c r="BJ49" s="299">
        <f t="shared" ca="1" si="35"/>
        <v>0.65029320640965171</v>
      </c>
      <c r="BK49" s="298">
        <f t="shared" ca="1" si="36"/>
        <v>0.64942668056342145</v>
      </c>
      <c r="BL49" s="298">
        <f t="shared" ca="1" si="37"/>
        <v>0.61083952513994022</v>
      </c>
      <c r="BM49" s="299">
        <f t="shared" ca="1" si="38"/>
        <v>0.6508682169276182</v>
      </c>
      <c r="BN49" s="295">
        <f t="shared" ca="1" si="39"/>
        <v>0.17402001625314881</v>
      </c>
      <c r="BO49" s="248">
        <f t="shared" ca="1" si="91"/>
        <v>-2.2535161742124597E-5</v>
      </c>
      <c r="BQ49" s="304">
        <f t="shared" ca="1" si="92"/>
        <v>0.42412001625314877</v>
      </c>
      <c r="BR49" s="297">
        <f t="shared" ca="1" si="93"/>
        <v>0</v>
      </c>
      <c r="BS49" s="298">
        <f t="shared" ca="1" si="40"/>
        <v>0</v>
      </c>
      <c r="BT49" s="298">
        <f t="shared" ca="1" si="41"/>
        <v>0</v>
      </c>
      <c r="BU49" s="318">
        <f t="shared" ca="1" si="42"/>
        <v>0</v>
      </c>
      <c r="BV49" s="298">
        <f t="shared" ca="1" si="43"/>
        <v>0</v>
      </c>
      <c r="BW49" s="299">
        <f t="shared" ca="1" si="44"/>
        <v>0</v>
      </c>
      <c r="BX49" s="298">
        <f t="shared" ca="1" si="45"/>
        <v>0</v>
      </c>
      <c r="BY49" s="298">
        <f t="shared" ca="1" si="46"/>
        <v>0</v>
      </c>
      <c r="BZ49" s="298">
        <f t="shared" ca="1" si="47"/>
        <v>0</v>
      </c>
      <c r="CA49" s="315">
        <f t="shared" ca="1" si="48"/>
        <v>0.42412001625314877</v>
      </c>
      <c r="CC49" s="52"/>
      <c r="CD49" s="306">
        <f t="shared" ca="1" si="94"/>
        <v>0</v>
      </c>
      <c r="CE49" s="15">
        <f t="shared" ca="1" si="49"/>
        <v>0</v>
      </c>
      <c r="CF49" s="15">
        <f t="shared" ca="1" si="50"/>
        <v>0</v>
      </c>
      <c r="CG49" s="286">
        <f t="shared" ca="1" si="51"/>
        <v>0</v>
      </c>
      <c r="CH49" s="15">
        <f t="shared" ca="1" si="52"/>
        <v>0</v>
      </c>
      <c r="CI49" s="288">
        <f t="shared" ca="1" si="53"/>
        <v>0</v>
      </c>
      <c r="CJ49" s="15">
        <f t="shared" ca="1" si="54"/>
        <v>0</v>
      </c>
      <c r="CK49" s="15">
        <f t="shared" ca="1" si="55"/>
        <v>0</v>
      </c>
      <c r="CL49" s="15">
        <f t="shared" ca="1" si="56"/>
        <v>0</v>
      </c>
      <c r="CM49" s="313">
        <f t="shared" ca="1" si="57"/>
        <v>1</v>
      </c>
      <c r="CO49" s="320">
        <f t="shared" ca="1" si="95"/>
        <v>38</v>
      </c>
      <c r="CP49" s="22">
        <f ca="1">COUNTIFS($C$10:$C48,"&lt;"&amp;$C49,$M$10:$M48,$D49&amp;"_"&amp;CP$9)</f>
        <v>0</v>
      </c>
      <c r="CQ49" s="7">
        <f ca="1">COUNTIFS($C$10:$C48,"&lt;"&amp;$C49,$M$10:$M48,$D49&amp;"_"&amp;CQ$9)</f>
        <v>0</v>
      </c>
      <c r="CR49" s="7">
        <f ca="1">COUNTIFS($C$10:$C48,"&lt;"&amp;$C49,$M$10:$M48,$D49&amp;"_"&amp;CR$9)</f>
        <v>0</v>
      </c>
      <c r="CS49" s="17">
        <f ca="1">COUNTIFS($C$10:$C48,"&lt;"&amp;$C49,$M$10:$M48,$D49&amp;"_"&amp;CS$9)</f>
        <v>0</v>
      </c>
      <c r="CT49" s="7">
        <f ca="1">COUNTIFS($C$10:$C48,"&lt;"&amp;$C49,$M$10:$M48,$D49&amp;"_"&amp;CT$9)</f>
        <v>0</v>
      </c>
      <c r="CU49" s="18">
        <f ca="1">COUNTIFS($C$10:$C48,"&lt;"&amp;$C49,$M$10:$M48,$D49&amp;"_"&amp;CU$9)</f>
        <v>0</v>
      </c>
      <c r="CV49" s="7">
        <f ca="1">COUNTIFS($C$10:$C48,"&lt;"&amp;$C49,$M$10:$M48,$D49&amp;"_"&amp;CV$9)</f>
        <v>0</v>
      </c>
      <c r="CW49" s="7">
        <f ca="1">COUNTIFS($C$10:$C48,"&lt;"&amp;$C49,$M$10:$M48,$D49&amp;"_"&amp;CW$9)</f>
        <v>0</v>
      </c>
      <c r="CX49" s="7">
        <f ca="1">COUNTIFS($C$10:$C48,"&lt;"&amp;$C49,$M$10:$M48,$D49&amp;"_"&amp;CX$9)</f>
        <v>0</v>
      </c>
      <c r="CY49" s="221">
        <f ca="1">COUNTIFS($C$10:$C48,"&lt;"&amp;$C49,$M$10:$M48,$D49&amp;"_"&amp;CY$9)</f>
        <v>38</v>
      </c>
      <c r="DA49" s="20"/>
      <c r="DB49" s="308">
        <f ca="1">IF(CP49=0,0,SUMIFS($P$10:$P48, $C$10:$C48,"&lt;"&amp;$C49, $M$10:$M48,$D49&amp;"_"&amp;DB$9)/CP49)</f>
        <v>0</v>
      </c>
      <c r="DC49" s="263">
        <f ca="1">IF(CQ49=0,0,SUMIFS($P$10:$P48, $C$10:$C48,"&lt;"&amp;$C49, $M$10:$M48,$D49&amp;"_"&amp;DC$9)/CQ49)</f>
        <v>0</v>
      </c>
      <c r="DD49" s="263">
        <f ca="1">IF(CR49=0,0,SUMIFS($P$10:$P48, $C$10:$C48,"&lt;"&amp;$C49, $M$10:$M48,$D49&amp;"_"&amp;DD$9)/CR49)</f>
        <v>0</v>
      </c>
      <c r="DE49" s="262">
        <f ca="1">IF(CS49=0,0,SUMIFS($P$10:$P48, $C$10:$C48,"&lt;"&amp;$C49, $M$10:$M48,$D49&amp;"_"&amp;DE$9)/CS49)</f>
        <v>0</v>
      </c>
      <c r="DF49" s="263">
        <f ca="1">IF(CT49=0,0,SUMIFS($P$10:$P48, $C$10:$C48,"&lt;"&amp;$C49, $M$10:$M48,$D49&amp;"_"&amp;DF$9)/CT49)</f>
        <v>0</v>
      </c>
      <c r="DG49" s="310">
        <f ca="1">IF(CU49=0,0,SUMIFS($P$10:$P48, $C$10:$C48,"&lt;"&amp;$C49, $M$10:$M48,$D49&amp;"_"&amp;DG$9)/CU49)</f>
        <v>0</v>
      </c>
      <c r="DH49" s="263">
        <f ca="1">IF(CV49=0,0,SUMIFS($P$10:$P48, $C$10:$C48,"&lt;"&amp;$C49, $M$10:$M48,$D49&amp;"_"&amp;DH$9)/CV49)</f>
        <v>0</v>
      </c>
      <c r="DI49" s="263">
        <f ca="1">IF(CW49=0,0,SUMIFS($P$10:$P48, $C$10:$C48,"&lt;"&amp;$C49, $M$10:$M48,$D49&amp;"_"&amp;DI$9)/CW49)</f>
        <v>0</v>
      </c>
      <c r="DJ49" s="264">
        <f ca="1">IF(CX49=0,0,SUMIFS($P$10:$P48, $C$10:$C48,"&lt;"&amp;$C49, $M$10:$M48,$D49&amp;"_"&amp;DJ$9)/CX49)</f>
        <v>0</v>
      </c>
      <c r="DK49" s="264">
        <f ca="1">IF(CY49=0,0,SUMIFS($P$10:$P48, $C$10:$C48,"&lt;"&amp;$C49, $M$10:$M48,$D49&amp;"_"&amp;DK$9)/CY49)</f>
        <v>-1</v>
      </c>
      <c r="DM49" s="104"/>
      <c r="DN49" s="306">
        <f t="shared" ca="1" si="96"/>
        <v>-9999</v>
      </c>
      <c r="DO49" s="15">
        <f t="shared" ca="1" si="58"/>
        <v>-9999</v>
      </c>
      <c r="DP49" s="15">
        <f t="shared" ca="1" si="59"/>
        <v>-9999</v>
      </c>
      <c r="DQ49" s="15">
        <f t="shared" ca="1" si="60"/>
        <v>-9999</v>
      </c>
      <c r="DR49" s="15">
        <f t="shared" ca="1" si="61"/>
        <v>-9999</v>
      </c>
      <c r="DS49" s="15">
        <f t="shared" ca="1" si="62"/>
        <v>-9999</v>
      </c>
      <c r="DT49" s="15">
        <f t="shared" ca="1" si="63"/>
        <v>-9999</v>
      </c>
      <c r="DU49" s="15">
        <f t="shared" ca="1" si="64"/>
        <v>-9999</v>
      </c>
      <c r="DV49" s="52">
        <f t="shared" ca="1" si="65"/>
        <v>-9999</v>
      </c>
      <c r="DW49" s="313">
        <f t="shared" ca="1" si="66"/>
        <v>-0.84193810248797496</v>
      </c>
      <c r="DX49" s="52"/>
      <c r="DY49" s="402">
        <f t="shared" ca="1" si="97"/>
        <v>9</v>
      </c>
      <c r="ED49" s="19">
        <f t="shared" ca="1" si="129"/>
        <v>-1</v>
      </c>
      <c r="EE49" s="1">
        <f t="shared" ca="1" si="130"/>
        <v>1</v>
      </c>
      <c r="EF49" s="1">
        <f t="shared" ca="1" si="131"/>
        <v>-1</v>
      </c>
      <c r="EG49" s="2">
        <f t="shared" ca="1" si="132"/>
        <v>1</v>
      </c>
      <c r="EH49" s="1">
        <f t="shared" ca="1" si="133"/>
        <v>-1</v>
      </c>
      <c r="EI49" s="3">
        <f t="shared" ca="1" si="134"/>
        <v>1</v>
      </c>
      <c r="EJ49" s="1">
        <f t="shared" ca="1" si="135"/>
        <v>0</v>
      </c>
      <c r="EK49" s="1">
        <f t="shared" ca="1" si="136"/>
        <v>0</v>
      </c>
      <c r="EL49" s="20">
        <f t="shared" ca="1" si="137"/>
        <v>-1</v>
      </c>
      <c r="EN49" s="86">
        <f ca="1">MAX(0, SUMPRODUCT($ED49:$EL49,OFFSET(DNN!$E$9:$M$9,EN$9,0)) + OFFSET(DNN!$D$9,EN$9,0))</f>
        <v>0</v>
      </c>
      <c r="EO49" s="84">
        <f ca="1">MAX(0, SUMPRODUCT($ED49:$EL49,OFFSET(DNN!$E$9:$M$9,EO$9,0)) + OFFSET(DNN!$D$9,EO$9,0))</f>
        <v>7.2346022384755949E-3</v>
      </c>
      <c r="EP49" s="84">
        <f ca="1">MAX(0, SUMPRODUCT($ED49:$EL49,OFFSET(DNN!$E$9:$M$9,EP$9,0)) + OFFSET(DNN!$D$9,EP$9,0))</f>
        <v>3.6951849750035152E-3</v>
      </c>
      <c r="EQ49" s="84">
        <f ca="1">MAX(0, SUMPRODUCT($ED49:$EL49,OFFSET(DNN!$E$9:$M$9,EQ$9,0)) + OFFSET(DNN!$D$9,EQ$9,0))</f>
        <v>0</v>
      </c>
      <c r="ER49" s="85">
        <f ca="1">MAX(0, SUMPRODUCT($ED49:$EL49,OFFSET(DNN!$E$9:$M$9,ER$9,0)) + OFFSET(DNN!$D$9,ER$9,0))</f>
        <v>0</v>
      </c>
      <c r="ET49" s="86">
        <f ca="1">MAX(0, SUMPRODUCT($EN49:$ER49,OFFSET(DNN!$Q$9:$U$9,ET$9,0)) + OFFSET(DNN!$P$9,ET$9,0))</f>
        <v>4.3954959453478351E-4</v>
      </c>
      <c r="EU49" s="84">
        <f ca="1">MAX(0, SUMPRODUCT($EN49:$ER49,OFFSET(DNN!$Q$9:$U$9,EU$9,0)) + OFFSET(DNN!$P$9,EU$9,0))</f>
        <v>0</v>
      </c>
      <c r="EV49" s="84">
        <f ca="1">MAX(0, SUMPRODUCT($EN49:$ER49,OFFSET(DNN!$Q$9:$U$9,EV$9,0)) + OFFSET(DNN!$P$9,EV$9,0))</f>
        <v>1.2810123361902579E-3</v>
      </c>
      <c r="EW49" s="84">
        <f ca="1">MAX(0, SUMPRODUCT($EN49:$ER49,OFFSET(DNN!$Q$9:$U$9,EW$9,0)) + OFFSET(DNN!$P$9,EW$9,0))</f>
        <v>7.8382123007882457E-4</v>
      </c>
      <c r="EX49" s="85">
        <f ca="1">MAX(0, SUMPRODUCT($EN49:$ER49,OFFSET(DNN!$Q$9:$U$9,EX$9,0)) + OFFSET(DNN!$P$9,EX$9,0))</f>
        <v>0</v>
      </c>
      <c r="EZ49" s="111">
        <f ca="1">SUMPRODUCT($ET49:$EX49,OFFSET(DNN!$Y$9:$AC$9,EZ$9,0)) + OFFSET(DNN!$X$9,EZ$9,0)</f>
        <v>0.43031618918982212</v>
      </c>
      <c r="FA49" s="97">
        <f ca="1">SUMPRODUCT($ET49:$EX49,OFFSET(DNN!$Y$9:$AC$9,FA$9,0)) + OFFSET(DNN!$X$9,FA$9,0)</f>
        <v>-1.2643439935754107E-5</v>
      </c>
      <c r="FB49" s="97">
        <f ca="1">SUMPRODUCT($ET49:$EX49,OFFSET(DNN!$Y$9:$AC$9,FB$9,0)) + OFFSET(DNN!$X$9,FB$9,0)</f>
        <v>1.5239793458415756E-2</v>
      </c>
      <c r="FC49" s="97">
        <f ca="1">SUMPRODUCT($ET49:$EX49,OFFSET(DNN!$Y$9:$AC$9,FC$9,0)) + OFFSET(DNN!$X$9,FC$9,0)</f>
        <v>-8.8749521084055777E-4</v>
      </c>
      <c r="FD49" s="97">
        <f ca="1">SUMPRODUCT($ET49:$EX49,OFFSET(DNN!$Y$9:$AC$9,FD$9,0)) + OFFSET(DNN!$X$9,FD$9,0)</f>
        <v>-4.235816470721872E-4</v>
      </c>
      <c r="FE49" s="97">
        <f ca="1">SUMPRODUCT($ET49:$EX49,OFFSET(DNN!$Y$9:$AC$9,FE$9,0)) + OFFSET(DNN!$X$9,FE$9,0)</f>
        <v>-1.574182761064886E-5</v>
      </c>
      <c r="FF49" s="97">
        <f ca="1">SUMPRODUCT($ET49:$EX49,OFFSET(DNN!$Y$9:$AC$9,FF$9,0)) + OFFSET(DNN!$X$9,FF$9,0)</f>
        <v>-1.3491460223194656E-3</v>
      </c>
      <c r="FG49" s="97">
        <f ca="1">SUMPRODUCT($ET49:$EX49,OFFSET(DNN!$Y$9:$AC$9,FG$9,0)) + OFFSET(DNN!$X$9,FG$9,0)</f>
        <v>-6.2604808096248285E-2</v>
      </c>
      <c r="FH49" s="97">
        <f ca="1">SUMPRODUCT($ET49:$EX49,OFFSET(DNN!$Y$9:$AC$9,FH$9,0)) + OFFSET(DNN!$X$9,FH$9,0)</f>
        <v>8.6810016937029894E-4</v>
      </c>
      <c r="FI49" s="108">
        <f ca="1">SUMPRODUCT($ET49:$EX49,OFFSET(DNN!$Y$9:$AC$9,FI$9,0)) + OFFSET(DNN!$X$9,FI$9,0)</f>
        <v>-1.3182687612562751</v>
      </c>
      <c r="FJ49" s="98">
        <f ca="1">SUMPRODUCT($ET49:$EX49,OFFSET(DNN!$Y$9:$AC$9,FJ$9,0)) + OFFSET(DNN!$X$9,FJ$9,0)</f>
        <v>-2.2535161745939301E-5</v>
      </c>
      <c r="FL49" s="415">
        <f t="shared" ca="1" si="98"/>
        <v>0.43031618918982212</v>
      </c>
      <c r="FM49" s="130">
        <f t="shared" ca="1" si="99"/>
        <v>1</v>
      </c>
      <c r="FN49" s="131">
        <f t="shared" ca="1" si="100"/>
        <v>0.65029522127322903</v>
      </c>
      <c r="FO49" s="131">
        <f t="shared" ca="1" si="101"/>
        <v>0.66028983545318687</v>
      </c>
      <c r="FP49" s="131">
        <f t="shared" ca="1" si="102"/>
        <v>0.64972655813153501</v>
      </c>
      <c r="FQ49" s="131">
        <f t="shared" ca="1" si="103"/>
        <v>0.65002804502111444</v>
      </c>
      <c r="FR49" s="131">
        <f t="shared" ca="1" si="104"/>
        <v>0.65029320640965171</v>
      </c>
      <c r="FS49" s="131">
        <f t="shared" ca="1" si="105"/>
        <v>0.64942668056342145</v>
      </c>
      <c r="FT49" s="131">
        <f t="shared" ca="1" si="106"/>
        <v>0.61083952513994022</v>
      </c>
      <c r="FU49" s="132">
        <f t="shared" ca="1" si="107"/>
        <v>0.6508682169276182</v>
      </c>
      <c r="FV49" s="131">
        <f t="shared" ca="1" si="108"/>
        <v>0.17402001625314881</v>
      </c>
      <c r="FW49" s="83">
        <f t="shared" ca="1" si="109"/>
        <v>-2.2535161742124597E-5</v>
      </c>
    </row>
    <row r="50" spans="1:179">
      <c r="A50" s="19">
        <f t="shared" si="117"/>
        <v>40</v>
      </c>
      <c r="B50" s="1">
        <f t="shared" ca="1" si="111"/>
        <v>0</v>
      </c>
      <c r="C50" s="20">
        <f t="shared" ca="1" si="112"/>
        <v>40</v>
      </c>
      <c r="D50" s="19" t="str">
        <f t="shared" ca="1" si="113"/>
        <v>〇×〇×〇×--〇</v>
      </c>
      <c r="E50" s="7">
        <f t="shared" ca="1" si="77"/>
        <v>9</v>
      </c>
      <c r="F50" s="7">
        <f t="shared" ca="1" si="78"/>
        <v>1</v>
      </c>
      <c r="G50" s="1" t="str">
        <f t="shared" ca="1" si="138"/>
        <v>〇×〇×〇×--〇</v>
      </c>
      <c r="H50" s="20" t="b">
        <f t="shared" ca="1" si="118"/>
        <v>1</v>
      </c>
      <c r="I50" s="22">
        <f t="shared" ca="1" si="114"/>
        <v>-1</v>
      </c>
      <c r="J50" s="1" t="b">
        <f ca="1">(1&lt;COUNTIF(D$10:D50,D50))</f>
        <v>1</v>
      </c>
      <c r="K50" s="1" t="b">
        <f t="shared" ca="1" si="81"/>
        <v>1</v>
      </c>
      <c r="L50" s="7">
        <f ca="1">MATCH(TRUE,K50:K$1048576,FALSE)-1</f>
        <v>0</v>
      </c>
      <c r="M50" s="24" t="str">
        <f t="shared" ca="1" si="119"/>
        <v>〇×〇×〇×--〇_9</v>
      </c>
      <c r="N50" s="25">
        <f t="shared" ca="1" si="82"/>
        <v>-2.2535161742124597E-5</v>
      </c>
      <c r="O50" s="26">
        <f t="shared" ca="1" si="83"/>
        <v>-1</v>
      </c>
      <c r="P50" s="27">
        <f t="shared" ca="1" si="84"/>
        <v>-1</v>
      </c>
      <c r="R50" s="41" t="str">
        <f ca="1">VLOOKUP(S50,cvt!$B$2:$C$4,2,FALSE)&amp;VLOOKUP(T50,cvt!$B$2:$C$4,2,FALSE)&amp;VLOOKUP(U50,cvt!$B$2:$C$4,2,FALSE)
&amp;VLOOKUP(V50,cvt!$B$2:$C$4,2,FALSE)&amp;VLOOKUP(W50,cvt!$B$2:$C$4,2,FALSE)&amp;VLOOKUP(X50,cvt!$B$2:$C$4,2,FALSE)
&amp;VLOOKUP(Y50,cvt!$B$2:$C$4,2,FALSE)&amp;VLOOKUP(Z50,cvt!$B$2:$C$4,2,FALSE)&amp;VLOOKUP(AA50,cvt!$B$2:$C$4,2,FALSE)</f>
        <v>〇×〇×〇×--〇</v>
      </c>
      <c r="S50" s="7">
        <f ca="1">VLOOKUP(MID($D50,S$9+1,1), cvt!$A$2:$B$4,2, FALSE)</f>
        <v>1</v>
      </c>
      <c r="T50" s="7">
        <f ca="1">VLOOKUP(MID($D50,T$9+1,1), cvt!$A$2:$B$4,2, FALSE)</f>
        <v>-1</v>
      </c>
      <c r="U50" s="7">
        <f ca="1">VLOOKUP(MID($D50,U$9+1,1), cvt!$A$2:$B$4,2, FALSE)</f>
        <v>1</v>
      </c>
      <c r="V50" s="17">
        <f ca="1">VLOOKUP(MID($D50,V$9+1,1), cvt!$A$2:$B$4,2, FALSE)</f>
        <v>-1</v>
      </c>
      <c r="W50" s="7">
        <f ca="1">VLOOKUP(MID($D50,W$9+1,1), cvt!$A$2:$B$4,2, FALSE)</f>
        <v>1</v>
      </c>
      <c r="X50" s="18">
        <f ca="1">VLOOKUP(MID($D50,X$9+1,1), cvt!$A$2:$B$4,2, FALSE)</f>
        <v>-1</v>
      </c>
      <c r="Y50" s="7">
        <f ca="1">VLOOKUP(MID($D50,Y$9+1,1), cvt!$A$2:$B$4,2, FALSE)</f>
        <v>0</v>
      </c>
      <c r="Z50" s="7">
        <f ca="1">VLOOKUP(MID($D50,Z$9+1,1), cvt!$A$2:$B$4,2, FALSE)</f>
        <v>0</v>
      </c>
      <c r="AA50" s="42">
        <f ca="1">VLOOKUP(MID($D50,AA$9+1,1), cvt!$A$2:$B$4,2, FALSE)</f>
        <v>1</v>
      </c>
      <c r="AB50" s="7">
        <f t="shared" ca="1" si="85"/>
        <v>1</v>
      </c>
      <c r="AC50" s="50" t="b">
        <f t="shared" ca="1" si="86"/>
        <v>1</v>
      </c>
      <c r="AE50" s="19" t="str">
        <f ca="1">VLOOKUP(AF50,cvt!$B$2:$C$4,2,FALSE)&amp;VLOOKUP(AG50,cvt!$B$2:$C$4,2,FALSE)&amp;VLOOKUP(AH50,cvt!$B$2:$C$4,2,FALSE)
&amp;VLOOKUP(AI50,cvt!$B$2:$C$4,2,FALSE)&amp;VLOOKUP(AJ50,cvt!$B$2:$C$4,2,FALSE)&amp;VLOOKUP(AK50,cvt!$B$2:$C$4,2,FALSE)
&amp;VLOOKUP(AL50,cvt!$B$2:$C$4,2,FALSE)&amp;VLOOKUP(AM50,cvt!$B$2:$C$4,2,FALSE)&amp;VLOOKUP(AN50,cvt!$B$2:$C$4,2,FALSE)</f>
        <v>〇×〇×〇×--〇</v>
      </c>
      <c r="AF50" s="17">
        <f t="shared" ca="1" si="120"/>
        <v>1</v>
      </c>
      <c r="AG50" s="7">
        <f t="shared" ca="1" si="121"/>
        <v>-1</v>
      </c>
      <c r="AH50" s="7">
        <f t="shared" ca="1" si="122"/>
        <v>1</v>
      </c>
      <c r="AI50" s="17">
        <f t="shared" ca="1" si="123"/>
        <v>-1</v>
      </c>
      <c r="AJ50" s="7">
        <f t="shared" ca="1" si="124"/>
        <v>1</v>
      </c>
      <c r="AK50" s="18">
        <f t="shared" ca="1" si="125"/>
        <v>-1</v>
      </c>
      <c r="AL50" s="7">
        <f t="shared" ca="1" si="126"/>
        <v>0</v>
      </c>
      <c r="AM50" s="7">
        <f t="shared" ca="1" si="127"/>
        <v>0</v>
      </c>
      <c r="AN50" s="18">
        <f t="shared" ca="1" si="128"/>
        <v>1</v>
      </c>
      <c r="AO50" s="7">
        <f t="shared" ca="1" si="115"/>
        <v>1</v>
      </c>
      <c r="AP50" s="50" t="b">
        <f t="shared" ca="1" si="87"/>
        <v>1</v>
      </c>
      <c r="AS50" s="22">
        <f t="shared" ca="1" si="88"/>
        <v>0</v>
      </c>
      <c r="AT50" s="7">
        <f t="shared" ca="1" si="23"/>
        <v>0</v>
      </c>
      <c r="AU50" s="7">
        <f t="shared" ca="1" si="24"/>
        <v>0</v>
      </c>
      <c r="AV50" s="7">
        <f t="shared" ca="1" si="25"/>
        <v>0</v>
      </c>
      <c r="AW50" s="7">
        <f t="shared" ca="1" si="26"/>
        <v>0</v>
      </c>
      <c r="AX50" s="7">
        <f t="shared" ca="1" si="27"/>
        <v>0</v>
      </c>
      <c r="AY50" s="7">
        <f t="shared" ca="1" si="28"/>
        <v>0</v>
      </c>
      <c r="AZ50" s="7">
        <f t="shared" ca="1" si="29"/>
        <v>0</v>
      </c>
      <c r="BA50" s="18">
        <f t="shared" ca="1" si="30"/>
        <v>0</v>
      </c>
      <c r="BB50" s="295">
        <f t="shared" ca="1" si="89"/>
        <v>1</v>
      </c>
      <c r="BD50" s="132"/>
      <c r="BE50" s="297">
        <f t="shared" ca="1" si="90"/>
        <v>1</v>
      </c>
      <c r="BF50" s="298">
        <f t="shared" ca="1" si="31"/>
        <v>0.65029522127322903</v>
      </c>
      <c r="BG50" s="298">
        <f t="shared" ca="1" si="32"/>
        <v>0.66028983545318687</v>
      </c>
      <c r="BH50" s="318">
        <f t="shared" ca="1" si="33"/>
        <v>0.64972655813153501</v>
      </c>
      <c r="BI50" s="298">
        <f t="shared" ca="1" si="34"/>
        <v>0.65002804502111444</v>
      </c>
      <c r="BJ50" s="299">
        <f t="shared" ca="1" si="35"/>
        <v>0.65029320640965171</v>
      </c>
      <c r="BK50" s="298">
        <f t="shared" ca="1" si="36"/>
        <v>0.64942668056342145</v>
      </c>
      <c r="BL50" s="298">
        <f t="shared" ca="1" si="37"/>
        <v>0.61083952513994022</v>
      </c>
      <c r="BM50" s="299">
        <f t="shared" ca="1" si="38"/>
        <v>0.6508682169276182</v>
      </c>
      <c r="BN50" s="295">
        <f t="shared" ca="1" si="39"/>
        <v>0.17402001625314881</v>
      </c>
      <c r="BO50" s="248">
        <f t="shared" ca="1" si="91"/>
        <v>-2.2535161742124597E-5</v>
      </c>
      <c r="BQ50" s="304">
        <f t="shared" ca="1" si="92"/>
        <v>0.42412001625314877</v>
      </c>
      <c r="BR50" s="297">
        <f t="shared" ca="1" si="93"/>
        <v>0</v>
      </c>
      <c r="BS50" s="298">
        <f t="shared" ca="1" si="40"/>
        <v>0</v>
      </c>
      <c r="BT50" s="298">
        <f t="shared" ca="1" si="41"/>
        <v>0</v>
      </c>
      <c r="BU50" s="318">
        <f t="shared" ca="1" si="42"/>
        <v>0</v>
      </c>
      <c r="BV50" s="298">
        <f t="shared" ca="1" si="43"/>
        <v>0</v>
      </c>
      <c r="BW50" s="299">
        <f t="shared" ca="1" si="44"/>
        <v>0</v>
      </c>
      <c r="BX50" s="298">
        <f t="shared" ca="1" si="45"/>
        <v>0</v>
      </c>
      <c r="BY50" s="298">
        <f t="shared" ca="1" si="46"/>
        <v>0</v>
      </c>
      <c r="BZ50" s="298">
        <f t="shared" ca="1" si="47"/>
        <v>0</v>
      </c>
      <c r="CA50" s="315">
        <f t="shared" ca="1" si="48"/>
        <v>0.42412001625314877</v>
      </c>
      <c r="CC50" s="52"/>
      <c r="CD50" s="306">
        <f t="shared" ca="1" si="94"/>
        <v>0</v>
      </c>
      <c r="CE50" s="15">
        <f t="shared" ca="1" si="49"/>
        <v>0</v>
      </c>
      <c r="CF50" s="15">
        <f t="shared" ca="1" si="50"/>
        <v>0</v>
      </c>
      <c r="CG50" s="286">
        <f t="shared" ca="1" si="51"/>
        <v>0</v>
      </c>
      <c r="CH50" s="15">
        <f t="shared" ca="1" si="52"/>
        <v>0</v>
      </c>
      <c r="CI50" s="288">
        <f t="shared" ca="1" si="53"/>
        <v>0</v>
      </c>
      <c r="CJ50" s="15">
        <f t="shared" ca="1" si="54"/>
        <v>0</v>
      </c>
      <c r="CK50" s="15">
        <f t="shared" ca="1" si="55"/>
        <v>0</v>
      </c>
      <c r="CL50" s="15">
        <f t="shared" ca="1" si="56"/>
        <v>0</v>
      </c>
      <c r="CM50" s="313">
        <f t="shared" ca="1" si="57"/>
        <v>1</v>
      </c>
      <c r="CO50" s="320">
        <f t="shared" ca="1" si="95"/>
        <v>39</v>
      </c>
      <c r="CP50" s="22">
        <f ca="1">COUNTIFS($C$10:$C49,"&lt;"&amp;$C50,$M$10:$M49,$D50&amp;"_"&amp;CP$9)</f>
        <v>0</v>
      </c>
      <c r="CQ50" s="7">
        <f ca="1">COUNTIFS($C$10:$C49,"&lt;"&amp;$C50,$M$10:$M49,$D50&amp;"_"&amp;CQ$9)</f>
        <v>0</v>
      </c>
      <c r="CR50" s="7">
        <f ca="1">COUNTIFS($C$10:$C49,"&lt;"&amp;$C50,$M$10:$M49,$D50&amp;"_"&amp;CR$9)</f>
        <v>0</v>
      </c>
      <c r="CS50" s="17">
        <f ca="1">COUNTIFS($C$10:$C49,"&lt;"&amp;$C50,$M$10:$M49,$D50&amp;"_"&amp;CS$9)</f>
        <v>0</v>
      </c>
      <c r="CT50" s="7">
        <f ca="1">COUNTIFS($C$10:$C49,"&lt;"&amp;$C50,$M$10:$M49,$D50&amp;"_"&amp;CT$9)</f>
        <v>0</v>
      </c>
      <c r="CU50" s="18">
        <f ca="1">COUNTIFS($C$10:$C49,"&lt;"&amp;$C50,$M$10:$M49,$D50&amp;"_"&amp;CU$9)</f>
        <v>0</v>
      </c>
      <c r="CV50" s="7">
        <f ca="1">COUNTIFS($C$10:$C49,"&lt;"&amp;$C50,$M$10:$M49,$D50&amp;"_"&amp;CV$9)</f>
        <v>0</v>
      </c>
      <c r="CW50" s="7">
        <f ca="1">COUNTIFS($C$10:$C49,"&lt;"&amp;$C50,$M$10:$M49,$D50&amp;"_"&amp;CW$9)</f>
        <v>0</v>
      </c>
      <c r="CX50" s="7">
        <f ca="1">COUNTIFS($C$10:$C49,"&lt;"&amp;$C50,$M$10:$M49,$D50&amp;"_"&amp;CX$9)</f>
        <v>0</v>
      </c>
      <c r="CY50" s="221">
        <f ca="1">COUNTIFS($C$10:$C49,"&lt;"&amp;$C50,$M$10:$M49,$D50&amp;"_"&amp;CY$9)</f>
        <v>39</v>
      </c>
      <c r="DA50" s="20"/>
      <c r="DB50" s="308">
        <f ca="1">IF(CP50=0,0,SUMIFS($P$10:$P49, $C$10:$C49,"&lt;"&amp;$C50, $M$10:$M49,$D50&amp;"_"&amp;DB$9)/CP50)</f>
        <v>0</v>
      </c>
      <c r="DC50" s="263">
        <f ca="1">IF(CQ50=0,0,SUMIFS($P$10:$P49, $C$10:$C49,"&lt;"&amp;$C50, $M$10:$M49,$D50&amp;"_"&amp;DC$9)/CQ50)</f>
        <v>0</v>
      </c>
      <c r="DD50" s="263">
        <f ca="1">IF(CR50=0,0,SUMIFS($P$10:$P49, $C$10:$C49,"&lt;"&amp;$C50, $M$10:$M49,$D50&amp;"_"&amp;DD$9)/CR50)</f>
        <v>0</v>
      </c>
      <c r="DE50" s="262">
        <f ca="1">IF(CS50=0,0,SUMIFS($P$10:$P49, $C$10:$C49,"&lt;"&amp;$C50, $M$10:$M49,$D50&amp;"_"&amp;DE$9)/CS50)</f>
        <v>0</v>
      </c>
      <c r="DF50" s="263">
        <f ca="1">IF(CT50=0,0,SUMIFS($P$10:$P49, $C$10:$C49,"&lt;"&amp;$C50, $M$10:$M49,$D50&amp;"_"&amp;DF$9)/CT50)</f>
        <v>0</v>
      </c>
      <c r="DG50" s="310">
        <f ca="1">IF(CU50=0,0,SUMIFS($P$10:$P49, $C$10:$C49,"&lt;"&amp;$C50, $M$10:$M49,$D50&amp;"_"&amp;DG$9)/CU50)</f>
        <v>0</v>
      </c>
      <c r="DH50" s="263">
        <f ca="1">IF(CV50=0,0,SUMIFS($P$10:$P49, $C$10:$C49,"&lt;"&amp;$C50, $M$10:$M49,$D50&amp;"_"&amp;DH$9)/CV50)</f>
        <v>0</v>
      </c>
      <c r="DI50" s="263">
        <f ca="1">IF(CW50=0,0,SUMIFS($P$10:$P49, $C$10:$C49,"&lt;"&amp;$C50, $M$10:$M49,$D50&amp;"_"&amp;DI$9)/CW50)</f>
        <v>0</v>
      </c>
      <c r="DJ50" s="264">
        <f ca="1">IF(CX50=0,0,SUMIFS($P$10:$P49, $C$10:$C49,"&lt;"&amp;$C50, $M$10:$M49,$D50&amp;"_"&amp;DJ$9)/CX50)</f>
        <v>0</v>
      </c>
      <c r="DK50" s="264">
        <f ca="1">IF(CY50=0,0,SUMIFS($P$10:$P49, $C$10:$C49,"&lt;"&amp;$C50, $M$10:$M49,$D50&amp;"_"&amp;DK$9)/CY50)</f>
        <v>-1</v>
      </c>
      <c r="DM50" s="104"/>
      <c r="DN50" s="306">
        <f t="shared" ca="1" si="96"/>
        <v>-9999</v>
      </c>
      <c r="DO50" s="15">
        <f t="shared" ca="1" si="58"/>
        <v>-9999</v>
      </c>
      <c r="DP50" s="15">
        <f t="shared" ca="1" si="59"/>
        <v>-9999</v>
      </c>
      <c r="DQ50" s="15">
        <f t="shared" ca="1" si="60"/>
        <v>-9999</v>
      </c>
      <c r="DR50" s="15">
        <f t="shared" ca="1" si="61"/>
        <v>-9999</v>
      </c>
      <c r="DS50" s="15">
        <f t="shared" ca="1" si="62"/>
        <v>-9999</v>
      </c>
      <c r="DT50" s="15">
        <f t="shared" ca="1" si="63"/>
        <v>-9999</v>
      </c>
      <c r="DU50" s="15">
        <f t="shared" ca="1" si="64"/>
        <v>-9999</v>
      </c>
      <c r="DV50" s="52">
        <f t="shared" ca="1" si="65"/>
        <v>-9999</v>
      </c>
      <c r="DW50" s="313">
        <f t="shared" ca="1" si="66"/>
        <v>-0.84387505004004004</v>
      </c>
      <c r="DX50" s="52"/>
      <c r="DY50" s="402">
        <f t="shared" ca="1" si="97"/>
        <v>9</v>
      </c>
      <c r="ED50" s="19">
        <f t="shared" ca="1" si="129"/>
        <v>-1</v>
      </c>
      <c r="EE50" s="1">
        <f t="shared" ca="1" si="130"/>
        <v>1</v>
      </c>
      <c r="EF50" s="1">
        <f t="shared" ca="1" si="131"/>
        <v>-1</v>
      </c>
      <c r="EG50" s="2">
        <f t="shared" ca="1" si="132"/>
        <v>1</v>
      </c>
      <c r="EH50" s="1">
        <f t="shared" ca="1" si="133"/>
        <v>-1</v>
      </c>
      <c r="EI50" s="3">
        <f t="shared" ca="1" si="134"/>
        <v>1</v>
      </c>
      <c r="EJ50" s="1">
        <f t="shared" ca="1" si="135"/>
        <v>0</v>
      </c>
      <c r="EK50" s="1">
        <f t="shared" ca="1" si="136"/>
        <v>0</v>
      </c>
      <c r="EL50" s="20">
        <f t="shared" ca="1" si="137"/>
        <v>-1</v>
      </c>
      <c r="EN50" s="86">
        <f ca="1">MAX(0, SUMPRODUCT($ED50:$EL50,OFFSET(DNN!$E$9:$M$9,EN$9,0)) + OFFSET(DNN!$D$9,EN$9,0))</f>
        <v>0</v>
      </c>
      <c r="EO50" s="84">
        <f ca="1">MAX(0, SUMPRODUCT($ED50:$EL50,OFFSET(DNN!$E$9:$M$9,EO$9,0)) + OFFSET(DNN!$D$9,EO$9,0))</f>
        <v>7.2346022384755949E-3</v>
      </c>
      <c r="EP50" s="84">
        <f ca="1">MAX(0, SUMPRODUCT($ED50:$EL50,OFFSET(DNN!$E$9:$M$9,EP$9,0)) + OFFSET(DNN!$D$9,EP$9,0))</f>
        <v>3.6951849750035152E-3</v>
      </c>
      <c r="EQ50" s="84">
        <f ca="1">MAX(0, SUMPRODUCT($ED50:$EL50,OFFSET(DNN!$E$9:$M$9,EQ$9,0)) + OFFSET(DNN!$D$9,EQ$9,0))</f>
        <v>0</v>
      </c>
      <c r="ER50" s="85">
        <f ca="1">MAX(0, SUMPRODUCT($ED50:$EL50,OFFSET(DNN!$E$9:$M$9,ER$9,0)) + OFFSET(DNN!$D$9,ER$9,0))</f>
        <v>0</v>
      </c>
      <c r="ET50" s="86">
        <f ca="1">MAX(0, SUMPRODUCT($EN50:$ER50,OFFSET(DNN!$Q$9:$U$9,ET$9,0)) + OFFSET(DNN!$P$9,ET$9,0))</f>
        <v>4.3954959453478351E-4</v>
      </c>
      <c r="EU50" s="84">
        <f ca="1">MAX(0, SUMPRODUCT($EN50:$ER50,OFFSET(DNN!$Q$9:$U$9,EU$9,0)) + OFFSET(DNN!$P$9,EU$9,0))</f>
        <v>0</v>
      </c>
      <c r="EV50" s="84">
        <f ca="1">MAX(0, SUMPRODUCT($EN50:$ER50,OFFSET(DNN!$Q$9:$U$9,EV$9,0)) + OFFSET(DNN!$P$9,EV$9,0))</f>
        <v>1.2810123361902579E-3</v>
      </c>
      <c r="EW50" s="84">
        <f ca="1">MAX(0, SUMPRODUCT($EN50:$ER50,OFFSET(DNN!$Q$9:$U$9,EW$9,0)) + OFFSET(DNN!$P$9,EW$9,0))</f>
        <v>7.8382123007882457E-4</v>
      </c>
      <c r="EX50" s="85">
        <f ca="1">MAX(0, SUMPRODUCT($EN50:$ER50,OFFSET(DNN!$Q$9:$U$9,EX$9,0)) + OFFSET(DNN!$P$9,EX$9,0))</f>
        <v>0</v>
      </c>
      <c r="EZ50" s="111">
        <f ca="1">SUMPRODUCT($ET50:$EX50,OFFSET(DNN!$Y$9:$AC$9,EZ$9,0)) + OFFSET(DNN!$X$9,EZ$9,0)</f>
        <v>0.43031618918982212</v>
      </c>
      <c r="FA50" s="97">
        <f ca="1">SUMPRODUCT($ET50:$EX50,OFFSET(DNN!$Y$9:$AC$9,FA$9,0)) + OFFSET(DNN!$X$9,FA$9,0)</f>
        <v>-1.2643439935754107E-5</v>
      </c>
      <c r="FB50" s="97">
        <f ca="1">SUMPRODUCT($ET50:$EX50,OFFSET(DNN!$Y$9:$AC$9,FB$9,0)) + OFFSET(DNN!$X$9,FB$9,0)</f>
        <v>1.5239793458415756E-2</v>
      </c>
      <c r="FC50" s="97">
        <f ca="1">SUMPRODUCT($ET50:$EX50,OFFSET(DNN!$Y$9:$AC$9,FC$9,0)) + OFFSET(DNN!$X$9,FC$9,0)</f>
        <v>-8.8749521084055777E-4</v>
      </c>
      <c r="FD50" s="97">
        <f ca="1">SUMPRODUCT($ET50:$EX50,OFFSET(DNN!$Y$9:$AC$9,FD$9,0)) + OFFSET(DNN!$X$9,FD$9,0)</f>
        <v>-4.235816470721872E-4</v>
      </c>
      <c r="FE50" s="97">
        <f ca="1">SUMPRODUCT($ET50:$EX50,OFFSET(DNN!$Y$9:$AC$9,FE$9,0)) + OFFSET(DNN!$X$9,FE$9,0)</f>
        <v>-1.574182761064886E-5</v>
      </c>
      <c r="FF50" s="97">
        <f ca="1">SUMPRODUCT($ET50:$EX50,OFFSET(DNN!$Y$9:$AC$9,FF$9,0)) + OFFSET(DNN!$X$9,FF$9,0)</f>
        <v>-1.3491460223194656E-3</v>
      </c>
      <c r="FG50" s="97">
        <f ca="1">SUMPRODUCT($ET50:$EX50,OFFSET(DNN!$Y$9:$AC$9,FG$9,0)) + OFFSET(DNN!$X$9,FG$9,0)</f>
        <v>-6.2604808096248285E-2</v>
      </c>
      <c r="FH50" s="97">
        <f ca="1">SUMPRODUCT($ET50:$EX50,OFFSET(DNN!$Y$9:$AC$9,FH$9,0)) + OFFSET(DNN!$X$9,FH$9,0)</f>
        <v>8.6810016937029894E-4</v>
      </c>
      <c r="FI50" s="108">
        <f ca="1">SUMPRODUCT($ET50:$EX50,OFFSET(DNN!$Y$9:$AC$9,FI$9,0)) + OFFSET(DNN!$X$9,FI$9,0)</f>
        <v>-1.3182687612562751</v>
      </c>
      <c r="FJ50" s="98">
        <f ca="1">SUMPRODUCT($ET50:$EX50,OFFSET(DNN!$Y$9:$AC$9,FJ$9,0)) + OFFSET(DNN!$X$9,FJ$9,0)</f>
        <v>-2.2535161745939301E-5</v>
      </c>
      <c r="FL50" s="415">
        <f t="shared" ca="1" si="98"/>
        <v>0.43031618918982212</v>
      </c>
      <c r="FM50" s="130">
        <f t="shared" ca="1" si="99"/>
        <v>1</v>
      </c>
      <c r="FN50" s="131">
        <f t="shared" ca="1" si="100"/>
        <v>0.65029522127322903</v>
      </c>
      <c r="FO50" s="131">
        <f t="shared" ca="1" si="101"/>
        <v>0.66028983545318687</v>
      </c>
      <c r="FP50" s="131">
        <f t="shared" ca="1" si="102"/>
        <v>0.64972655813153501</v>
      </c>
      <c r="FQ50" s="131">
        <f t="shared" ca="1" si="103"/>
        <v>0.65002804502111444</v>
      </c>
      <c r="FR50" s="131">
        <f t="shared" ca="1" si="104"/>
        <v>0.65029320640965171</v>
      </c>
      <c r="FS50" s="131">
        <f t="shared" ca="1" si="105"/>
        <v>0.64942668056342145</v>
      </c>
      <c r="FT50" s="131">
        <f t="shared" ca="1" si="106"/>
        <v>0.61083952513994022</v>
      </c>
      <c r="FU50" s="132">
        <f t="shared" ca="1" si="107"/>
        <v>0.6508682169276182</v>
      </c>
      <c r="FV50" s="131">
        <f t="shared" ca="1" si="108"/>
        <v>0.17402001625314881</v>
      </c>
      <c r="FW50" s="83">
        <f t="shared" ca="1" si="109"/>
        <v>-2.2535161742124597E-5</v>
      </c>
    </row>
    <row r="51" spans="1:179">
      <c r="A51" s="19">
        <f t="shared" si="117"/>
        <v>41</v>
      </c>
      <c r="B51" s="1">
        <f t="shared" ca="1" si="111"/>
        <v>0</v>
      </c>
      <c r="C51" s="20">
        <f t="shared" ca="1" si="112"/>
        <v>41</v>
      </c>
      <c r="D51" s="19" t="str">
        <f t="shared" ca="1" si="113"/>
        <v>〇×〇×〇×--〇</v>
      </c>
      <c r="E51" s="7">
        <f t="shared" ca="1" si="77"/>
        <v>9</v>
      </c>
      <c r="F51" s="7">
        <f t="shared" ca="1" si="78"/>
        <v>1</v>
      </c>
      <c r="G51" s="1" t="str">
        <f t="shared" ca="1" si="138"/>
        <v>〇×〇×〇×--〇</v>
      </c>
      <c r="H51" s="20" t="b">
        <f t="shared" ca="1" si="118"/>
        <v>1</v>
      </c>
      <c r="I51" s="22">
        <f t="shared" ca="1" si="114"/>
        <v>-1</v>
      </c>
      <c r="J51" s="1" t="b">
        <f ca="1">(1&lt;COUNTIF(D$10:D51,D51))</f>
        <v>1</v>
      </c>
      <c r="K51" s="1" t="b">
        <f t="shared" ca="1" si="81"/>
        <v>1</v>
      </c>
      <c r="L51" s="7">
        <f ca="1">MATCH(TRUE,K51:K$1048576,FALSE)-1</f>
        <v>0</v>
      </c>
      <c r="M51" s="24" t="str">
        <f t="shared" ca="1" si="119"/>
        <v>〇×〇×〇×--〇_9</v>
      </c>
      <c r="N51" s="25">
        <f t="shared" ca="1" si="82"/>
        <v>-2.2535161742124597E-5</v>
      </c>
      <c r="O51" s="26">
        <f t="shared" ca="1" si="83"/>
        <v>-1</v>
      </c>
      <c r="P51" s="27">
        <f t="shared" ca="1" si="84"/>
        <v>-1</v>
      </c>
      <c r="R51" s="41" t="str">
        <f ca="1">VLOOKUP(S51,cvt!$B$2:$C$4,2,FALSE)&amp;VLOOKUP(T51,cvt!$B$2:$C$4,2,FALSE)&amp;VLOOKUP(U51,cvt!$B$2:$C$4,2,FALSE)
&amp;VLOOKUP(V51,cvt!$B$2:$C$4,2,FALSE)&amp;VLOOKUP(W51,cvt!$B$2:$C$4,2,FALSE)&amp;VLOOKUP(X51,cvt!$B$2:$C$4,2,FALSE)
&amp;VLOOKUP(Y51,cvt!$B$2:$C$4,2,FALSE)&amp;VLOOKUP(Z51,cvt!$B$2:$C$4,2,FALSE)&amp;VLOOKUP(AA51,cvt!$B$2:$C$4,2,FALSE)</f>
        <v>〇×〇×〇×--〇</v>
      </c>
      <c r="S51" s="7">
        <f ca="1">VLOOKUP(MID($D51,S$9+1,1), cvt!$A$2:$B$4,2, FALSE)</f>
        <v>1</v>
      </c>
      <c r="T51" s="7">
        <f ca="1">VLOOKUP(MID($D51,T$9+1,1), cvt!$A$2:$B$4,2, FALSE)</f>
        <v>-1</v>
      </c>
      <c r="U51" s="7">
        <f ca="1">VLOOKUP(MID($D51,U$9+1,1), cvt!$A$2:$B$4,2, FALSE)</f>
        <v>1</v>
      </c>
      <c r="V51" s="17">
        <f ca="1">VLOOKUP(MID($D51,V$9+1,1), cvt!$A$2:$B$4,2, FALSE)</f>
        <v>-1</v>
      </c>
      <c r="W51" s="7">
        <f ca="1">VLOOKUP(MID($D51,W$9+1,1), cvt!$A$2:$B$4,2, FALSE)</f>
        <v>1</v>
      </c>
      <c r="X51" s="18">
        <f ca="1">VLOOKUP(MID($D51,X$9+1,1), cvt!$A$2:$B$4,2, FALSE)</f>
        <v>-1</v>
      </c>
      <c r="Y51" s="7">
        <f ca="1">VLOOKUP(MID($D51,Y$9+1,1), cvt!$A$2:$B$4,2, FALSE)</f>
        <v>0</v>
      </c>
      <c r="Z51" s="7">
        <f ca="1">VLOOKUP(MID($D51,Z$9+1,1), cvt!$A$2:$B$4,2, FALSE)</f>
        <v>0</v>
      </c>
      <c r="AA51" s="42">
        <f ca="1">VLOOKUP(MID($D51,AA$9+1,1), cvt!$A$2:$B$4,2, FALSE)</f>
        <v>1</v>
      </c>
      <c r="AB51" s="7">
        <f t="shared" ca="1" si="85"/>
        <v>1</v>
      </c>
      <c r="AC51" s="50" t="b">
        <f t="shared" ca="1" si="86"/>
        <v>1</v>
      </c>
      <c r="AE51" s="19" t="str">
        <f ca="1">VLOOKUP(AF51,cvt!$B$2:$C$4,2,FALSE)&amp;VLOOKUP(AG51,cvt!$B$2:$C$4,2,FALSE)&amp;VLOOKUP(AH51,cvt!$B$2:$C$4,2,FALSE)
&amp;VLOOKUP(AI51,cvt!$B$2:$C$4,2,FALSE)&amp;VLOOKUP(AJ51,cvt!$B$2:$C$4,2,FALSE)&amp;VLOOKUP(AK51,cvt!$B$2:$C$4,2,FALSE)
&amp;VLOOKUP(AL51,cvt!$B$2:$C$4,2,FALSE)&amp;VLOOKUP(AM51,cvt!$B$2:$C$4,2,FALSE)&amp;VLOOKUP(AN51,cvt!$B$2:$C$4,2,FALSE)</f>
        <v>〇×〇×〇×--〇</v>
      </c>
      <c r="AF51" s="17">
        <f t="shared" ca="1" si="120"/>
        <v>1</v>
      </c>
      <c r="AG51" s="7">
        <f t="shared" ca="1" si="121"/>
        <v>-1</v>
      </c>
      <c r="AH51" s="7">
        <f t="shared" ca="1" si="122"/>
        <v>1</v>
      </c>
      <c r="AI51" s="17">
        <f t="shared" ca="1" si="123"/>
        <v>-1</v>
      </c>
      <c r="AJ51" s="7">
        <f t="shared" ca="1" si="124"/>
        <v>1</v>
      </c>
      <c r="AK51" s="18">
        <f t="shared" ca="1" si="125"/>
        <v>-1</v>
      </c>
      <c r="AL51" s="7">
        <f t="shared" ca="1" si="126"/>
        <v>0</v>
      </c>
      <c r="AM51" s="7">
        <f t="shared" ca="1" si="127"/>
        <v>0</v>
      </c>
      <c r="AN51" s="18">
        <f t="shared" ca="1" si="128"/>
        <v>1</v>
      </c>
      <c r="AO51" s="7">
        <f t="shared" ca="1" si="115"/>
        <v>1</v>
      </c>
      <c r="AP51" s="50" t="b">
        <f t="shared" ca="1" si="87"/>
        <v>1</v>
      </c>
      <c r="AS51" s="22">
        <f t="shared" ca="1" si="88"/>
        <v>0</v>
      </c>
      <c r="AT51" s="7">
        <f t="shared" ca="1" si="23"/>
        <v>0</v>
      </c>
      <c r="AU51" s="7">
        <f t="shared" ca="1" si="24"/>
        <v>0</v>
      </c>
      <c r="AV51" s="7">
        <f t="shared" ca="1" si="25"/>
        <v>0</v>
      </c>
      <c r="AW51" s="7">
        <f t="shared" ca="1" si="26"/>
        <v>0</v>
      </c>
      <c r="AX51" s="7">
        <f t="shared" ca="1" si="27"/>
        <v>0</v>
      </c>
      <c r="AY51" s="7">
        <f t="shared" ca="1" si="28"/>
        <v>0</v>
      </c>
      <c r="AZ51" s="7">
        <f t="shared" ca="1" si="29"/>
        <v>0</v>
      </c>
      <c r="BA51" s="18">
        <f t="shared" ca="1" si="30"/>
        <v>0</v>
      </c>
      <c r="BB51" s="295">
        <f t="shared" ca="1" si="89"/>
        <v>1</v>
      </c>
      <c r="BD51" s="132"/>
      <c r="BE51" s="297">
        <f t="shared" ca="1" si="90"/>
        <v>1</v>
      </c>
      <c r="BF51" s="298">
        <f t="shared" ca="1" si="31"/>
        <v>0.65029522127322903</v>
      </c>
      <c r="BG51" s="298">
        <f t="shared" ca="1" si="32"/>
        <v>0.66028983545318687</v>
      </c>
      <c r="BH51" s="318">
        <f t="shared" ca="1" si="33"/>
        <v>0.64972655813153501</v>
      </c>
      <c r="BI51" s="298">
        <f t="shared" ca="1" si="34"/>
        <v>0.65002804502111444</v>
      </c>
      <c r="BJ51" s="299">
        <f t="shared" ca="1" si="35"/>
        <v>0.65029320640965171</v>
      </c>
      <c r="BK51" s="298">
        <f t="shared" ca="1" si="36"/>
        <v>0.64942668056342145</v>
      </c>
      <c r="BL51" s="298">
        <f t="shared" ca="1" si="37"/>
        <v>0.61083952513994022</v>
      </c>
      <c r="BM51" s="299">
        <f t="shared" ca="1" si="38"/>
        <v>0.6508682169276182</v>
      </c>
      <c r="BN51" s="295">
        <f t="shared" ca="1" si="39"/>
        <v>0.17402001625314881</v>
      </c>
      <c r="BO51" s="248">
        <f t="shared" ca="1" si="91"/>
        <v>-2.2535161742124597E-5</v>
      </c>
      <c r="BQ51" s="304">
        <f t="shared" ca="1" si="92"/>
        <v>0.42412001625314877</v>
      </c>
      <c r="BR51" s="297">
        <f t="shared" ca="1" si="93"/>
        <v>0</v>
      </c>
      <c r="BS51" s="298">
        <f t="shared" ca="1" si="40"/>
        <v>0</v>
      </c>
      <c r="BT51" s="298">
        <f t="shared" ca="1" si="41"/>
        <v>0</v>
      </c>
      <c r="BU51" s="318">
        <f t="shared" ca="1" si="42"/>
        <v>0</v>
      </c>
      <c r="BV51" s="298">
        <f t="shared" ca="1" si="43"/>
        <v>0</v>
      </c>
      <c r="BW51" s="299">
        <f t="shared" ca="1" si="44"/>
        <v>0</v>
      </c>
      <c r="BX51" s="298">
        <f t="shared" ca="1" si="45"/>
        <v>0</v>
      </c>
      <c r="BY51" s="298">
        <f t="shared" ca="1" si="46"/>
        <v>0</v>
      </c>
      <c r="BZ51" s="298">
        <f t="shared" ca="1" si="47"/>
        <v>0</v>
      </c>
      <c r="CA51" s="315">
        <f t="shared" ca="1" si="48"/>
        <v>0.42412001625314877</v>
      </c>
      <c r="CC51" s="52"/>
      <c r="CD51" s="306">
        <f t="shared" ca="1" si="94"/>
        <v>0</v>
      </c>
      <c r="CE51" s="15">
        <f t="shared" ca="1" si="49"/>
        <v>0</v>
      </c>
      <c r="CF51" s="15">
        <f t="shared" ca="1" si="50"/>
        <v>0</v>
      </c>
      <c r="CG51" s="286">
        <f t="shared" ca="1" si="51"/>
        <v>0</v>
      </c>
      <c r="CH51" s="15">
        <f t="shared" ca="1" si="52"/>
        <v>0</v>
      </c>
      <c r="CI51" s="288">
        <f t="shared" ca="1" si="53"/>
        <v>0</v>
      </c>
      <c r="CJ51" s="15">
        <f t="shared" ca="1" si="54"/>
        <v>0</v>
      </c>
      <c r="CK51" s="15">
        <f t="shared" ca="1" si="55"/>
        <v>0</v>
      </c>
      <c r="CL51" s="15">
        <f t="shared" ca="1" si="56"/>
        <v>0</v>
      </c>
      <c r="CM51" s="313">
        <f t="shared" ca="1" si="57"/>
        <v>1</v>
      </c>
      <c r="CO51" s="320">
        <f t="shared" ca="1" si="95"/>
        <v>40</v>
      </c>
      <c r="CP51" s="22">
        <f ca="1">COUNTIFS($C$10:$C50,"&lt;"&amp;$C51,$M$10:$M50,$D51&amp;"_"&amp;CP$9)</f>
        <v>0</v>
      </c>
      <c r="CQ51" s="7">
        <f ca="1">COUNTIFS($C$10:$C50,"&lt;"&amp;$C51,$M$10:$M50,$D51&amp;"_"&amp;CQ$9)</f>
        <v>0</v>
      </c>
      <c r="CR51" s="7">
        <f ca="1">COUNTIFS($C$10:$C50,"&lt;"&amp;$C51,$M$10:$M50,$D51&amp;"_"&amp;CR$9)</f>
        <v>0</v>
      </c>
      <c r="CS51" s="17">
        <f ca="1">COUNTIFS($C$10:$C50,"&lt;"&amp;$C51,$M$10:$M50,$D51&amp;"_"&amp;CS$9)</f>
        <v>0</v>
      </c>
      <c r="CT51" s="7">
        <f ca="1">COUNTIFS($C$10:$C50,"&lt;"&amp;$C51,$M$10:$M50,$D51&amp;"_"&amp;CT$9)</f>
        <v>0</v>
      </c>
      <c r="CU51" s="18">
        <f ca="1">COUNTIFS($C$10:$C50,"&lt;"&amp;$C51,$M$10:$M50,$D51&amp;"_"&amp;CU$9)</f>
        <v>0</v>
      </c>
      <c r="CV51" s="7">
        <f ca="1">COUNTIFS($C$10:$C50,"&lt;"&amp;$C51,$M$10:$M50,$D51&amp;"_"&amp;CV$9)</f>
        <v>0</v>
      </c>
      <c r="CW51" s="7">
        <f ca="1">COUNTIFS($C$10:$C50,"&lt;"&amp;$C51,$M$10:$M50,$D51&amp;"_"&amp;CW$9)</f>
        <v>0</v>
      </c>
      <c r="CX51" s="7">
        <f ca="1">COUNTIFS($C$10:$C50,"&lt;"&amp;$C51,$M$10:$M50,$D51&amp;"_"&amp;CX$9)</f>
        <v>0</v>
      </c>
      <c r="CY51" s="221">
        <f ca="1">COUNTIFS($C$10:$C50,"&lt;"&amp;$C51,$M$10:$M50,$D51&amp;"_"&amp;CY$9)</f>
        <v>40</v>
      </c>
      <c r="DA51" s="20"/>
      <c r="DB51" s="308">
        <f ca="1">IF(CP51=0,0,SUMIFS($P$10:$P50, $C$10:$C50,"&lt;"&amp;$C51, $M$10:$M50,$D51&amp;"_"&amp;DB$9)/CP51)</f>
        <v>0</v>
      </c>
      <c r="DC51" s="263">
        <f ca="1">IF(CQ51=0,0,SUMIFS($P$10:$P50, $C$10:$C50,"&lt;"&amp;$C51, $M$10:$M50,$D51&amp;"_"&amp;DC$9)/CQ51)</f>
        <v>0</v>
      </c>
      <c r="DD51" s="263">
        <f ca="1">IF(CR51=0,0,SUMIFS($P$10:$P50, $C$10:$C50,"&lt;"&amp;$C51, $M$10:$M50,$D51&amp;"_"&amp;DD$9)/CR51)</f>
        <v>0</v>
      </c>
      <c r="DE51" s="262">
        <f ca="1">IF(CS51=0,0,SUMIFS($P$10:$P50, $C$10:$C50,"&lt;"&amp;$C51, $M$10:$M50,$D51&amp;"_"&amp;DE$9)/CS51)</f>
        <v>0</v>
      </c>
      <c r="DF51" s="263">
        <f ca="1">IF(CT51=0,0,SUMIFS($P$10:$P50, $C$10:$C50,"&lt;"&amp;$C51, $M$10:$M50,$D51&amp;"_"&amp;DF$9)/CT51)</f>
        <v>0</v>
      </c>
      <c r="DG51" s="310">
        <f ca="1">IF(CU51=0,0,SUMIFS($P$10:$P50, $C$10:$C50,"&lt;"&amp;$C51, $M$10:$M50,$D51&amp;"_"&amp;DG$9)/CU51)</f>
        <v>0</v>
      </c>
      <c r="DH51" s="263">
        <f ca="1">IF(CV51=0,0,SUMIFS($P$10:$P50, $C$10:$C50,"&lt;"&amp;$C51, $M$10:$M50,$D51&amp;"_"&amp;DH$9)/CV51)</f>
        <v>0</v>
      </c>
      <c r="DI51" s="263">
        <f ca="1">IF(CW51=0,0,SUMIFS($P$10:$P50, $C$10:$C50,"&lt;"&amp;$C51, $M$10:$M50,$D51&amp;"_"&amp;DI$9)/CW51)</f>
        <v>0</v>
      </c>
      <c r="DJ51" s="264">
        <f ca="1">IF(CX51=0,0,SUMIFS($P$10:$P50, $C$10:$C50,"&lt;"&amp;$C51, $M$10:$M50,$D51&amp;"_"&amp;DJ$9)/CX51)</f>
        <v>0</v>
      </c>
      <c r="DK51" s="264">
        <f ca="1">IF(CY51=0,0,SUMIFS($P$10:$P50, $C$10:$C50,"&lt;"&amp;$C51, $M$10:$M50,$D51&amp;"_"&amp;DK$9)/CY51)</f>
        <v>-1</v>
      </c>
      <c r="DM51" s="104"/>
      <c r="DN51" s="306">
        <f t="shared" ca="1" si="96"/>
        <v>-9999</v>
      </c>
      <c r="DO51" s="15">
        <f t="shared" ca="1" si="58"/>
        <v>-9999</v>
      </c>
      <c r="DP51" s="15">
        <f t="shared" ca="1" si="59"/>
        <v>-9999</v>
      </c>
      <c r="DQ51" s="15">
        <f t="shared" ca="1" si="60"/>
        <v>-9999</v>
      </c>
      <c r="DR51" s="15">
        <f t="shared" ca="1" si="61"/>
        <v>-9999</v>
      </c>
      <c r="DS51" s="15">
        <f t="shared" ca="1" si="62"/>
        <v>-9999</v>
      </c>
      <c r="DT51" s="15">
        <f t="shared" ca="1" si="63"/>
        <v>-9999</v>
      </c>
      <c r="DU51" s="15">
        <f t="shared" ca="1" si="64"/>
        <v>-9999</v>
      </c>
      <c r="DV51" s="52">
        <f t="shared" ca="1" si="65"/>
        <v>-9999</v>
      </c>
      <c r="DW51" s="313">
        <f t="shared" ca="1" si="66"/>
        <v>-0.84574255316251801</v>
      </c>
      <c r="DX51" s="52"/>
      <c r="DY51" s="402">
        <f t="shared" ca="1" si="97"/>
        <v>9</v>
      </c>
      <c r="ED51" s="19">
        <f t="shared" ca="1" si="129"/>
        <v>-1</v>
      </c>
      <c r="EE51" s="1">
        <f t="shared" ca="1" si="130"/>
        <v>1</v>
      </c>
      <c r="EF51" s="1">
        <f t="shared" ca="1" si="131"/>
        <v>-1</v>
      </c>
      <c r="EG51" s="2">
        <f t="shared" ca="1" si="132"/>
        <v>1</v>
      </c>
      <c r="EH51" s="1">
        <f t="shared" ca="1" si="133"/>
        <v>-1</v>
      </c>
      <c r="EI51" s="3">
        <f t="shared" ca="1" si="134"/>
        <v>1</v>
      </c>
      <c r="EJ51" s="1">
        <f t="shared" ca="1" si="135"/>
        <v>0</v>
      </c>
      <c r="EK51" s="1">
        <f t="shared" ca="1" si="136"/>
        <v>0</v>
      </c>
      <c r="EL51" s="20">
        <f t="shared" ca="1" si="137"/>
        <v>-1</v>
      </c>
      <c r="EN51" s="86">
        <f ca="1">MAX(0, SUMPRODUCT($ED51:$EL51,OFFSET(DNN!$E$9:$M$9,EN$9,0)) + OFFSET(DNN!$D$9,EN$9,0))</f>
        <v>0</v>
      </c>
      <c r="EO51" s="84">
        <f ca="1">MAX(0, SUMPRODUCT($ED51:$EL51,OFFSET(DNN!$E$9:$M$9,EO$9,0)) + OFFSET(DNN!$D$9,EO$9,0))</f>
        <v>7.2346022384755949E-3</v>
      </c>
      <c r="EP51" s="84">
        <f ca="1">MAX(0, SUMPRODUCT($ED51:$EL51,OFFSET(DNN!$E$9:$M$9,EP$9,0)) + OFFSET(DNN!$D$9,EP$9,0))</f>
        <v>3.6951849750035152E-3</v>
      </c>
      <c r="EQ51" s="84">
        <f ca="1">MAX(0, SUMPRODUCT($ED51:$EL51,OFFSET(DNN!$E$9:$M$9,EQ$9,0)) + OFFSET(DNN!$D$9,EQ$9,0))</f>
        <v>0</v>
      </c>
      <c r="ER51" s="85">
        <f ca="1">MAX(0, SUMPRODUCT($ED51:$EL51,OFFSET(DNN!$E$9:$M$9,ER$9,0)) + OFFSET(DNN!$D$9,ER$9,0))</f>
        <v>0</v>
      </c>
      <c r="ET51" s="86">
        <f ca="1">MAX(0, SUMPRODUCT($EN51:$ER51,OFFSET(DNN!$Q$9:$U$9,ET$9,0)) + OFFSET(DNN!$P$9,ET$9,0))</f>
        <v>4.3954959453478351E-4</v>
      </c>
      <c r="EU51" s="84">
        <f ca="1">MAX(0, SUMPRODUCT($EN51:$ER51,OFFSET(DNN!$Q$9:$U$9,EU$9,0)) + OFFSET(DNN!$P$9,EU$9,0))</f>
        <v>0</v>
      </c>
      <c r="EV51" s="84">
        <f ca="1">MAX(0, SUMPRODUCT($EN51:$ER51,OFFSET(DNN!$Q$9:$U$9,EV$9,0)) + OFFSET(DNN!$P$9,EV$9,0))</f>
        <v>1.2810123361902579E-3</v>
      </c>
      <c r="EW51" s="84">
        <f ca="1">MAX(0, SUMPRODUCT($EN51:$ER51,OFFSET(DNN!$Q$9:$U$9,EW$9,0)) + OFFSET(DNN!$P$9,EW$9,0))</f>
        <v>7.8382123007882457E-4</v>
      </c>
      <c r="EX51" s="85">
        <f ca="1">MAX(0, SUMPRODUCT($EN51:$ER51,OFFSET(DNN!$Q$9:$U$9,EX$9,0)) + OFFSET(DNN!$P$9,EX$9,0))</f>
        <v>0</v>
      </c>
      <c r="EZ51" s="111">
        <f ca="1">SUMPRODUCT($ET51:$EX51,OFFSET(DNN!$Y$9:$AC$9,EZ$9,0)) + OFFSET(DNN!$X$9,EZ$9,0)</f>
        <v>0.43031618918982212</v>
      </c>
      <c r="FA51" s="97">
        <f ca="1">SUMPRODUCT($ET51:$EX51,OFFSET(DNN!$Y$9:$AC$9,FA$9,0)) + OFFSET(DNN!$X$9,FA$9,0)</f>
        <v>-1.2643439935754107E-5</v>
      </c>
      <c r="FB51" s="97">
        <f ca="1">SUMPRODUCT($ET51:$EX51,OFFSET(DNN!$Y$9:$AC$9,FB$9,0)) + OFFSET(DNN!$X$9,FB$9,0)</f>
        <v>1.5239793458415756E-2</v>
      </c>
      <c r="FC51" s="97">
        <f ca="1">SUMPRODUCT($ET51:$EX51,OFFSET(DNN!$Y$9:$AC$9,FC$9,0)) + OFFSET(DNN!$X$9,FC$9,0)</f>
        <v>-8.8749521084055777E-4</v>
      </c>
      <c r="FD51" s="97">
        <f ca="1">SUMPRODUCT($ET51:$EX51,OFFSET(DNN!$Y$9:$AC$9,FD$9,0)) + OFFSET(DNN!$X$9,FD$9,0)</f>
        <v>-4.235816470721872E-4</v>
      </c>
      <c r="FE51" s="97">
        <f ca="1">SUMPRODUCT($ET51:$EX51,OFFSET(DNN!$Y$9:$AC$9,FE$9,0)) + OFFSET(DNN!$X$9,FE$9,0)</f>
        <v>-1.574182761064886E-5</v>
      </c>
      <c r="FF51" s="97">
        <f ca="1">SUMPRODUCT($ET51:$EX51,OFFSET(DNN!$Y$9:$AC$9,FF$9,0)) + OFFSET(DNN!$X$9,FF$9,0)</f>
        <v>-1.3491460223194656E-3</v>
      </c>
      <c r="FG51" s="97">
        <f ca="1">SUMPRODUCT($ET51:$EX51,OFFSET(DNN!$Y$9:$AC$9,FG$9,0)) + OFFSET(DNN!$X$9,FG$9,0)</f>
        <v>-6.2604808096248285E-2</v>
      </c>
      <c r="FH51" s="97">
        <f ca="1">SUMPRODUCT($ET51:$EX51,OFFSET(DNN!$Y$9:$AC$9,FH$9,0)) + OFFSET(DNN!$X$9,FH$9,0)</f>
        <v>8.6810016937029894E-4</v>
      </c>
      <c r="FI51" s="108">
        <f ca="1">SUMPRODUCT($ET51:$EX51,OFFSET(DNN!$Y$9:$AC$9,FI$9,0)) + OFFSET(DNN!$X$9,FI$9,0)</f>
        <v>-1.3182687612562751</v>
      </c>
      <c r="FJ51" s="98">
        <f ca="1">SUMPRODUCT($ET51:$EX51,OFFSET(DNN!$Y$9:$AC$9,FJ$9,0)) + OFFSET(DNN!$X$9,FJ$9,0)</f>
        <v>-2.2535161745939301E-5</v>
      </c>
      <c r="FL51" s="415">
        <f t="shared" ca="1" si="98"/>
        <v>0.43031618918982212</v>
      </c>
      <c r="FM51" s="130">
        <f t="shared" ca="1" si="99"/>
        <v>1</v>
      </c>
      <c r="FN51" s="131">
        <f t="shared" ca="1" si="100"/>
        <v>0.65029522127322903</v>
      </c>
      <c r="FO51" s="131">
        <f t="shared" ca="1" si="101"/>
        <v>0.66028983545318687</v>
      </c>
      <c r="FP51" s="131">
        <f t="shared" ca="1" si="102"/>
        <v>0.64972655813153501</v>
      </c>
      <c r="FQ51" s="131">
        <f t="shared" ca="1" si="103"/>
        <v>0.65002804502111444</v>
      </c>
      <c r="FR51" s="131">
        <f t="shared" ca="1" si="104"/>
        <v>0.65029320640965171</v>
      </c>
      <c r="FS51" s="131">
        <f t="shared" ca="1" si="105"/>
        <v>0.64942668056342145</v>
      </c>
      <c r="FT51" s="131">
        <f t="shared" ca="1" si="106"/>
        <v>0.61083952513994022</v>
      </c>
      <c r="FU51" s="132">
        <f t="shared" ca="1" si="107"/>
        <v>0.6508682169276182</v>
      </c>
      <c r="FV51" s="131">
        <f t="shared" ca="1" si="108"/>
        <v>0.17402001625314881</v>
      </c>
      <c r="FW51" s="83">
        <f t="shared" ca="1" si="109"/>
        <v>-2.2535161742124597E-5</v>
      </c>
    </row>
    <row r="52" spans="1:179">
      <c r="A52" s="19">
        <f t="shared" si="117"/>
        <v>42</v>
      </c>
      <c r="B52" s="1">
        <f t="shared" ca="1" si="111"/>
        <v>0</v>
      </c>
      <c r="C52" s="20">
        <f t="shared" ca="1" si="112"/>
        <v>42</v>
      </c>
      <c r="D52" s="19" t="str">
        <f t="shared" ca="1" si="113"/>
        <v>〇×〇×〇×--〇</v>
      </c>
      <c r="E52" s="7">
        <f t="shared" ca="1" si="77"/>
        <v>9</v>
      </c>
      <c r="F52" s="7">
        <f t="shared" ca="1" si="78"/>
        <v>1</v>
      </c>
      <c r="G52" s="1" t="str">
        <f t="shared" ca="1" si="138"/>
        <v>〇×〇×〇×--〇</v>
      </c>
      <c r="H52" s="20" t="b">
        <f t="shared" ca="1" si="118"/>
        <v>1</v>
      </c>
      <c r="I52" s="22">
        <f t="shared" ca="1" si="114"/>
        <v>-1</v>
      </c>
      <c r="J52" s="1" t="b">
        <f ca="1">(1&lt;COUNTIF(D$10:D52,D52))</f>
        <v>1</v>
      </c>
      <c r="K52" s="1" t="b">
        <f t="shared" ca="1" si="81"/>
        <v>1</v>
      </c>
      <c r="L52" s="7">
        <f ca="1">MATCH(TRUE,K52:K$1048576,FALSE)-1</f>
        <v>0</v>
      </c>
      <c r="M52" s="24" t="str">
        <f t="shared" ca="1" si="119"/>
        <v>〇×〇×〇×--〇_9</v>
      </c>
      <c r="N52" s="25">
        <f t="shared" ca="1" si="82"/>
        <v>-2.2535161742124597E-5</v>
      </c>
      <c r="O52" s="26">
        <f t="shared" ca="1" si="83"/>
        <v>-1</v>
      </c>
      <c r="P52" s="27">
        <f t="shared" ca="1" si="84"/>
        <v>-1</v>
      </c>
      <c r="R52" s="41" t="str">
        <f ca="1">VLOOKUP(S52,cvt!$B$2:$C$4,2,FALSE)&amp;VLOOKUP(T52,cvt!$B$2:$C$4,2,FALSE)&amp;VLOOKUP(U52,cvt!$B$2:$C$4,2,FALSE)
&amp;VLOOKUP(V52,cvt!$B$2:$C$4,2,FALSE)&amp;VLOOKUP(W52,cvt!$B$2:$C$4,2,FALSE)&amp;VLOOKUP(X52,cvt!$B$2:$C$4,2,FALSE)
&amp;VLOOKUP(Y52,cvt!$B$2:$C$4,2,FALSE)&amp;VLOOKUP(Z52,cvt!$B$2:$C$4,2,FALSE)&amp;VLOOKUP(AA52,cvt!$B$2:$C$4,2,FALSE)</f>
        <v>〇×〇×〇×--〇</v>
      </c>
      <c r="S52" s="7">
        <f ca="1">VLOOKUP(MID($D52,S$9+1,1), cvt!$A$2:$B$4,2, FALSE)</f>
        <v>1</v>
      </c>
      <c r="T52" s="7">
        <f ca="1">VLOOKUP(MID($D52,T$9+1,1), cvt!$A$2:$B$4,2, FALSE)</f>
        <v>-1</v>
      </c>
      <c r="U52" s="7">
        <f ca="1">VLOOKUP(MID($D52,U$9+1,1), cvt!$A$2:$B$4,2, FALSE)</f>
        <v>1</v>
      </c>
      <c r="V52" s="17">
        <f ca="1">VLOOKUP(MID($D52,V$9+1,1), cvt!$A$2:$B$4,2, FALSE)</f>
        <v>-1</v>
      </c>
      <c r="W52" s="7">
        <f ca="1">VLOOKUP(MID($D52,W$9+1,1), cvt!$A$2:$B$4,2, FALSE)</f>
        <v>1</v>
      </c>
      <c r="X52" s="18">
        <f ca="1">VLOOKUP(MID($D52,X$9+1,1), cvt!$A$2:$B$4,2, FALSE)</f>
        <v>-1</v>
      </c>
      <c r="Y52" s="7">
        <f ca="1">VLOOKUP(MID($D52,Y$9+1,1), cvt!$A$2:$B$4,2, FALSE)</f>
        <v>0</v>
      </c>
      <c r="Z52" s="7">
        <f ca="1">VLOOKUP(MID($D52,Z$9+1,1), cvt!$A$2:$B$4,2, FALSE)</f>
        <v>0</v>
      </c>
      <c r="AA52" s="42">
        <f ca="1">VLOOKUP(MID($D52,AA$9+1,1), cvt!$A$2:$B$4,2, FALSE)</f>
        <v>1</v>
      </c>
      <c r="AB52" s="7">
        <f t="shared" ca="1" si="85"/>
        <v>1</v>
      </c>
      <c r="AC52" s="50" t="b">
        <f t="shared" ca="1" si="86"/>
        <v>1</v>
      </c>
      <c r="AE52" s="19" t="str">
        <f ca="1">VLOOKUP(AF52,cvt!$B$2:$C$4,2,FALSE)&amp;VLOOKUP(AG52,cvt!$B$2:$C$4,2,FALSE)&amp;VLOOKUP(AH52,cvt!$B$2:$C$4,2,FALSE)
&amp;VLOOKUP(AI52,cvt!$B$2:$C$4,2,FALSE)&amp;VLOOKUP(AJ52,cvt!$B$2:$C$4,2,FALSE)&amp;VLOOKUP(AK52,cvt!$B$2:$C$4,2,FALSE)
&amp;VLOOKUP(AL52,cvt!$B$2:$C$4,2,FALSE)&amp;VLOOKUP(AM52,cvt!$B$2:$C$4,2,FALSE)&amp;VLOOKUP(AN52,cvt!$B$2:$C$4,2,FALSE)</f>
        <v>〇×〇×〇×--〇</v>
      </c>
      <c r="AF52" s="17">
        <f t="shared" ca="1" si="120"/>
        <v>1</v>
      </c>
      <c r="AG52" s="7">
        <f t="shared" ca="1" si="121"/>
        <v>-1</v>
      </c>
      <c r="AH52" s="7">
        <f t="shared" ca="1" si="122"/>
        <v>1</v>
      </c>
      <c r="AI52" s="17">
        <f t="shared" ca="1" si="123"/>
        <v>-1</v>
      </c>
      <c r="AJ52" s="7">
        <f t="shared" ca="1" si="124"/>
        <v>1</v>
      </c>
      <c r="AK52" s="18">
        <f t="shared" ca="1" si="125"/>
        <v>-1</v>
      </c>
      <c r="AL52" s="7">
        <f t="shared" ca="1" si="126"/>
        <v>0</v>
      </c>
      <c r="AM52" s="7">
        <f t="shared" ca="1" si="127"/>
        <v>0</v>
      </c>
      <c r="AN52" s="18">
        <f t="shared" ca="1" si="128"/>
        <v>1</v>
      </c>
      <c r="AO52" s="7">
        <f t="shared" ca="1" si="115"/>
        <v>1</v>
      </c>
      <c r="AP52" s="50" t="b">
        <f t="shared" ca="1" si="87"/>
        <v>1</v>
      </c>
      <c r="AS52" s="22">
        <f t="shared" ca="1" si="88"/>
        <v>0</v>
      </c>
      <c r="AT52" s="7">
        <f t="shared" ca="1" si="23"/>
        <v>0</v>
      </c>
      <c r="AU52" s="7">
        <f t="shared" ca="1" si="24"/>
        <v>0</v>
      </c>
      <c r="AV52" s="7">
        <f t="shared" ca="1" si="25"/>
        <v>0</v>
      </c>
      <c r="AW52" s="7">
        <f t="shared" ca="1" si="26"/>
        <v>0</v>
      </c>
      <c r="AX52" s="7">
        <f t="shared" ca="1" si="27"/>
        <v>0</v>
      </c>
      <c r="AY52" s="7">
        <f t="shared" ca="1" si="28"/>
        <v>0</v>
      </c>
      <c r="AZ52" s="7">
        <f t="shared" ca="1" si="29"/>
        <v>0</v>
      </c>
      <c r="BA52" s="18">
        <f t="shared" ca="1" si="30"/>
        <v>0</v>
      </c>
      <c r="BB52" s="295">
        <f t="shared" ca="1" si="89"/>
        <v>1</v>
      </c>
      <c r="BD52" s="132"/>
      <c r="BE52" s="297">
        <f t="shared" ca="1" si="90"/>
        <v>1</v>
      </c>
      <c r="BF52" s="298">
        <f t="shared" ca="1" si="31"/>
        <v>0.65029522127322903</v>
      </c>
      <c r="BG52" s="298">
        <f t="shared" ca="1" si="32"/>
        <v>0.66028983545318687</v>
      </c>
      <c r="BH52" s="318">
        <f t="shared" ca="1" si="33"/>
        <v>0.64972655813153501</v>
      </c>
      <c r="BI52" s="298">
        <f t="shared" ca="1" si="34"/>
        <v>0.65002804502111444</v>
      </c>
      <c r="BJ52" s="299">
        <f t="shared" ca="1" si="35"/>
        <v>0.65029320640965171</v>
      </c>
      <c r="BK52" s="298">
        <f t="shared" ca="1" si="36"/>
        <v>0.64942668056342145</v>
      </c>
      <c r="BL52" s="298">
        <f t="shared" ca="1" si="37"/>
        <v>0.61083952513994022</v>
      </c>
      <c r="BM52" s="299">
        <f t="shared" ca="1" si="38"/>
        <v>0.6508682169276182</v>
      </c>
      <c r="BN52" s="295">
        <f t="shared" ca="1" si="39"/>
        <v>0.17402001625314881</v>
      </c>
      <c r="BO52" s="248">
        <f t="shared" ca="1" si="91"/>
        <v>-2.2535161742124597E-5</v>
      </c>
      <c r="BQ52" s="304">
        <f t="shared" ca="1" si="92"/>
        <v>0.1741200162531488</v>
      </c>
      <c r="BR52" s="297">
        <f t="shared" ca="1" si="93"/>
        <v>0</v>
      </c>
      <c r="BS52" s="298">
        <f t="shared" ca="1" si="40"/>
        <v>0</v>
      </c>
      <c r="BT52" s="298">
        <f t="shared" ca="1" si="41"/>
        <v>0</v>
      </c>
      <c r="BU52" s="318">
        <f t="shared" ca="1" si="42"/>
        <v>0</v>
      </c>
      <c r="BV52" s="298">
        <f t="shared" ca="1" si="43"/>
        <v>0</v>
      </c>
      <c r="BW52" s="299">
        <f t="shared" ca="1" si="44"/>
        <v>0</v>
      </c>
      <c r="BX52" s="298">
        <f t="shared" ca="1" si="45"/>
        <v>0</v>
      </c>
      <c r="BY52" s="298">
        <f t="shared" ca="1" si="46"/>
        <v>0</v>
      </c>
      <c r="BZ52" s="298">
        <f t="shared" ca="1" si="47"/>
        <v>0</v>
      </c>
      <c r="CA52" s="315">
        <f t="shared" ca="1" si="48"/>
        <v>0.1741200162531488</v>
      </c>
      <c r="CC52" s="52"/>
      <c r="CD52" s="306">
        <f t="shared" ca="1" si="94"/>
        <v>0</v>
      </c>
      <c r="CE52" s="15">
        <f t="shared" ca="1" si="49"/>
        <v>0</v>
      </c>
      <c r="CF52" s="15">
        <f t="shared" ca="1" si="50"/>
        <v>0</v>
      </c>
      <c r="CG52" s="286">
        <f t="shared" ca="1" si="51"/>
        <v>0</v>
      </c>
      <c r="CH52" s="15">
        <f t="shared" ca="1" si="52"/>
        <v>0</v>
      </c>
      <c r="CI52" s="288">
        <f t="shared" ca="1" si="53"/>
        <v>0</v>
      </c>
      <c r="CJ52" s="15">
        <f t="shared" ca="1" si="54"/>
        <v>0</v>
      </c>
      <c r="CK52" s="15">
        <f t="shared" ca="1" si="55"/>
        <v>0</v>
      </c>
      <c r="CL52" s="15">
        <f t="shared" ca="1" si="56"/>
        <v>0</v>
      </c>
      <c r="CM52" s="313">
        <f t="shared" ca="1" si="57"/>
        <v>1</v>
      </c>
      <c r="CO52" s="320">
        <f t="shared" ca="1" si="95"/>
        <v>41</v>
      </c>
      <c r="CP52" s="22">
        <f ca="1">COUNTIFS($C$10:$C51,"&lt;"&amp;$C52,$M$10:$M51,$D52&amp;"_"&amp;CP$9)</f>
        <v>0</v>
      </c>
      <c r="CQ52" s="7">
        <f ca="1">COUNTIFS($C$10:$C51,"&lt;"&amp;$C52,$M$10:$M51,$D52&amp;"_"&amp;CQ$9)</f>
        <v>0</v>
      </c>
      <c r="CR52" s="7">
        <f ca="1">COUNTIFS($C$10:$C51,"&lt;"&amp;$C52,$M$10:$M51,$D52&amp;"_"&amp;CR$9)</f>
        <v>0</v>
      </c>
      <c r="CS52" s="17">
        <f ca="1">COUNTIFS($C$10:$C51,"&lt;"&amp;$C52,$M$10:$M51,$D52&amp;"_"&amp;CS$9)</f>
        <v>0</v>
      </c>
      <c r="CT52" s="7">
        <f ca="1">COUNTIFS($C$10:$C51,"&lt;"&amp;$C52,$M$10:$M51,$D52&amp;"_"&amp;CT$9)</f>
        <v>0</v>
      </c>
      <c r="CU52" s="18">
        <f ca="1">COUNTIFS($C$10:$C51,"&lt;"&amp;$C52,$M$10:$M51,$D52&amp;"_"&amp;CU$9)</f>
        <v>0</v>
      </c>
      <c r="CV52" s="7">
        <f ca="1">COUNTIFS($C$10:$C51,"&lt;"&amp;$C52,$M$10:$M51,$D52&amp;"_"&amp;CV$9)</f>
        <v>0</v>
      </c>
      <c r="CW52" s="7">
        <f ca="1">COUNTIFS($C$10:$C51,"&lt;"&amp;$C52,$M$10:$M51,$D52&amp;"_"&amp;CW$9)</f>
        <v>0</v>
      </c>
      <c r="CX52" s="7">
        <f ca="1">COUNTIFS($C$10:$C51,"&lt;"&amp;$C52,$M$10:$M51,$D52&amp;"_"&amp;CX$9)</f>
        <v>0</v>
      </c>
      <c r="CY52" s="221">
        <f ca="1">COUNTIFS($C$10:$C51,"&lt;"&amp;$C52,$M$10:$M51,$D52&amp;"_"&amp;CY$9)</f>
        <v>41</v>
      </c>
      <c r="DA52" s="20"/>
      <c r="DB52" s="308">
        <f ca="1">IF(CP52=0,0,SUMIFS($P$10:$P51, $C$10:$C51,"&lt;"&amp;$C52, $M$10:$M51,$D52&amp;"_"&amp;DB$9)/CP52)</f>
        <v>0</v>
      </c>
      <c r="DC52" s="263">
        <f ca="1">IF(CQ52=0,0,SUMIFS($P$10:$P51, $C$10:$C51,"&lt;"&amp;$C52, $M$10:$M51,$D52&amp;"_"&amp;DC$9)/CQ52)</f>
        <v>0</v>
      </c>
      <c r="DD52" s="263">
        <f ca="1">IF(CR52=0,0,SUMIFS($P$10:$P51, $C$10:$C51,"&lt;"&amp;$C52, $M$10:$M51,$D52&amp;"_"&amp;DD$9)/CR52)</f>
        <v>0</v>
      </c>
      <c r="DE52" s="262">
        <f ca="1">IF(CS52=0,0,SUMIFS($P$10:$P51, $C$10:$C51,"&lt;"&amp;$C52, $M$10:$M51,$D52&amp;"_"&amp;DE$9)/CS52)</f>
        <v>0</v>
      </c>
      <c r="DF52" s="263">
        <f ca="1">IF(CT52=0,0,SUMIFS($P$10:$P51, $C$10:$C51,"&lt;"&amp;$C52, $M$10:$M51,$D52&amp;"_"&amp;DF$9)/CT52)</f>
        <v>0</v>
      </c>
      <c r="DG52" s="310">
        <f ca="1">IF(CU52=0,0,SUMIFS($P$10:$P51, $C$10:$C51,"&lt;"&amp;$C52, $M$10:$M51,$D52&amp;"_"&amp;DG$9)/CU52)</f>
        <v>0</v>
      </c>
      <c r="DH52" s="263">
        <f ca="1">IF(CV52=0,0,SUMIFS($P$10:$P51, $C$10:$C51,"&lt;"&amp;$C52, $M$10:$M51,$D52&amp;"_"&amp;DH$9)/CV52)</f>
        <v>0</v>
      </c>
      <c r="DI52" s="263">
        <f ca="1">IF(CW52=0,0,SUMIFS($P$10:$P51, $C$10:$C51,"&lt;"&amp;$C52, $M$10:$M51,$D52&amp;"_"&amp;DI$9)/CW52)</f>
        <v>0</v>
      </c>
      <c r="DJ52" s="264">
        <f ca="1">IF(CX52=0,0,SUMIFS($P$10:$P51, $C$10:$C51,"&lt;"&amp;$C52, $M$10:$M51,$D52&amp;"_"&amp;DJ$9)/CX52)</f>
        <v>0</v>
      </c>
      <c r="DK52" s="264">
        <f ca="1">IF(CY52=0,0,SUMIFS($P$10:$P51, $C$10:$C51,"&lt;"&amp;$C52, $M$10:$M51,$D52&amp;"_"&amp;DK$9)/CY52)</f>
        <v>-1</v>
      </c>
      <c r="DM52" s="104"/>
      <c r="DN52" s="306">
        <f t="shared" ca="1" si="96"/>
        <v>-9999</v>
      </c>
      <c r="DO52" s="15">
        <f t="shared" ca="1" si="58"/>
        <v>-9999</v>
      </c>
      <c r="DP52" s="15">
        <f t="shared" ca="1" si="59"/>
        <v>-9999</v>
      </c>
      <c r="DQ52" s="15">
        <f t="shared" ca="1" si="60"/>
        <v>-9999</v>
      </c>
      <c r="DR52" s="15">
        <f t="shared" ca="1" si="61"/>
        <v>-9999</v>
      </c>
      <c r="DS52" s="15">
        <f t="shared" ca="1" si="62"/>
        <v>-9999</v>
      </c>
      <c r="DT52" s="15">
        <f t="shared" ca="1" si="63"/>
        <v>-9999</v>
      </c>
      <c r="DU52" s="15">
        <f t="shared" ca="1" si="64"/>
        <v>-9999</v>
      </c>
      <c r="DV52" s="52">
        <f t="shared" ca="1" si="65"/>
        <v>-9999</v>
      </c>
      <c r="DW52" s="313">
        <f t="shared" ca="1" si="66"/>
        <v>-0.84754466101350356</v>
      </c>
      <c r="DX52" s="52"/>
      <c r="DY52" s="402">
        <f t="shared" ca="1" si="97"/>
        <v>9</v>
      </c>
      <c r="ED52" s="19">
        <f t="shared" ca="1" si="129"/>
        <v>-1</v>
      </c>
      <c r="EE52" s="1">
        <f t="shared" ca="1" si="130"/>
        <v>1</v>
      </c>
      <c r="EF52" s="1">
        <f t="shared" ca="1" si="131"/>
        <v>-1</v>
      </c>
      <c r="EG52" s="2">
        <f t="shared" ca="1" si="132"/>
        <v>1</v>
      </c>
      <c r="EH52" s="1">
        <f t="shared" ca="1" si="133"/>
        <v>-1</v>
      </c>
      <c r="EI52" s="3">
        <f t="shared" ca="1" si="134"/>
        <v>1</v>
      </c>
      <c r="EJ52" s="1">
        <f t="shared" ca="1" si="135"/>
        <v>0</v>
      </c>
      <c r="EK52" s="1">
        <f t="shared" ca="1" si="136"/>
        <v>0</v>
      </c>
      <c r="EL52" s="20">
        <f t="shared" ca="1" si="137"/>
        <v>-1</v>
      </c>
      <c r="EN52" s="86">
        <f ca="1">MAX(0, SUMPRODUCT($ED52:$EL52,OFFSET(DNN!$E$9:$M$9,EN$9,0)) + OFFSET(DNN!$D$9,EN$9,0))</f>
        <v>0</v>
      </c>
      <c r="EO52" s="84">
        <f ca="1">MAX(0, SUMPRODUCT($ED52:$EL52,OFFSET(DNN!$E$9:$M$9,EO$9,0)) + OFFSET(DNN!$D$9,EO$9,0))</f>
        <v>7.2346022384755949E-3</v>
      </c>
      <c r="EP52" s="84">
        <f ca="1">MAX(0, SUMPRODUCT($ED52:$EL52,OFFSET(DNN!$E$9:$M$9,EP$9,0)) + OFFSET(DNN!$D$9,EP$9,0))</f>
        <v>3.6951849750035152E-3</v>
      </c>
      <c r="EQ52" s="84">
        <f ca="1">MAX(0, SUMPRODUCT($ED52:$EL52,OFFSET(DNN!$E$9:$M$9,EQ$9,0)) + OFFSET(DNN!$D$9,EQ$9,0))</f>
        <v>0</v>
      </c>
      <c r="ER52" s="85">
        <f ca="1">MAX(0, SUMPRODUCT($ED52:$EL52,OFFSET(DNN!$E$9:$M$9,ER$9,0)) + OFFSET(DNN!$D$9,ER$9,0))</f>
        <v>0</v>
      </c>
      <c r="ET52" s="86">
        <f ca="1">MAX(0, SUMPRODUCT($EN52:$ER52,OFFSET(DNN!$Q$9:$U$9,ET$9,0)) + OFFSET(DNN!$P$9,ET$9,0))</f>
        <v>4.3954959453478351E-4</v>
      </c>
      <c r="EU52" s="84">
        <f ca="1">MAX(0, SUMPRODUCT($EN52:$ER52,OFFSET(DNN!$Q$9:$U$9,EU$9,0)) + OFFSET(DNN!$P$9,EU$9,0))</f>
        <v>0</v>
      </c>
      <c r="EV52" s="84">
        <f ca="1">MAX(0, SUMPRODUCT($EN52:$ER52,OFFSET(DNN!$Q$9:$U$9,EV$9,0)) + OFFSET(DNN!$P$9,EV$9,0))</f>
        <v>1.2810123361902579E-3</v>
      </c>
      <c r="EW52" s="84">
        <f ca="1">MAX(0, SUMPRODUCT($EN52:$ER52,OFFSET(DNN!$Q$9:$U$9,EW$9,0)) + OFFSET(DNN!$P$9,EW$9,0))</f>
        <v>7.8382123007882457E-4</v>
      </c>
      <c r="EX52" s="85">
        <f ca="1">MAX(0, SUMPRODUCT($EN52:$ER52,OFFSET(DNN!$Q$9:$U$9,EX$9,0)) + OFFSET(DNN!$P$9,EX$9,0))</f>
        <v>0</v>
      </c>
      <c r="EZ52" s="111">
        <f ca="1">SUMPRODUCT($ET52:$EX52,OFFSET(DNN!$Y$9:$AC$9,EZ$9,0)) + OFFSET(DNN!$X$9,EZ$9,0)</f>
        <v>0.43031618918982212</v>
      </c>
      <c r="FA52" s="97">
        <f ca="1">SUMPRODUCT($ET52:$EX52,OFFSET(DNN!$Y$9:$AC$9,FA$9,0)) + OFFSET(DNN!$X$9,FA$9,0)</f>
        <v>-1.2643439935754107E-5</v>
      </c>
      <c r="FB52" s="97">
        <f ca="1">SUMPRODUCT($ET52:$EX52,OFFSET(DNN!$Y$9:$AC$9,FB$9,0)) + OFFSET(DNN!$X$9,FB$9,0)</f>
        <v>1.5239793458415756E-2</v>
      </c>
      <c r="FC52" s="97">
        <f ca="1">SUMPRODUCT($ET52:$EX52,OFFSET(DNN!$Y$9:$AC$9,FC$9,0)) + OFFSET(DNN!$X$9,FC$9,0)</f>
        <v>-8.8749521084055777E-4</v>
      </c>
      <c r="FD52" s="97">
        <f ca="1">SUMPRODUCT($ET52:$EX52,OFFSET(DNN!$Y$9:$AC$9,FD$9,0)) + OFFSET(DNN!$X$9,FD$9,0)</f>
        <v>-4.235816470721872E-4</v>
      </c>
      <c r="FE52" s="97">
        <f ca="1">SUMPRODUCT($ET52:$EX52,OFFSET(DNN!$Y$9:$AC$9,FE$9,0)) + OFFSET(DNN!$X$9,FE$9,0)</f>
        <v>-1.574182761064886E-5</v>
      </c>
      <c r="FF52" s="97">
        <f ca="1">SUMPRODUCT($ET52:$EX52,OFFSET(DNN!$Y$9:$AC$9,FF$9,0)) + OFFSET(DNN!$X$9,FF$9,0)</f>
        <v>-1.3491460223194656E-3</v>
      </c>
      <c r="FG52" s="97">
        <f ca="1">SUMPRODUCT($ET52:$EX52,OFFSET(DNN!$Y$9:$AC$9,FG$9,0)) + OFFSET(DNN!$X$9,FG$9,0)</f>
        <v>-6.2604808096248285E-2</v>
      </c>
      <c r="FH52" s="97">
        <f ca="1">SUMPRODUCT($ET52:$EX52,OFFSET(DNN!$Y$9:$AC$9,FH$9,0)) + OFFSET(DNN!$X$9,FH$9,0)</f>
        <v>8.6810016937029894E-4</v>
      </c>
      <c r="FI52" s="108">
        <f ca="1">SUMPRODUCT($ET52:$EX52,OFFSET(DNN!$Y$9:$AC$9,FI$9,0)) + OFFSET(DNN!$X$9,FI$9,0)</f>
        <v>-1.3182687612562751</v>
      </c>
      <c r="FJ52" s="98">
        <f ca="1">SUMPRODUCT($ET52:$EX52,OFFSET(DNN!$Y$9:$AC$9,FJ$9,0)) + OFFSET(DNN!$X$9,FJ$9,0)</f>
        <v>-2.2535161745939301E-5</v>
      </c>
      <c r="FL52" s="415">
        <f t="shared" ca="1" si="98"/>
        <v>0.43031618918982212</v>
      </c>
      <c r="FM52" s="130">
        <f t="shared" ca="1" si="99"/>
        <v>1</v>
      </c>
      <c r="FN52" s="131">
        <f t="shared" ca="1" si="100"/>
        <v>0.65029522127322903</v>
      </c>
      <c r="FO52" s="131">
        <f t="shared" ca="1" si="101"/>
        <v>0.66028983545318687</v>
      </c>
      <c r="FP52" s="131">
        <f t="shared" ca="1" si="102"/>
        <v>0.64972655813153501</v>
      </c>
      <c r="FQ52" s="131">
        <f t="shared" ca="1" si="103"/>
        <v>0.65002804502111444</v>
      </c>
      <c r="FR52" s="131">
        <f t="shared" ca="1" si="104"/>
        <v>0.65029320640965171</v>
      </c>
      <c r="FS52" s="131">
        <f t="shared" ca="1" si="105"/>
        <v>0.64942668056342145</v>
      </c>
      <c r="FT52" s="131">
        <f t="shared" ca="1" si="106"/>
        <v>0.61083952513994022</v>
      </c>
      <c r="FU52" s="132">
        <f t="shared" ca="1" si="107"/>
        <v>0.6508682169276182</v>
      </c>
      <c r="FV52" s="131">
        <f t="shared" ca="1" si="108"/>
        <v>0.17402001625314881</v>
      </c>
      <c r="FW52" s="83">
        <f t="shared" ca="1" si="109"/>
        <v>-2.2535161742124597E-5</v>
      </c>
    </row>
    <row r="53" spans="1:179">
      <c r="A53" s="19">
        <f t="shared" si="117"/>
        <v>43</v>
      </c>
      <c r="B53" s="1">
        <f t="shared" ca="1" si="111"/>
        <v>0</v>
      </c>
      <c r="C53" s="20">
        <f t="shared" ca="1" si="112"/>
        <v>43</v>
      </c>
      <c r="D53" s="19" t="str">
        <f t="shared" ca="1" si="113"/>
        <v>〇×〇×〇×--〇</v>
      </c>
      <c r="E53" s="7">
        <f t="shared" ca="1" si="77"/>
        <v>9</v>
      </c>
      <c r="F53" s="7">
        <f t="shared" ca="1" si="78"/>
        <v>1</v>
      </c>
      <c r="G53" s="1" t="str">
        <f t="shared" ca="1" si="138"/>
        <v>〇×〇×〇×--〇</v>
      </c>
      <c r="H53" s="20" t="b">
        <f t="shared" ca="1" si="118"/>
        <v>1</v>
      </c>
      <c r="I53" s="22">
        <f t="shared" ca="1" si="114"/>
        <v>-1</v>
      </c>
      <c r="J53" s="1" t="b">
        <f ca="1">(1&lt;COUNTIF(D$10:D53,D53))</f>
        <v>1</v>
      </c>
      <c r="K53" s="1" t="b">
        <f t="shared" ca="1" si="81"/>
        <v>1</v>
      </c>
      <c r="L53" s="7">
        <f ca="1">MATCH(TRUE,K53:K$1048576,FALSE)-1</f>
        <v>0</v>
      </c>
      <c r="M53" s="24" t="str">
        <f t="shared" ca="1" si="119"/>
        <v>〇×〇×〇×--〇_9</v>
      </c>
      <c r="N53" s="25">
        <f t="shared" ca="1" si="82"/>
        <v>-2.2535161742124597E-5</v>
      </c>
      <c r="O53" s="26">
        <f t="shared" ca="1" si="83"/>
        <v>-1</v>
      </c>
      <c r="P53" s="27">
        <f t="shared" ca="1" si="84"/>
        <v>-1</v>
      </c>
      <c r="R53" s="41" t="str">
        <f ca="1">VLOOKUP(S53,cvt!$B$2:$C$4,2,FALSE)&amp;VLOOKUP(T53,cvt!$B$2:$C$4,2,FALSE)&amp;VLOOKUP(U53,cvt!$B$2:$C$4,2,FALSE)
&amp;VLOOKUP(V53,cvt!$B$2:$C$4,2,FALSE)&amp;VLOOKUP(W53,cvt!$B$2:$C$4,2,FALSE)&amp;VLOOKUP(X53,cvt!$B$2:$C$4,2,FALSE)
&amp;VLOOKUP(Y53,cvt!$B$2:$C$4,2,FALSE)&amp;VLOOKUP(Z53,cvt!$B$2:$C$4,2,FALSE)&amp;VLOOKUP(AA53,cvt!$B$2:$C$4,2,FALSE)</f>
        <v>〇×〇×〇×--〇</v>
      </c>
      <c r="S53" s="7">
        <f ca="1">VLOOKUP(MID($D53,S$9+1,1), cvt!$A$2:$B$4,2, FALSE)</f>
        <v>1</v>
      </c>
      <c r="T53" s="7">
        <f ca="1">VLOOKUP(MID($D53,T$9+1,1), cvt!$A$2:$B$4,2, FALSE)</f>
        <v>-1</v>
      </c>
      <c r="U53" s="7">
        <f ca="1">VLOOKUP(MID($D53,U$9+1,1), cvt!$A$2:$B$4,2, FALSE)</f>
        <v>1</v>
      </c>
      <c r="V53" s="17">
        <f ca="1">VLOOKUP(MID($D53,V$9+1,1), cvt!$A$2:$B$4,2, FALSE)</f>
        <v>-1</v>
      </c>
      <c r="W53" s="7">
        <f ca="1">VLOOKUP(MID($D53,W$9+1,1), cvt!$A$2:$B$4,2, FALSE)</f>
        <v>1</v>
      </c>
      <c r="X53" s="18">
        <f ca="1">VLOOKUP(MID($D53,X$9+1,1), cvt!$A$2:$B$4,2, FALSE)</f>
        <v>-1</v>
      </c>
      <c r="Y53" s="7">
        <f ca="1">VLOOKUP(MID($D53,Y$9+1,1), cvt!$A$2:$B$4,2, FALSE)</f>
        <v>0</v>
      </c>
      <c r="Z53" s="7">
        <f ca="1">VLOOKUP(MID($D53,Z$9+1,1), cvt!$A$2:$B$4,2, FALSE)</f>
        <v>0</v>
      </c>
      <c r="AA53" s="42">
        <f ca="1">VLOOKUP(MID($D53,AA$9+1,1), cvt!$A$2:$B$4,2, FALSE)</f>
        <v>1</v>
      </c>
      <c r="AB53" s="7">
        <f t="shared" ca="1" si="85"/>
        <v>1</v>
      </c>
      <c r="AC53" s="50" t="b">
        <f t="shared" ca="1" si="86"/>
        <v>1</v>
      </c>
      <c r="AE53" s="19" t="str">
        <f ca="1">VLOOKUP(AF53,cvt!$B$2:$C$4,2,FALSE)&amp;VLOOKUP(AG53,cvt!$B$2:$C$4,2,FALSE)&amp;VLOOKUP(AH53,cvt!$B$2:$C$4,2,FALSE)
&amp;VLOOKUP(AI53,cvt!$B$2:$C$4,2,FALSE)&amp;VLOOKUP(AJ53,cvt!$B$2:$C$4,2,FALSE)&amp;VLOOKUP(AK53,cvt!$B$2:$C$4,2,FALSE)
&amp;VLOOKUP(AL53,cvt!$B$2:$C$4,2,FALSE)&amp;VLOOKUP(AM53,cvt!$B$2:$C$4,2,FALSE)&amp;VLOOKUP(AN53,cvt!$B$2:$C$4,2,FALSE)</f>
        <v>〇×〇×〇×--〇</v>
      </c>
      <c r="AF53" s="17">
        <f t="shared" ca="1" si="120"/>
        <v>1</v>
      </c>
      <c r="AG53" s="7">
        <f t="shared" ca="1" si="121"/>
        <v>-1</v>
      </c>
      <c r="AH53" s="7">
        <f t="shared" ca="1" si="122"/>
        <v>1</v>
      </c>
      <c r="AI53" s="17">
        <f t="shared" ca="1" si="123"/>
        <v>-1</v>
      </c>
      <c r="AJ53" s="7">
        <f t="shared" ca="1" si="124"/>
        <v>1</v>
      </c>
      <c r="AK53" s="18">
        <f t="shared" ca="1" si="125"/>
        <v>-1</v>
      </c>
      <c r="AL53" s="7">
        <f t="shared" ca="1" si="126"/>
        <v>0</v>
      </c>
      <c r="AM53" s="7">
        <f t="shared" ca="1" si="127"/>
        <v>0</v>
      </c>
      <c r="AN53" s="18">
        <f t="shared" ca="1" si="128"/>
        <v>1</v>
      </c>
      <c r="AO53" s="7">
        <f t="shared" ca="1" si="115"/>
        <v>1</v>
      </c>
      <c r="AP53" s="50" t="b">
        <f t="shared" ca="1" si="87"/>
        <v>1</v>
      </c>
      <c r="AS53" s="22">
        <f t="shared" ca="1" si="88"/>
        <v>0</v>
      </c>
      <c r="AT53" s="7">
        <f t="shared" ca="1" si="23"/>
        <v>0</v>
      </c>
      <c r="AU53" s="7">
        <f t="shared" ca="1" si="24"/>
        <v>0</v>
      </c>
      <c r="AV53" s="7">
        <f t="shared" ca="1" si="25"/>
        <v>0</v>
      </c>
      <c r="AW53" s="7">
        <f t="shared" ca="1" si="26"/>
        <v>0</v>
      </c>
      <c r="AX53" s="7">
        <f t="shared" ca="1" si="27"/>
        <v>0</v>
      </c>
      <c r="AY53" s="7">
        <f t="shared" ca="1" si="28"/>
        <v>0</v>
      </c>
      <c r="AZ53" s="7">
        <f t="shared" ca="1" si="29"/>
        <v>0</v>
      </c>
      <c r="BA53" s="18">
        <f t="shared" ca="1" si="30"/>
        <v>0</v>
      </c>
      <c r="BB53" s="295">
        <f t="shared" ca="1" si="89"/>
        <v>1</v>
      </c>
      <c r="BD53" s="132"/>
      <c r="BE53" s="297">
        <f t="shared" ca="1" si="90"/>
        <v>1</v>
      </c>
      <c r="BF53" s="298">
        <f t="shared" ca="1" si="31"/>
        <v>0.65029522127322903</v>
      </c>
      <c r="BG53" s="298">
        <f t="shared" ca="1" si="32"/>
        <v>0.66028983545318687</v>
      </c>
      <c r="BH53" s="318">
        <f t="shared" ca="1" si="33"/>
        <v>0.64972655813153501</v>
      </c>
      <c r="BI53" s="298">
        <f t="shared" ca="1" si="34"/>
        <v>0.65002804502111444</v>
      </c>
      <c r="BJ53" s="299">
        <f t="shared" ca="1" si="35"/>
        <v>0.65029320640965171</v>
      </c>
      <c r="BK53" s="298">
        <f t="shared" ca="1" si="36"/>
        <v>0.64942668056342145</v>
      </c>
      <c r="BL53" s="298">
        <f t="shared" ca="1" si="37"/>
        <v>0.61083952513994022</v>
      </c>
      <c r="BM53" s="299">
        <f t="shared" ca="1" si="38"/>
        <v>0.6508682169276182</v>
      </c>
      <c r="BN53" s="295">
        <f t="shared" ca="1" si="39"/>
        <v>0.17402001625314881</v>
      </c>
      <c r="BO53" s="248">
        <f t="shared" ca="1" si="91"/>
        <v>-2.2535161742124597E-5</v>
      </c>
      <c r="BQ53" s="304">
        <f t="shared" ca="1" si="92"/>
        <v>0.42412001625314877</v>
      </c>
      <c r="BR53" s="297">
        <f t="shared" ca="1" si="93"/>
        <v>0</v>
      </c>
      <c r="BS53" s="298">
        <f t="shared" ca="1" si="40"/>
        <v>0</v>
      </c>
      <c r="BT53" s="298">
        <f t="shared" ca="1" si="41"/>
        <v>0</v>
      </c>
      <c r="BU53" s="318">
        <f t="shared" ca="1" si="42"/>
        <v>0</v>
      </c>
      <c r="BV53" s="298">
        <f t="shared" ca="1" si="43"/>
        <v>0</v>
      </c>
      <c r="BW53" s="299">
        <f t="shared" ca="1" si="44"/>
        <v>0</v>
      </c>
      <c r="BX53" s="298">
        <f t="shared" ca="1" si="45"/>
        <v>0</v>
      </c>
      <c r="BY53" s="298">
        <f t="shared" ca="1" si="46"/>
        <v>0</v>
      </c>
      <c r="BZ53" s="298">
        <f t="shared" ca="1" si="47"/>
        <v>0</v>
      </c>
      <c r="CA53" s="315">
        <f t="shared" ca="1" si="48"/>
        <v>0.42412001625314877</v>
      </c>
      <c r="CC53" s="52"/>
      <c r="CD53" s="306">
        <f t="shared" ca="1" si="94"/>
        <v>0</v>
      </c>
      <c r="CE53" s="15">
        <f t="shared" ca="1" si="49"/>
        <v>0</v>
      </c>
      <c r="CF53" s="15">
        <f t="shared" ca="1" si="50"/>
        <v>0</v>
      </c>
      <c r="CG53" s="286">
        <f t="shared" ca="1" si="51"/>
        <v>0</v>
      </c>
      <c r="CH53" s="15">
        <f t="shared" ca="1" si="52"/>
        <v>0</v>
      </c>
      <c r="CI53" s="288">
        <f t="shared" ca="1" si="53"/>
        <v>0</v>
      </c>
      <c r="CJ53" s="15">
        <f t="shared" ca="1" si="54"/>
        <v>0</v>
      </c>
      <c r="CK53" s="15">
        <f t="shared" ca="1" si="55"/>
        <v>0</v>
      </c>
      <c r="CL53" s="15">
        <f t="shared" ca="1" si="56"/>
        <v>0</v>
      </c>
      <c r="CM53" s="313">
        <f t="shared" ca="1" si="57"/>
        <v>1</v>
      </c>
      <c r="CO53" s="320">
        <f t="shared" ca="1" si="95"/>
        <v>42</v>
      </c>
      <c r="CP53" s="22">
        <f ca="1">COUNTIFS($C$10:$C52,"&lt;"&amp;$C53,$M$10:$M52,$D53&amp;"_"&amp;CP$9)</f>
        <v>0</v>
      </c>
      <c r="CQ53" s="7">
        <f ca="1">COUNTIFS($C$10:$C52,"&lt;"&amp;$C53,$M$10:$M52,$D53&amp;"_"&amp;CQ$9)</f>
        <v>0</v>
      </c>
      <c r="CR53" s="7">
        <f ca="1">COUNTIFS($C$10:$C52,"&lt;"&amp;$C53,$M$10:$M52,$D53&amp;"_"&amp;CR$9)</f>
        <v>0</v>
      </c>
      <c r="CS53" s="17">
        <f ca="1">COUNTIFS($C$10:$C52,"&lt;"&amp;$C53,$M$10:$M52,$D53&amp;"_"&amp;CS$9)</f>
        <v>0</v>
      </c>
      <c r="CT53" s="7">
        <f ca="1">COUNTIFS($C$10:$C52,"&lt;"&amp;$C53,$M$10:$M52,$D53&amp;"_"&amp;CT$9)</f>
        <v>0</v>
      </c>
      <c r="CU53" s="18">
        <f ca="1">COUNTIFS($C$10:$C52,"&lt;"&amp;$C53,$M$10:$M52,$D53&amp;"_"&amp;CU$9)</f>
        <v>0</v>
      </c>
      <c r="CV53" s="7">
        <f ca="1">COUNTIFS($C$10:$C52,"&lt;"&amp;$C53,$M$10:$M52,$D53&amp;"_"&amp;CV$9)</f>
        <v>0</v>
      </c>
      <c r="CW53" s="7">
        <f ca="1">COUNTIFS($C$10:$C52,"&lt;"&amp;$C53,$M$10:$M52,$D53&amp;"_"&amp;CW$9)</f>
        <v>0</v>
      </c>
      <c r="CX53" s="7">
        <f ca="1">COUNTIFS($C$10:$C52,"&lt;"&amp;$C53,$M$10:$M52,$D53&amp;"_"&amp;CX$9)</f>
        <v>0</v>
      </c>
      <c r="CY53" s="221">
        <f ca="1">COUNTIFS($C$10:$C52,"&lt;"&amp;$C53,$M$10:$M52,$D53&amp;"_"&amp;CY$9)</f>
        <v>42</v>
      </c>
      <c r="DA53" s="20"/>
      <c r="DB53" s="308">
        <f ca="1">IF(CP53=0,0,SUMIFS($P$10:$P52, $C$10:$C52,"&lt;"&amp;$C53, $M$10:$M52,$D53&amp;"_"&amp;DB$9)/CP53)</f>
        <v>0</v>
      </c>
      <c r="DC53" s="263">
        <f ca="1">IF(CQ53=0,0,SUMIFS($P$10:$P52, $C$10:$C52,"&lt;"&amp;$C53, $M$10:$M52,$D53&amp;"_"&amp;DC$9)/CQ53)</f>
        <v>0</v>
      </c>
      <c r="DD53" s="263">
        <f ca="1">IF(CR53=0,0,SUMIFS($P$10:$P52, $C$10:$C52,"&lt;"&amp;$C53, $M$10:$M52,$D53&amp;"_"&amp;DD$9)/CR53)</f>
        <v>0</v>
      </c>
      <c r="DE53" s="262">
        <f ca="1">IF(CS53=0,0,SUMIFS($P$10:$P52, $C$10:$C52,"&lt;"&amp;$C53, $M$10:$M52,$D53&amp;"_"&amp;DE$9)/CS53)</f>
        <v>0</v>
      </c>
      <c r="DF53" s="263">
        <f ca="1">IF(CT53=0,0,SUMIFS($P$10:$P52, $C$10:$C52,"&lt;"&amp;$C53, $M$10:$M52,$D53&amp;"_"&amp;DF$9)/CT53)</f>
        <v>0</v>
      </c>
      <c r="DG53" s="310">
        <f ca="1">IF(CU53=0,0,SUMIFS($P$10:$P52, $C$10:$C52,"&lt;"&amp;$C53, $M$10:$M52,$D53&amp;"_"&amp;DG$9)/CU53)</f>
        <v>0</v>
      </c>
      <c r="DH53" s="263">
        <f ca="1">IF(CV53=0,0,SUMIFS($P$10:$P52, $C$10:$C52,"&lt;"&amp;$C53, $M$10:$M52,$D53&amp;"_"&amp;DH$9)/CV53)</f>
        <v>0</v>
      </c>
      <c r="DI53" s="263">
        <f ca="1">IF(CW53=0,0,SUMIFS($P$10:$P52, $C$10:$C52,"&lt;"&amp;$C53, $M$10:$M52,$D53&amp;"_"&amp;DI$9)/CW53)</f>
        <v>0</v>
      </c>
      <c r="DJ53" s="264">
        <f ca="1">IF(CX53=0,0,SUMIFS($P$10:$P52, $C$10:$C52,"&lt;"&amp;$C53, $M$10:$M52,$D53&amp;"_"&amp;DJ$9)/CX53)</f>
        <v>0</v>
      </c>
      <c r="DK53" s="264">
        <f ca="1">IF(CY53=0,0,SUMIFS($P$10:$P52, $C$10:$C52,"&lt;"&amp;$C53, $M$10:$M52,$D53&amp;"_"&amp;DK$9)/CY53)</f>
        <v>-1</v>
      </c>
      <c r="DM53" s="104"/>
      <c r="DN53" s="306">
        <f t="shared" ca="1" si="96"/>
        <v>-9999</v>
      </c>
      <c r="DO53" s="15">
        <f t="shared" ca="1" si="58"/>
        <v>-9999</v>
      </c>
      <c r="DP53" s="15">
        <f t="shared" ca="1" si="59"/>
        <v>-9999</v>
      </c>
      <c r="DQ53" s="15">
        <f t="shared" ca="1" si="60"/>
        <v>-9999</v>
      </c>
      <c r="DR53" s="15">
        <f t="shared" ca="1" si="61"/>
        <v>-9999</v>
      </c>
      <c r="DS53" s="15">
        <f t="shared" ca="1" si="62"/>
        <v>-9999</v>
      </c>
      <c r="DT53" s="15">
        <f t="shared" ca="1" si="63"/>
        <v>-9999</v>
      </c>
      <c r="DU53" s="15">
        <f t="shared" ca="1" si="64"/>
        <v>-9999</v>
      </c>
      <c r="DV53" s="52">
        <f t="shared" ca="1" si="65"/>
        <v>-9999</v>
      </c>
      <c r="DW53" s="313">
        <f t="shared" ca="1" si="66"/>
        <v>-0.84928510003702651</v>
      </c>
      <c r="DX53" s="52"/>
      <c r="DY53" s="402">
        <f t="shared" ca="1" si="97"/>
        <v>9</v>
      </c>
      <c r="ED53" s="19">
        <f t="shared" ca="1" si="129"/>
        <v>-1</v>
      </c>
      <c r="EE53" s="1">
        <f t="shared" ca="1" si="130"/>
        <v>1</v>
      </c>
      <c r="EF53" s="1">
        <f t="shared" ca="1" si="131"/>
        <v>-1</v>
      </c>
      <c r="EG53" s="2">
        <f t="shared" ca="1" si="132"/>
        <v>1</v>
      </c>
      <c r="EH53" s="1">
        <f t="shared" ca="1" si="133"/>
        <v>-1</v>
      </c>
      <c r="EI53" s="3">
        <f t="shared" ca="1" si="134"/>
        <v>1</v>
      </c>
      <c r="EJ53" s="1">
        <f t="shared" ca="1" si="135"/>
        <v>0</v>
      </c>
      <c r="EK53" s="1">
        <f t="shared" ca="1" si="136"/>
        <v>0</v>
      </c>
      <c r="EL53" s="20">
        <f t="shared" ca="1" si="137"/>
        <v>-1</v>
      </c>
      <c r="EN53" s="86">
        <f ca="1">MAX(0, SUMPRODUCT($ED53:$EL53,OFFSET(DNN!$E$9:$M$9,EN$9,0)) + OFFSET(DNN!$D$9,EN$9,0))</f>
        <v>0</v>
      </c>
      <c r="EO53" s="84">
        <f ca="1">MAX(0, SUMPRODUCT($ED53:$EL53,OFFSET(DNN!$E$9:$M$9,EO$9,0)) + OFFSET(DNN!$D$9,EO$9,0))</f>
        <v>7.2346022384755949E-3</v>
      </c>
      <c r="EP53" s="84">
        <f ca="1">MAX(0, SUMPRODUCT($ED53:$EL53,OFFSET(DNN!$E$9:$M$9,EP$9,0)) + OFFSET(DNN!$D$9,EP$9,0))</f>
        <v>3.6951849750035152E-3</v>
      </c>
      <c r="EQ53" s="84">
        <f ca="1">MAX(0, SUMPRODUCT($ED53:$EL53,OFFSET(DNN!$E$9:$M$9,EQ$9,0)) + OFFSET(DNN!$D$9,EQ$9,0))</f>
        <v>0</v>
      </c>
      <c r="ER53" s="85">
        <f ca="1">MAX(0, SUMPRODUCT($ED53:$EL53,OFFSET(DNN!$E$9:$M$9,ER$9,0)) + OFFSET(DNN!$D$9,ER$9,0))</f>
        <v>0</v>
      </c>
      <c r="ET53" s="86">
        <f ca="1">MAX(0, SUMPRODUCT($EN53:$ER53,OFFSET(DNN!$Q$9:$U$9,ET$9,0)) + OFFSET(DNN!$P$9,ET$9,0))</f>
        <v>4.3954959453478351E-4</v>
      </c>
      <c r="EU53" s="84">
        <f ca="1">MAX(0, SUMPRODUCT($EN53:$ER53,OFFSET(DNN!$Q$9:$U$9,EU$9,0)) + OFFSET(DNN!$P$9,EU$9,0))</f>
        <v>0</v>
      </c>
      <c r="EV53" s="84">
        <f ca="1">MAX(0, SUMPRODUCT($EN53:$ER53,OFFSET(DNN!$Q$9:$U$9,EV$9,0)) + OFFSET(DNN!$P$9,EV$9,0))</f>
        <v>1.2810123361902579E-3</v>
      </c>
      <c r="EW53" s="84">
        <f ca="1">MAX(0, SUMPRODUCT($EN53:$ER53,OFFSET(DNN!$Q$9:$U$9,EW$9,0)) + OFFSET(DNN!$P$9,EW$9,0))</f>
        <v>7.8382123007882457E-4</v>
      </c>
      <c r="EX53" s="85">
        <f ca="1">MAX(0, SUMPRODUCT($EN53:$ER53,OFFSET(DNN!$Q$9:$U$9,EX$9,0)) + OFFSET(DNN!$P$9,EX$9,0))</f>
        <v>0</v>
      </c>
      <c r="EZ53" s="111">
        <f ca="1">SUMPRODUCT($ET53:$EX53,OFFSET(DNN!$Y$9:$AC$9,EZ$9,0)) + OFFSET(DNN!$X$9,EZ$9,0)</f>
        <v>0.43031618918982212</v>
      </c>
      <c r="FA53" s="97">
        <f ca="1">SUMPRODUCT($ET53:$EX53,OFFSET(DNN!$Y$9:$AC$9,FA$9,0)) + OFFSET(DNN!$X$9,FA$9,0)</f>
        <v>-1.2643439935754107E-5</v>
      </c>
      <c r="FB53" s="97">
        <f ca="1">SUMPRODUCT($ET53:$EX53,OFFSET(DNN!$Y$9:$AC$9,FB$9,0)) + OFFSET(DNN!$X$9,FB$9,0)</f>
        <v>1.5239793458415756E-2</v>
      </c>
      <c r="FC53" s="97">
        <f ca="1">SUMPRODUCT($ET53:$EX53,OFFSET(DNN!$Y$9:$AC$9,FC$9,0)) + OFFSET(DNN!$X$9,FC$9,0)</f>
        <v>-8.8749521084055777E-4</v>
      </c>
      <c r="FD53" s="97">
        <f ca="1">SUMPRODUCT($ET53:$EX53,OFFSET(DNN!$Y$9:$AC$9,FD$9,0)) + OFFSET(DNN!$X$9,FD$9,0)</f>
        <v>-4.235816470721872E-4</v>
      </c>
      <c r="FE53" s="97">
        <f ca="1">SUMPRODUCT($ET53:$EX53,OFFSET(DNN!$Y$9:$AC$9,FE$9,0)) + OFFSET(DNN!$X$9,FE$9,0)</f>
        <v>-1.574182761064886E-5</v>
      </c>
      <c r="FF53" s="97">
        <f ca="1">SUMPRODUCT($ET53:$EX53,OFFSET(DNN!$Y$9:$AC$9,FF$9,0)) + OFFSET(DNN!$X$9,FF$9,0)</f>
        <v>-1.3491460223194656E-3</v>
      </c>
      <c r="FG53" s="97">
        <f ca="1">SUMPRODUCT($ET53:$EX53,OFFSET(DNN!$Y$9:$AC$9,FG$9,0)) + OFFSET(DNN!$X$9,FG$9,0)</f>
        <v>-6.2604808096248285E-2</v>
      </c>
      <c r="FH53" s="97">
        <f ca="1">SUMPRODUCT($ET53:$EX53,OFFSET(DNN!$Y$9:$AC$9,FH$9,0)) + OFFSET(DNN!$X$9,FH$9,0)</f>
        <v>8.6810016937029894E-4</v>
      </c>
      <c r="FI53" s="108">
        <f ca="1">SUMPRODUCT($ET53:$EX53,OFFSET(DNN!$Y$9:$AC$9,FI$9,0)) + OFFSET(DNN!$X$9,FI$9,0)</f>
        <v>-1.3182687612562751</v>
      </c>
      <c r="FJ53" s="98">
        <f ca="1">SUMPRODUCT($ET53:$EX53,OFFSET(DNN!$Y$9:$AC$9,FJ$9,0)) + OFFSET(DNN!$X$9,FJ$9,0)</f>
        <v>-2.2535161745939301E-5</v>
      </c>
      <c r="FL53" s="415">
        <f t="shared" ca="1" si="98"/>
        <v>0.43031618918982212</v>
      </c>
      <c r="FM53" s="130">
        <f t="shared" ca="1" si="99"/>
        <v>1</v>
      </c>
      <c r="FN53" s="131">
        <f t="shared" ca="1" si="100"/>
        <v>0.65029522127322903</v>
      </c>
      <c r="FO53" s="131">
        <f t="shared" ca="1" si="101"/>
        <v>0.66028983545318687</v>
      </c>
      <c r="FP53" s="131">
        <f t="shared" ca="1" si="102"/>
        <v>0.64972655813153501</v>
      </c>
      <c r="FQ53" s="131">
        <f t="shared" ca="1" si="103"/>
        <v>0.65002804502111444</v>
      </c>
      <c r="FR53" s="131">
        <f t="shared" ca="1" si="104"/>
        <v>0.65029320640965171</v>
      </c>
      <c r="FS53" s="131">
        <f t="shared" ca="1" si="105"/>
        <v>0.64942668056342145</v>
      </c>
      <c r="FT53" s="131">
        <f t="shared" ca="1" si="106"/>
        <v>0.61083952513994022</v>
      </c>
      <c r="FU53" s="132">
        <f t="shared" ca="1" si="107"/>
        <v>0.6508682169276182</v>
      </c>
      <c r="FV53" s="131">
        <f t="shared" ca="1" si="108"/>
        <v>0.17402001625314881</v>
      </c>
      <c r="FW53" s="83">
        <f t="shared" ca="1" si="109"/>
        <v>-2.2535161742124597E-5</v>
      </c>
    </row>
    <row r="54" spans="1:179">
      <c r="A54" s="19">
        <f t="shared" si="117"/>
        <v>44</v>
      </c>
      <c r="B54" s="1">
        <f t="shared" ca="1" si="111"/>
        <v>0</v>
      </c>
      <c r="C54" s="20">
        <f t="shared" ca="1" si="112"/>
        <v>44</v>
      </c>
      <c r="D54" s="19" t="str">
        <f t="shared" ca="1" si="113"/>
        <v>〇×〇×〇×--〇</v>
      </c>
      <c r="E54" s="7">
        <f t="shared" ca="1" si="77"/>
        <v>9</v>
      </c>
      <c r="F54" s="7">
        <f t="shared" ca="1" si="78"/>
        <v>1</v>
      </c>
      <c r="G54" s="1" t="str">
        <f t="shared" ca="1" si="138"/>
        <v>〇×〇×〇×--〇</v>
      </c>
      <c r="H54" s="20" t="b">
        <f t="shared" ca="1" si="118"/>
        <v>1</v>
      </c>
      <c r="I54" s="22">
        <f t="shared" ca="1" si="114"/>
        <v>-1</v>
      </c>
      <c r="J54" s="1" t="b">
        <f ca="1">(1&lt;COUNTIF(D$10:D54,D54))</f>
        <v>1</v>
      </c>
      <c r="K54" s="1" t="b">
        <f t="shared" ca="1" si="81"/>
        <v>1</v>
      </c>
      <c r="L54" s="7">
        <f ca="1">MATCH(TRUE,K54:K$1048576,FALSE)-1</f>
        <v>0</v>
      </c>
      <c r="M54" s="24" t="str">
        <f t="shared" ca="1" si="119"/>
        <v>〇×〇×〇×--〇_9</v>
      </c>
      <c r="N54" s="25">
        <f t="shared" ca="1" si="82"/>
        <v>-2.2535161742124597E-5</v>
      </c>
      <c r="O54" s="26">
        <f t="shared" ca="1" si="83"/>
        <v>-1</v>
      </c>
      <c r="P54" s="27">
        <f t="shared" ca="1" si="84"/>
        <v>-1</v>
      </c>
      <c r="R54" s="41" t="str">
        <f ca="1">VLOOKUP(S54,cvt!$B$2:$C$4,2,FALSE)&amp;VLOOKUP(T54,cvt!$B$2:$C$4,2,FALSE)&amp;VLOOKUP(U54,cvt!$B$2:$C$4,2,FALSE)
&amp;VLOOKUP(V54,cvt!$B$2:$C$4,2,FALSE)&amp;VLOOKUP(W54,cvt!$B$2:$C$4,2,FALSE)&amp;VLOOKUP(X54,cvt!$B$2:$C$4,2,FALSE)
&amp;VLOOKUP(Y54,cvt!$B$2:$C$4,2,FALSE)&amp;VLOOKUP(Z54,cvt!$B$2:$C$4,2,FALSE)&amp;VLOOKUP(AA54,cvt!$B$2:$C$4,2,FALSE)</f>
        <v>〇×〇×〇×--〇</v>
      </c>
      <c r="S54" s="7">
        <f ca="1">VLOOKUP(MID($D54,S$9+1,1), cvt!$A$2:$B$4,2, FALSE)</f>
        <v>1</v>
      </c>
      <c r="T54" s="7">
        <f ca="1">VLOOKUP(MID($D54,T$9+1,1), cvt!$A$2:$B$4,2, FALSE)</f>
        <v>-1</v>
      </c>
      <c r="U54" s="7">
        <f ca="1">VLOOKUP(MID($D54,U$9+1,1), cvt!$A$2:$B$4,2, FALSE)</f>
        <v>1</v>
      </c>
      <c r="V54" s="17">
        <f ca="1">VLOOKUP(MID($D54,V$9+1,1), cvt!$A$2:$B$4,2, FALSE)</f>
        <v>-1</v>
      </c>
      <c r="W54" s="7">
        <f ca="1">VLOOKUP(MID($D54,W$9+1,1), cvt!$A$2:$B$4,2, FALSE)</f>
        <v>1</v>
      </c>
      <c r="X54" s="18">
        <f ca="1">VLOOKUP(MID($D54,X$9+1,1), cvt!$A$2:$B$4,2, FALSE)</f>
        <v>-1</v>
      </c>
      <c r="Y54" s="7">
        <f ca="1">VLOOKUP(MID($D54,Y$9+1,1), cvt!$A$2:$B$4,2, FALSE)</f>
        <v>0</v>
      </c>
      <c r="Z54" s="7">
        <f ca="1">VLOOKUP(MID($D54,Z$9+1,1), cvt!$A$2:$B$4,2, FALSE)</f>
        <v>0</v>
      </c>
      <c r="AA54" s="42">
        <f ca="1">VLOOKUP(MID($D54,AA$9+1,1), cvt!$A$2:$B$4,2, FALSE)</f>
        <v>1</v>
      </c>
      <c r="AB54" s="7">
        <f t="shared" ca="1" si="85"/>
        <v>1</v>
      </c>
      <c r="AC54" s="50" t="b">
        <f t="shared" ca="1" si="86"/>
        <v>1</v>
      </c>
      <c r="AE54" s="19" t="str">
        <f ca="1">VLOOKUP(AF54,cvt!$B$2:$C$4,2,FALSE)&amp;VLOOKUP(AG54,cvt!$B$2:$C$4,2,FALSE)&amp;VLOOKUP(AH54,cvt!$B$2:$C$4,2,FALSE)
&amp;VLOOKUP(AI54,cvt!$B$2:$C$4,2,FALSE)&amp;VLOOKUP(AJ54,cvt!$B$2:$C$4,2,FALSE)&amp;VLOOKUP(AK54,cvt!$B$2:$C$4,2,FALSE)
&amp;VLOOKUP(AL54,cvt!$B$2:$C$4,2,FALSE)&amp;VLOOKUP(AM54,cvt!$B$2:$C$4,2,FALSE)&amp;VLOOKUP(AN54,cvt!$B$2:$C$4,2,FALSE)</f>
        <v>〇×〇×〇×--〇</v>
      </c>
      <c r="AF54" s="17">
        <f t="shared" ca="1" si="120"/>
        <v>1</v>
      </c>
      <c r="AG54" s="7">
        <f t="shared" ca="1" si="121"/>
        <v>-1</v>
      </c>
      <c r="AH54" s="7">
        <f t="shared" ca="1" si="122"/>
        <v>1</v>
      </c>
      <c r="AI54" s="17">
        <f t="shared" ca="1" si="123"/>
        <v>-1</v>
      </c>
      <c r="AJ54" s="7">
        <f t="shared" ca="1" si="124"/>
        <v>1</v>
      </c>
      <c r="AK54" s="18">
        <f t="shared" ca="1" si="125"/>
        <v>-1</v>
      </c>
      <c r="AL54" s="7">
        <f t="shared" ca="1" si="126"/>
        <v>0</v>
      </c>
      <c r="AM54" s="7">
        <f t="shared" ca="1" si="127"/>
        <v>0</v>
      </c>
      <c r="AN54" s="18">
        <f t="shared" ca="1" si="128"/>
        <v>1</v>
      </c>
      <c r="AO54" s="7">
        <f t="shared" ca="1" si="115"/>
        <v>1</v>
      </c>
      <c r="AP54" s="50" t="b">
        <f t="shared" ca="1" si="87"/>
        <v>1</v>
      </c>
      <c r="AS54" s="22">
        <f t="shared" ca="1" si="88"/>
        <v>0</v>
      </c>
      <c r="AT54" s="7">
        <f t="shared" ca="1" si="23"/>
        <v>0</v>
      </c>
      <c r="AU54" s="7">
        <f t="shared" ca="1" si="24"/>
        <v>0</v>
      </c>
      <c r="AV54" s="7">
        <f t="shared" ca="1" si="25"/>
        <v>0</v>
      </c>
      <c r="AW54" s="7">
        <f t="shared" ca="1" si="26"/>
        <v>0</v>
      </c>
      <c r="AX54" s="7">
        <f t="shared" ca="1" si="27"/>
        <v>0</v>
      </c>
      <c r="AY54" s="7">
        <f t="shared" ca="1" si="28"/>
        <v>0</v>
      </c>
      <c r="AZ54" s="7">
        <f t="shared" ca="1" si="29"/>
        <v>0</v>
      </c>
      <c r="BA54" s="18">
        <f t="shared" ca="1" si="30"/>
        <v>0</v>
      </c>
      <c r="BB54" s="295">
        <f t="shared" ca="1" si="89"/>
        <v>1</v>
      </c>
      <c r="BD54" s="132"/>
      <c r="BE54" s="297">
        <f t="shared" ca="1" si="90"/>
        <v>1</v>
      </c>
      <c r="BF54" s="298">
        <f t="shared" ca="1" si="31"/>
        <v>0.65029522127322903</v>
      </c>
      <c r="BG54" s="298">
        <f t="shared" ca="1" si="32"/>
        <v>0.66028983545318687</v>
      </c>
      <c r="BH54" s="318">
        <f t="shared" ca="1" si="33"/>
        <v>0.64972655813153501</v>
      </c>
      <c r="BI54" s="298">
        <f t="shared" ca="1" si="34"/>
        <v>0.65002804502111444</v>
      </c>
      <c r="BJ54" s="299">
        <f t="shared" ca="1" si="35"/>
        <v>0.65029320640965171</v>
      </c>
      <c r="BK54" s="298">
        <f t="shared" ca="1" si="36"/>
        <v>0.64942668056342145</v>
      </c>
      <c r="BL54" s="298">
        <f t="shared" ca="1" si="37"/>
        <v>0.61083952513994022</v>
      </c>
      <c r="BM54" s="299">
        <f t="shared" ca="1" si="38"/>
        <v>0.6508682169276182</v>
      </c>
      <c r="BN54" s="295">
        <f t="shared" ca="1" si="39"/>
        <v>0.17402001625314881</v>
      </c>
      <c r="BO54" s="248">
        <f t="shared" ca="1" si="91"/>
        <v>-2.2535161742124597E-5</v>
      </c>
      <c r="BQ54" s="304">
        <f t="shared" ca="1" si="92"/>
        <v>0.1741200162531488</v>
      </c>
      <c r="BR54" s="297">
        <f t="shared" ca="1" si="93"/>
        <v>0</v>
      </c>
      <c r="BS54" s="298">
        <f t="shared" ca="1" si="40"/>
        <v>0</v>
      </c>
      <c r="BT54" s="298">
        <f t="shared" ca="1" si="41"/>
        <v>0</v>
      </c>
      <c r="BU54" s="318">
        <f t="shared" ca="1" si="42"/>
        <v>0</v>
      </c>
      <c r="BV54" s="298">
        <f t="shared" ca="1" si="43"/>
        <v>0</v>
      </c>
      <c r="BW54" s="299">
        <f t="shared" ca="1" si="44"/>
        <v>0</v>
      </c>
      <c r="BX54" s="298">
        <f t="shared" ca="1" si="45"/>
        <v>0</v>
      </c>
      <c r="BY54" s="298">
        <f t="shared" ca="1" si="46"/>
        <v>0</v>
      </c>
      <c r="BZ54" s="298">
        <f t="shared" ca="1" si="47"/>
        <v>0</v>
      </c>
      <c r="CA54" s="315">
        <f t="shared" ca="1" si="48"/>
        <v>0.1741200162531488</v>
      </c>
      <c r="CC54" s="52"/>
      <c r="CD54" s="306">
        <f t="shared" ca="1" si="94"/>
        <v>0</v>
      </c>
      <c r="CE54" s="15">
        <f t="shared" ca="1" si="49"/>
        <v>0</v>
      </c>
      <c r="CF54" s="15">
        <f t="shared" ca="1" si="50"/>
        <v>0</v>
      </c>
      <c r="CG54" s="286">
        <f t="shared" ca="1" si="51"/>
        <v>0</v>
      </c>
      <c r="CH54" s="15">
        <f t="shared" ca="1" si="52"/>
        <v>0</v>
      </c>
      <c r="CI54" s="288">
        <f t="shared" ca="1" si="53"/>
        <v>0</v>
      </c>
      <c r="CJ54" s="15">
        <f t="shared" ca="1" si="54"/>
        <v>0</v>
      </c>
      <c r="CK54" s="15">
        <f t="shared" ca="1" si="55"/>
        <v>0</v>
      </c>
      <c r="CL54" s="15">
        <f t="shared" ca="1" si="56"/>
        <v>0</v>
      </c>
      <c r="CM54" s="313">
        <f t="shared" ca="1" si="57"/>
        <v>1</v>
      </c>
      <c r="CO54" s="320">
        <f t="shared" ca="1" si="95"/>
        <v>43</v>
      </c>
      <c r="CP54" s="22">
        <f ca="1">COUNTIFS($C$10:$C53,"&lt;"&amp;$C54,$M$10:$M53,$D54&amp;"_"&amp;CP$9)</f>
        <v>0</v>
      </c>
      <c r="CQ54" s="7">
        <f ca="1">COUNTIFS($C$10:$C53,"&lt;"&amp;$C54,$M$10:$M53,$D54&amp;"_"&amp;CQ$9)</f>
        <v>0</v>
      </c>
      <c r="CR54" s="7">
        <f ca="1">COUNTIFS($C$10:$C53,"&lt;"&amp;$C54,$M$10:$M53,$D54&amp;"_"&amp;CR$9)</f>
        <v>0</v>
      </c>
      <c r="CS54" s="17">
        <f ca="1">COUNTIFS($C$10:$C53,"&lt;"&amp;$C54,$M$10:$M53,$D54&amp;"_"&amp;CS$9)</f>
        <v>0</v>
      </c>
      <c r="CT54" s="7">
        <f ca="1">COUNTIFS($C$10:$C53,"&lt;"&amp;$C54,$M$10:$M53,$D54&amp;"_"&amp;CT$9)</f>
        <v>0</v>
      </c>
      <c r="CU54" s="18">
        <f ca="1">COUNTIFS($C$10:$C53,"&lt;"&amp;$C54,$M$10:$M53,$D54&amp;"_"&amp;CU$9)</f>
        <v>0</v>
      </c>
      <c r="CV54" s="7">
        <f ca="1">COUNTIFS($C$10:$C53,"&lt;"&amp;$C54,$M$10:$M53,$D54&amp;"_"&amp;CV$9)</f>
        <v>0</v>
      </c>
      <c r="CW54" s="7">
        <f ca="1">COUNTIFS($C$10:$C53,"&lt;"&amp;$C54,$M$10:$M53,$D54&amp;"_"&amp;CW$9)</f>
        <v>0</v>
      </c>
      <c r="CX54" s="7">
        <f ca="1">COUNTIFS($C$10:$C53,"&lt;"&amp;$C54,$M$10:$M53,$D54&amp;"_"&amp;CX$9)</f>
        <v>0</v>
      </c>
      <c r="CY54" s="221">
        <f ca="1">COUNTIFS($C$10:$C53,"&lt;"&amp;$C54,$M$10:$M53,$D54&amp;"_"&amp;CY$9)</f>
        <v>43</v>
      </c>
      <c r="DA54" s="20"/>
      <c r="DB54" s="308">
        <f ca="1">IF(CP54=0,0,SUMIFS($P$10:$P53, $C$10:$C53,"&lt;"&amp;$C54, $M$10:$M53,$D54&amp;"_"&amp;DB$9)/CP54)</f>
        <v>0</v>
      </c>
      <c r="DC54" s="263">
        <f ca="1">IF(CQ54=0,0,SUMIFS($P$10:$P53, $C$10:$C53,"&lt;"&amp;$C54, $M$10:$M53,$D54&amp;"_"&amp;DC$9)/CQ54)</f>
        <v>0</v>
      </c>
      <c r="DD54" s="263">
        <f ca="1">IF(CR54=0,0,SUMIFS($P$10:$P53, $C$10:$C53,"&lt;"&amp;$C54, $M$10:$M53,$D54&amp;"_"&amp;DD$9)/CR54)</f>
        <v>0</v>
      </c>
      <c r="DE54" s="262">
        <f ca="1">IF(CS54=0,0,SUMIFS($P$10:$P53, $C$10:$C53,"&lt;"&amp;$C54, $M$10:$M53,$D54&amp;"_"&amp;DE$9)/CS54)</f>
        <v>0</v>
      </c>
      <c r="DF54" s="263">
        <f ca="1">IF(CT54=0,0,SUMIFS($P$10:$P53, $C$10:$C53,"&lt;"&amp;$C54, $M$10:$M53,$D54&amp;"_"&amp;DF$9)/CT54)</f>
        <v>0</v>
      </c>
      <c r="DG54" s="310">
        <f ca="1">IF(CU54=0,0,SUMIFS($P$10:$P53, $C$10:$C53,"&lt;"&amp;$C54, $M$10:$M53,$D54&amp;"_"&amp;DG$9)/CU54)</f>
        <v>0</v>
      </c>
      <c r="DH54" s="263">
        <f ca="1">IF(CV54=0,0,SUMIFS($P$10:$P53, $C$10:$C53,"&lt;"&amp;$C54, $M$10:$M53,$D54&amp;"_"&amp;DH$9)/CV54)</f>
        <v>0</v>
      </c>
      <c r="DI54" s="263">
        <f ca="1">IF(CW54=0,0,SUMIFS($P$10:$P53, $C$10:$C53,"&lt;"&amp;$C54, $M$10:$M53,$D54&amp;"_"&amp;DI$9)/CW54)</f>
        <v>0</v>
      </c>
      <c r="DJ54" s="264">
        <f ca="1">IF(CX54=0,0,SUMIFS($P$10:$P53, $C$10:$C53,"&lt;"&amp;$C54, $M$10:$M53,$D54&amp;"_"&amp;DJ$9)/CX54)</f>
        <v>0</v>
      </c>
      <c r="DK54" s="264">
        <f ca="1">IF(CY54=0,0,SUMIFS($P$10:$P53, $C$10:$C53,"&lt;"&amp;$C54, $M$10:$M53,$D54&amp;"_"&amp;DK$9)/CY54)</f>
        <v>-1</v>
      </c>
      <c r="DM54" s="104"/>
      <c r="DN54" s="306">
        <f t="shared" ca="1" si="96"/>
        <v>-9999</v>
      </c>
      <c r="DO54" s="15">
        <f t="shared" ca="1" si="58"/>
        <v>-9999</v>
      </c>
      <c r="DP54" s="15">
        <f t="shared" ca="1" si="59"/>
        <v>-9999</v>
      </c>
      <c r="DQ54" s="15">
        <f t="shared" ca="1" si="60"/>
        <v>-9999</v>
      </c>
      <c r="DR54" s="15">
        <f t="shared" ca="1" si="61"/>
        <v>-9999</v>
      </c>
      <c r="DS54" s="15">
        <f t="shared" ca="1" si="62"/>
        <v>-9999</v>
      </c>
      <c r="DT54" s="15">
        <f t="shared" ca="1" si="63"/>
        <v>-9999</v>
      </c>
      <c r="DU54" s="15">
        <f t="shared" ca="1" si="64"/>
        <v>-9999</v>
      </c>
      <c r="DV54" s="52">
        <f t="shared" ca="1" si="65"/>
        <v>-9999</v>
      </c>
      <c r="DW54" s="313">
        <f t="shared" ca="1" si="66"/>
        <v>-0.85096730626586359</v>
      </c>
      <c r="DX54" s="52"/>
      <c r="DY54" s="402">
        <f t="shared" ca="1" si="97"/>
        <v>9</v>
      </c>
      <c r="ED54" s="19">
        <f t="shared" ca="1" si="129"/>
        <v>-1</v>
      </c>
      <c r="EE54" s="1">
        <f t="shared" ca="1" si="130"/>
        <v>1</v>
      </c>
      <c r="EF54" s="1">
        <f t="shared" ca="1" si="131"/>
        <v>-1</v>
      </c>
      <c r="EG54" s="2">
        <f t="shared" ca="1" si="132"/>
        <v>1</v>
      </c>
      <c r="EH54" s="1">
        <f t="shared" ca="1" si="133"/>
        <v>-1</v>
      </c>
      <c r="EI54" s="3">
        <f t="shared" ca="1" si="134"/>
        <v>1</v>
      </c>
      <c r="EJ54" s="1">
        <f t="shared" ca="1" si="135"/>
        <v>0</v>
      </c>
      <c r="EK54" s="1">
        <f t="shared" ca="1" si="136"/>
        <v>0</v>
      </c>
      <c r="EL54" s="20">
        <f t="shared" ca="1" si="137"/>
        <v>-1</v>
      </c>
      <c r="EN54" s="86">
        <f ca="1">MAX(0, SUMPRODUCT($ED54:$EL54,OFFSET(DNN!$E$9:$M$9,EN$9,0)) + OFFSET(DNN!$D$9,EN$9,0))</f>
        <v>0</v>
      </c>
      <c r="EO54" s="84">
        <f ca="1">MAX(0, SUMPRODUCT($ED54:$EL54,OFFSET(DNN!$E$9:$M$9,EO$9,0)) + OFFSET(DNN!$D$9,EO$9,0))</f>
        <v>7.2346022384755949E-3</v>
      </c>
      <c r="EP54" s="84">
        <f ca="1">MAX(0, SUMPRODUCT($ED54:$EL54,OFFSET(DNN!$E$9:$M$9,EP$9,0)) + OFFSET(DNN!$D$9,EP$9,0))</f>
        <v>3.6951849750035152E-3</v>
      </c>
      <c r="EQ54" s="84">
        <f ca="1">MAX(0, SUMPRODUCT($ED54:$EL54,OFFSET(DNN!$E$9:$M$9,EQ$9,0)) + OFFSET(DNN!$D$9,EQ$9,0))</f>
        <v>0</v>
      </c>
      <c r="ER54" s="85">
        <f ca="1">MAX(0, SUMPRODUCT($ED54:$EL54,OFFSET(DNN!$E$9:$M$9,ER$9,0)) + OFFSET(DNN!$D$9,ER$9,0))</f>
        <v>0</v>
      </c>
      <c r="ET54" s="86">
        <f ca="1">MAX(0, SUMPRODUCT($EN54:$ER54,OFFSET(DNN!$Q$9:$U$9,ET$9,0)) + OFFSET(DNN!$P$9,ET$9,0))</f>
        <v>4.3954959453478351E-4</v>
      </c>
      <c r="EU54" s="84">
        <f ca="1">MAX(0, SUMPRODUCT($EN54:$ER54,OFFSET(DNN!$Q$9:$U$9,EU$9,0)) + OFFSET(DNN!$P$9,EU$9,0))</f>
        <v>0</v>
      </c>
      <c r="EV54" s="84">
        <f ca="1">MAX(0, SUMPRODUCT($EN54:$ER54,OFFSET(DNN!$Q$9:$U$9,EV$9,0)) + OFFSET(DNN!$P$9,EV$9,0))</f>
        <v>1.2810123361902579E-3</v>
      </c>
      <c r="EW54" s="84">
        <f ca="1">MAX(0, SUMPRODUCT($EN54:$ER54,OFFSET(DNN!$Q$9:$U$9,EW$9,0)) + OFFSET(DNN!$P$9,EW$9,0))</f>
        <v>7.8382123007882457E-4</v>
      </c>
      <c r="EX54" s="85">
        <f ca="1">MAX(0, SUMPRODUCT($EN54:$ER54,OFFSET(DNN!$Q$9:$U$9,EX$9,0)) + OFFSET(DNN!$P$9,EX$9,0))</f>
        <v>0</v>
      </c>
      <c r="EZ54" s="111">
        <f ca="1">SUMPRODUCT($ET54:$EX54,OFFSET(DNN!$Y$9:$AC$9,EZ$9,0)) + OFFSET(DNN!$X$9,EZ$9,0)</f>
        <v>0.43031618918982212</v>
      </c>
      <c r="FA54" s="97">
        <f ca="1">SUMPRODUCT($ET54:$EX54,OFFSET(DNN!$Y$9:$AC$9,FA$9,0)) + OFFSET(DNN!$X$9,FA$9,0)</f>
        <v>-1.2643439935754107E-5</v>
      </c>
      <c r="FB54" s="97">
        <f ca="1">SUMPRODUCT($ET54:$EX54,OFFSET(DNN!$Y$9:$AC$9,FB$9,0)) + OFFSET(DNN!$X$9,FB$9,0)</f>
        <v>1.5239793458415756E-2</v>
      </c>
      <c r="FC54" s="97">
        <f ca="1">SUMPRODUCT($ET54:$EX54,OFFSET(DNN!$Y$9:$AC$9,FC$9,0)) + OFFSET(DNN!$X$9,FC$9,0)</f>
        <v>-8.8749521084055777E-4</v>
      </c>
      <c r="FD54" s="97">
        <f ca="1">SUMPRODUCT($ET54:$EX54,OFFSET(DNN!$Y$9:$AC$9,FD$9,0)) + OFFSET(DNN!$X$9,FD$9,0)</f>
        <v>-4.235816470721872E-4</v>
      </c>
      <c r="FE54" s="97">
        <f ca="1">SUMPRODUCT($ET54:$EX54,OFFSET(DNN!$Y$9:$AC$9,FE$9,0)) + OFFSET(DNN!$X$9,FE$9,0)</f>
        <v>-1.574182761064886E-5</v>
      </c>
      <c r="FF54" s="97">
        <f ca="1">SUMPRODUCT($ET54:$EX54,OFFSET(DNN!$Y$9:$AC$9,FF$9,0)) + OFFSET(DNN!$X$9,FF$9,0)</f>
        <v>-1.3491460223194656E-3</v>
      </c>
      <c r="FG54" s="97">
        <f ca="1">SUMPRODUCT($ET54:$EX54,OFFSET(DNN!$Y$9:$AC$9,FG$9,0)) + OFFSET(DNN!$X$9,FG$9,0)</f>
        <v>-6.2604808096248285E-2</v>
      </c>
      <c r="FH54" s="97">
        <f ca="1">SUMPRODUCT($ET54:$EX54,OFFSET(DNN!$Y$9:$AC$9,FH$9,0)) + OFFSET(DNN!$X$9,FH$9,0)</f>
        <v>8.6810016937029894E-4</v>
      </c>
      <c r="FI54" s="108">
        <f ca="1">SUMPRODUCT($ET54:$EX54,OFFSET(DNN!$Y$9:$AC$9,FI$9,0)) + OFFSET(DNN!$X$9,FI$9,0)</f>
        <v>-1.3182687612562751</v>
      </c>
      <c r="FJ54" s="98">
        <f ca="1">SUMPRODUCT($ET54:$EX54,OFFSET(DNN!$Y$9:$AC$9,FJ$9,0)) + OFFSET(DNN!$X$9,FJ$9,0)</f>
        <v>-2.2535161745939301E-5</v>
      </c>
      <c r="FL54" s="415">
        <f t="shared" ca="1" si="98"/>
        <v>0.43031618918982212</v>
      </c>
      <c r="FM54" s="130">
        <f t="shared" ca="1" si="99"/>
        <v>1</v>
      </c>
      <c r="FN54" s="131">
        <f t="shared" ca="1" si="100"/>
        <v>0.65029522127322903</v>
      </c>
      <c r="FO54" s="131">
        <f t="shared" ca="1" si="101"/>
        <v>0.66028983545318687</v>
      </c>
      <c r="FP54" s="131">
        <f t="shared" ca="1" si="102"/>
        <v>0.64972655813153501</v>
      </c>
      <c r="FQ54" s="131">
        <f t="shared" ca="1" si="103"/>
        <v>0.65002804502111444</v>
      </c>
      <c r="FR54" s="131">
        <f t="shared" ca="1" si="104"/>
        <v>0.65029320640965171</v>
      </c>
      <c r="FS54" s="131">
        <f t="shared" ca="1" si="105"/>
        <v>0.64942668056342145</v>
      </c>
      <c r="FT54" s="131">
        <f t="shared" ca="1" si="106"/>
        <v>0.61083952513994022</v>
      </c>
      <c r="FU54" s="132">
        <f t="shared" ca="1" si="107"/>
        <v>0.6508682169276182</v>
      </c>
      <c r="FV54" s="131">
        <f t="shared" ca="1" si="108"/>
        <v>0.17402001625314881</v>
      </c>
      <c r="FW54" s="83">
        <f t="shared" ca="1" si="109"/>
        <v>-2.2535161742124597E-5</v>
      </c>
    </row>
    <row r="55" spans="1:179">
      <c r="A55" s="19">
        <f t="shared" si="117"/>
        <v>45</v>
      </c>
      <c r="B55" s="1">
        <f t="shared" ca="1" si="111"/>
        <v>0</v>
      </c>
      <c r="C55" s="20">
        <f t="shared" ca="1" si="112"/>
        <v>45</v>
      </c>
      <c r="D55" s="19" t="str">
        <f t="shared" ca="1" si="113"/>
        <v>〇×〇×〇×--〇</v>
      </c>
      <c r="E55" s="7">
        <f t="shared" ca="1" si="77"/>
        <v>9</v>
      </c>
      <c r="F55" s="7">
        <f t="shared" ca="1" si="78"/>
        <v>1</v>
      </c>
      <c r="G55" s="1" t="str">
        <f t="shared" ca="1" si="138"/>
        <v>〇×〇×〇×--〇</v>
      </c>
      <c r="H55" s="20" t="b">
        <f t="shared" ca="1" si="118"/>
        <v>1</v>
      </c>
      <c r="I55" s="22">
        <f t="shared" ca="1" si="114"/>
        <v>-1</v>
      </c>
      <c r="J55" s="1" t="b">
        <f ca="1">(1&lt;COUNTIF(D$10:D55,D55))</f>
        <v>1</v>
      </c>
      <c r="K55" s="1" t="b">
        <f t="shared" ca="1" si="81"/>
        <v>1</v>
      </c>
      <c r="L55" s="7">
        <f ca="1">MATCH(TRUE,K55:K$1048576,FALSE)-1</f>
        <v>0</v>
      </c>
      <c r="M55" s="24" t="str">
        <f t="shared" ca="1" si="119"/>
        <v>〇×〇×〇×--〇_9</v>
      </c>
      <c r="N55" s="25">
        <f t="shared" ca="1" si="82"/>
        <v>-2.2535161742124597E-5</v>
      </c>
      <c r="O55" s="26">
        <f t="shared" ca="1" si="83"/>
        <v>-1</v>
      </c>
      <c r="P55" s="27">
        <f t="shared" ca="1" si="84"/>
        <v>-1</v>
      </c>
      <c r="R55" s="41" t="str">
        <f ca="1">VLOOKUP(S55,cvt!$B$2:$C$4,2,FALSE)&amp;VLOOKUP(T55,cvt!$B$2:$C$4,2,FALSE)&amp;VLOOKUP(U55,cvt!$B$2:$C$4,2,FALSE)
&amp;VLOOKUP(V55,cvt!$B$2:$C$4,2,FALSE)&amp;VLOOKUP(W55,cvt!$B$2:$C$4,2,FALSE)&amp;VLOOKUP(X55,cvt!$B$2:$C$4,2,FALSE)
&amp;VLOOKUP(Y55,cvt!$B$2:$C$4,2,FALSE)&amp;VLOOKUP(Z55,cvt!$B$2:$C$4,2,FALSE)&amp;VLOOKUP(AA55,cvt!$B$2:$C$4,2,FALSE)</f>
        <v>〇×〇×〇×--〇</v>
      </c>
      <c r="S55" s="7">
        <f ca="1">VLOOKUP(MID($D55,S$9+1,1), cvt!$A$2:$B$4,2, FALSE)</f>
        <v>1</v>
      </c>
      <c r="T55" s="7">
        <f ca="1">VLOOKUP(MID($D55,T$9+1,1), cvt!$A$2:$B$4,2, FALSE)</f>
        <v>-1</v>
      </c>
      <c r="U55" s="7">
        <f ca="1">VLOOKUP(MID($D55,U$9+1,1), cvt!$A$2:$B$4,2, FALSE)</f>
        <v>1</v>
      </c>
      <c r="V55" s="17">
        <f ca="1">VLOOKUP(MID($D55,V$9+1,1), cvt!$A$2:$B$4,2, FALSE)</f>
        <v>-1</v>
      </c>
      <c r="W55" s="7">
        <f ca="1">VLOOKUP(MID($D55,W$9+1,1), cvt!$A$2:$B$4,2, FALSE)</f>
        <v>1</v>
      </c>
      <c r="X55" s="18">
        <f ca="1">VLOOKUP(MID($D55,X$9+1,1), cvt!$A$2:$B$4,2, FALSE)</f>
        <v>-1</v>
      </c>
      <c r="Y55" s="7">
        <f ca="1">VLOOKUP(MID($D55,Y$9+1,1), cvt!$A$2:$B$4,2, FALSE)</f>
        <v>0</v>
      </c>
      <c r="Z55" s="7">
        <f ca="1">VLOOKUP(MID($D55,Z$9+1,1), cvt!$A$2:$B$4,2, FALSE)</f>
        <v>0</v>
      </c>
      <c r="AA55" s="42">
        <f ca="1">VLOOKUP(MID($D55,AA$9+1,1), cvt!$A$2:$B$4,2, FALSE)</f>
        <v>1</v>
      </c>
      <c r="AB55" s="7">
        <f t="shared" ca="1" si="85"/>
        <v>1</v>
      </c>
      <c r="AC55" s="50" t="b">
        <f t="shared" ca="1" si="86"/>
        <v>1</v>
      </c>
      <c r="AE55" s="19" t="str">
        <f ca="1">VLOOKUP(AF55,cvt!$B$2:$C$4,2,FALSE)&amp;VLOOKUP(AG55,cvt!$B$2:$C$4,2,FALSE)&amp;VLOOKUP(AH55,cvt!$B$2:$C$4,2,FALSE)
&amp;VLOOKUP(AI55,cvt!$B$2:$C$4,2,FALSE)&amp;VLOOKUP(AJ55,cvt!$B$2:$C$4,2,FALSE)&amp;VLOOKUP(AK55,cvt!$B$2:$C$4,2,FALSE)
&amp;VLOOKUP(AL55,cvt!$B$2:$C$4,2,FALSE)&amp;VLOOKUP(AM55,cvt!$B$2:$C$4,2,FALSE)&amp;VLOOKUP(AN55,cvt!$B$2:$C$4,2,FALSE)</f>
        <v>〇×〇×〇×--〇</v>
      </c>
      <c r="AF55" s="17">
        <f t="shared" ca="1" si="120"/>
        <v>1</v>
      </c>
      <c r="AG55" s="7">
        <f t="shared" ca="1" si="121"/>
        <v>-1</v>
      </c>
      <c r="AH55" s="7">
        <f t="shared" ca="1" si="122"/>
        <v>1</v>
      </c>
      <c r="AI55" s="17">
        <f t="shared" ca="1" si="123"/>
        <v>-1</v>
      </c>
      <c r="AJ55" s="7">
        <f t="shared" ca="1" si="124"/>
        <v>1</v>
      </c>
      <c r="AK55" s="18">
        <f t="shared" ca="1" si="125"/>
        <v>-1</v>
      </c>
      <c r="AL55" s="7">
        <f t="shared" ca="1" si="126"/>
        <v>0</v>
      </c>
      <c r="AM55" s="7">
        <f t="shared" ca="1" si="127"/>
        <v>0</v>
      </c>
      <c r="AN55" s="18">
        <f t="shared" ca="1" si="128"/>
        <v>1</v>
      </c>
      <c r="AO55" s="7">
        <f t="shared" ca="1" si="115"/>
        <v>1</v>
      </c>
      <c r="AP55" s="50" t="b">
        <f t="shared" ca="1" si="87"/>
        <v>1</v>
      </c>
      <c r="AS55" s="22">
        <f t="shared" ca="1" si="88"/>
        <v>0</v>
      </c>
      <c r="AT55" s="7">
        <f t="shared" ca="1" si="23"/>
        <v>0</v>
      </c>
      <c r="AU55" s="7">
        <f t="shared" ca="1" si="24"/>
        <v>0</v>
      </c>
      <c r="AV55" s="7">
        <f t="shared" ca="1" si="25"/>
        <v>0</v>
      </c>
      <c r="AW55" s="7">
        <f t="shared" ca="1" si="26"/>
        <v>0</v>
      </c>
      <c r="AX55" s="7">
        <f t="shared" ca="1" si="27"/>
        <v>0</v>
      </c>
      <c r="AY55" s="7">
        <f t="shared" ca="1" si="28"/>
        <v>0</v>
      </c>
      <c r="AZ55" s="7">
        <f t="shared" ca="1" si="29"/>
        <v>0</v>
      </c>
      <c r="BA55" s="18">
        <f t="shared" ca="1" si="30"/>
        <v>0</v>
      </c>
      <c r="BB55" s="295">
        <f t="shared" ca="1" si="89"/>
        <v>1</v>
      </c>
      <c r="BD55" s="132"/>
      <c r="BE55" s="297">
        <f t="shared" ca="1" si="90"/>
        <v>1</v>
      </c>
      <c r="BF55" s="298">
        <f t="shared" ca="1" si="31"/>
        <v>0.65029522127322903</v>
      </c>
      <c r="BG55" s="298">
        <f t="shared" ca="1" si="32"/>
        <v>0.66028983545318687</v>
      </c>
      <c r="BH55" s="318">
        <f t="shared" ca="1" si="33"/>
        <v>0.64972655813153501</v>
      </c>
      <c r="BI55" s="298">
        <f t="shared" ca="1" si="34"/>
        <v>0.65002804502111444</v>
      </c>
      <c r="BJ55" s="299">
        <f t="shared" ca="1" si="35"/>
        <v>0.65029320640965171</v>
      </c>
      <c r="BK55" s="298">
        <f t="shared" ca="1" si="36"/>
        <v>0.64942668056342145</v>
      </c>
      <c r="BL55" s="298">
        <f t="shared" ca="1" si="37"/>
        <v>0.61083952513994022</v>
      </c>
      <c r="BM55" s="299">
        <f t="shared" ca="1" si="38"/>
        <v>0.6508682169276182</v>
      </c>
      <c r="BN55" s="295">
        <f t="shared" ca="1" si="39"/>
        <v>0.17402001625314881</v>
      </c>
      <c r="BO55" s="248">
        <f t="shared" ca="1" si="91"/>
        <v>-2.2535161742124597E-5</v>
      </c>
      <c r="BQ55" s="304">
        <f t="shared" ca="1" si="92"/>
        <v>0.1741200162531488</v>
      </c>
      <c r="BR55" s="297">
        <f t="shared" ca="1" si="93"/>
        <v>0</v>
      </c>
      <c r="BS55" s="298">
        <f t="shared" ca="1" si="40"/>
        <v>0</v>
      </c>
      <c r="BT55" s="298">
        <f t="shared" ca="1" si="41"/>
        <v>0</v>
      </c>
      <c r="BU55" s="318">
        <f t="shared" ca="1" si="42"/>
        <v>0</v>
      </c>
      <c r="BV55" s="298">
        <f t="shared" ca="1" si="43"/>
        <v>0</v>
      </c>
      <c r="BW55" s="299">
        <f t="shared" ca="1" si="44"/>
        <v>0</v>
      </c>
      <c r="BX55" s="298">
        <f t="shared" ca="1" si="45"/>
        <v>0</v>
      </c>
      <c r="BY55" s="298">
        <f t="shared" ca="1" si="46"/>
        <v>0</v>
      </c>
      <c r="BZ55" s="298">
        <f t="shared" ca="1" si="47"/>
        <v>0</v>
      </c>
      <c r="CA55" s="315">
        <f t="shared" ca="1" si="48"/>
        <v>0.1741200162531488</v>
      </c>
      <c r="CC55" s="52"/>
      <c r="CD55" s="306">
        <f t="shared" ca="1" si="94"/>
        <v>0</v>
      </c>
      <c r="CE55" s="15">
        <f t="shared" ca="1" si="49"/>
        <v>0</v>
      </c>
      <c r="CF55" s="15">
        <f t="shared" ca="1" si="50"/>
        <v>0</v>
      </c>
      <c r="CG55" s="286">
        <f t="shared" ca="1" si="51"/>
        <v>0</v>
      </c>
      <c r="CH55" s="15">
        <f t="shared" ca="1" si="52"/>
        <v>0</v>
      </c>
      <c r="CI55" s="288">
        <f t="shared" ca="1" si="53"/>
        <v>0</v>
      </c>
      <c r="CJ55" s="15">
        <f t="shared" ca="1" si="54"/>
        <v>0</v>
      </c>
      <c r="CK55" s="15">
        <f t="shared" ca="1" si="55"/>
        <v>0</v>
      </c>
      <c r="CL55" s="15">
        <f t="shared" ca="1" si="56"/>
        <v>0</v>
      </c>
      <c r="CM55" s="313">
        <f t="shared" ca="1" si="57"/>
        <v>1</v>
      </c>
      <c r="CO55" s="320">
        <f t="shared" ca="1" si="95"/>
        <v>44</v>
      </c>
      <c r="CP55" s="22">
        <f ca="1">COUNTIFS($C$10:$C54,"&lt;"&amp;$C55,$M$10:$M54,$D55&amp;"_"&amp;CP$9)</f>
        <v>0</v>
      </c>
      <c r="CQ55" s="7">
        <f ca="1">COUNTIFS($C$10:$C54,"&lt;"&amp;$C55,$M$10:$M54,$D55&amp;"_"&amp;CQ$9)</f>
        <v>0</v>
      </c>
      <c r="CR55" s="7">
        <f ca="1">COUNTIFS($C$10:$C54,"&lt;"&amp;$C55,$M$10:$M54,$D55&amp;"_"&amp;CR$9)</f>
        <v>0</v>
      </c>
      <c r="CS55" s="17">
        <f ca="1">COUNTIFS($C$10:$C54,"&lt;"&amp;$C55,$M$10:$M54,$D55&amp;"_"&amp;CS$9)</f>
        <v>0</v>
      </c>
      <c r="CT55" s="7">
        <f ca="1">COUNTIFS($C$10:$C54,"&lt;"&amp;$C55,$M$10:$M54,$D55&amp;"_"&amp;CT$9)</f>
        <v>0</v>
      </c>
      <c r="CU55" s="18">
        <f ca="1">COUNTIFS($C$10:$C54,"&lt;"&amp;$C55,$M$10:$M54,$D55&amp;"_"&amp;CU$9)</f>
        <v>0</v>
      </c>
      <c r="CV55" s="7">
        <f ca="1">COUNTIFS($C$10:$C54,"&lt;"&amp;$C55,$M$10:$M54,$D55&amp;"_"&amp;CV$9)</f>
        <v>0</v>
      </c>
      <c r="CW55" s="7">
        <f ca="1">COUNTIFS($C$10:$C54,"&lt;"&amp;$C55,$M$10:$M54,$D55&amp;"_"&amp;CW$9)</f>
        <v>0</v>
      </c>
      <c r="CX55" s="7">
        <f ca="1">COUNTIFS($C$10:$C54,"&lt;"&amp;$C55,$M$10:$M54,$D55&amp;"_"&amp;CX$9)</f>
        <v>0</v>
      </c>
      <c r="CY55" s="221">
        <f ca="1">COUNTIFS($C$10:$C54,"&lt;"&amp;$C55,$M$10:$M54,$D55&amp;"_"&amp;CY$9)</f>
        <v>44</v>
      </c>
      <c r="DA55" s="20"/>
      <c r="DB55" s="308">
        <f ca="1">IF(CP55=0,0,SUMIFS($P$10:$P54, $C$10:$C54,"&lt;"&amp;$C55, $M$10:$M54,$D55&amp;"_"&amp;DB$9)/CP55)</f>
        <v>0</v>
      </c>
      <c r="DC55" s="263">
        <f ca="1">IF(CQ55=0,0,SUMIFS($P$10:$P54, $C$10:$C54,"&lt;"&amp;$C55, $M$10:$M54,$D55&amp;"_"&amp;DC$9)/CQ55)</f>
        <v>0</v>
      </c>
      <c r="DD55" s="263">
        <f ca="1">IF(CR55=0,0,SUMIFS($P$10:$P54, $C$10:$C54,"&lt;"&amp;$C55, $M$10:$M54,$D55&amp;"_"&amp;DD$9)/CR55)</f>
        <v>0</v>
      </c>
      <c r="DE55" s="262">
        <f ca="1">IF(CS55=0,0,SUMIFS($P$10:$P54, $C$10:$C54,"&lt;"&amp;$C55, $M$10:$M54,$D55&amp;"_"&amp;DE$9)/CS55)</f>
        <v>0</v>
      </c>
      <c r="DF55" s="263">
        <f ca="1">IF(CT55=0,0,SUMIFS($P$10:$P54, $C$10:$C54,"&lt;"&amp;$C55, $M$10:$M54,$D55&amp;"_"&amp;DF$9)/CT55)</f>
        <v>0</v>
      </c>
      <c r="DG55" s="310">
        <f ca="1">IF(CU55=0,0,SUMIFS($P$10:$P54, $C$10:$C54,"&lt;"&amp;$C55, $M$10:$M54,$D55&amp;"_"&amp;DG$9)/CU55)</f>
        <v>0</v>
      </c>
      <c r="DH55" s="263">
        <f ca="1">IF(CV55=0,0,SUMIFS($P$10:$P54, $C$10:$C54,"&lt;"&amp;$C55, $M$10:$M54,$D55&amp;"_"&amp;DH$9)/CV55)</f>
        <v>0</v>
      </c>
      <c r="DI55" s="263">
        <f ca="1">IF(CW55=0,0,SUMIFS($P$10:$P54, $C$10:$C54,"&lt;"&amp;$C55, $M$10:$M54,$D55&amp;"_"&amp;DI$9)/CW55)</f>
        <v>0</v>
      </c>
      <c r="DJ55" s="264">
        <f ca="1">IF(CX55=0,0,SUMIFS($P$10:$P54, $C$10:$C54,"&lt;"&amp;$C55, $M$10:$M54,$D55&amp;"_"&amp;DJ$9)/CX55)</f>
        <v>0</v>
      </c>
      <c r="DK55" s="264">
        <f ca="1">IF(CY55=0,0,SUMIFS($P$10:$P54, $C$10:$C54,"&lt;"&amp;$C55, $M$10:$M54,$D55&amp;"_"&amp;DK$9)/CY55)</f>
        <v>-1</v>
      </c>
      <c r="DM55" s="104"/>
      <c r="DN55" s="306">
        <f t="shared" ca="1" si="96"/>
        <v>-9999</v>
      </c>
      <c r="DO55" s="15">
        <f t="shared" ca="1" si="58"/>
        <v>-9999</v>
      </c>
      <c r="DP55" s="15">
        <f t="shared" ca="1" si="59"/>
        <v>-9999</v>
      </c>
      <c r="DQ55" s="15">
        <f t="shared" ca="1" si="60"/>
        <v>-9999</v>
      </c>
      <c r="DR55" s="15">
        <f t="shared" ca="1" si="61"/>
        <v>-9999</v>
      </c>
      <c r="DS55" s="15">
        <f t="shared" ca="1" si="62"/>
        <v>-9999</v>
      </c>
      <c r="DT55" s="15">
        <f t="shared" ca="1" si="63"/>
        <v>-9999</v>
      </c>
      <c r="DU55" s="15">
        <f t="shared" ca="1" si="64"/>
        <v>-9999</v>
      </c>
      <c r="DV55" s="52">
        <f t="shared" ca="1" si="65"/>
        <v>-9999</v>
      </c>
      <c r="DW55" s="313">
        <f t="shared" ca="1" si="66"/>
        <v>-0.85259445376198228</v>
      </c>
      <c r="DX55" s="52"/>
      <c r="DY55" s="402">
        <f t="shared" ca="1" si="97"/>
        <v>9</v>
      </c>
      <c r="ED55" s="19">
        <f t="shared" ca="1" si="129"/>
        <v>-1</v>
      </c>
      <c r="EE55" s="1">
        <f t="shared" ca="1" si="130"/>
        <v>1</v>
      </c>
      <c r="EF55" s="1">
        <f t="shared" ca="1" si="131"/>
        <v>-1</v>
      </c>
      <c r="EG55" s="2">
        <f t="shared" ca="1" si="132"/>
        <v>1</v>
      </c>
      <c r="EH55" s="1">
        <f t="shared" ca="1" si="133"/>
        <v>-1</v>
      </c>
      <c r="EI55" s="3">
        <f t="shared" ca="1" si="134"/>
        <v>1</v>
      </c>
      <c r="EJ55" s="1">
        <f t="shared" ca="1" si="135"/>
        <v>0</v>
      </c>
      <c r="EK55" s="1">
        <f t="shared" ca="1" si="136"/>
        <v>0</v>
      </c>
      <c r="EL55" s="20">
        <f t="shared" ca="1" si="137"/>
        <v>-1</v>
      </c>
      <c r="EN55" s="86">
        <f ca="1">MAX(0, SUMPRODUCT($ED55:$EL55,OFFSET(DNN!$E$9:$M$9,EN$9,0)) + OFFSET(DNN!$D$9,EN$9,0))</f>
        <v>0</v>
      </c>
      <c r="EO55" s="84">
        <f ca="1">MAX(0, SUMPRODUCT($ED55:$EL55,OFFSET(DNN!$E$9:$M$9,EO$9,0)) + OFFSET(DNN!$D$9,EO$9,0))</f>
        <v>7.2346022384755949E-3</v>
      </c>
      <c r="EP55" s="84">
        <f ca="1">MAX(0, SUMPRODUCT($ED55:$EL55,OFFSET(DNN!$E$9:$M$9,EP$9,0)) + OFFSET(DNN!$D$9,EP$9,0))</f>
        <v>3.6951849750035152E-3</v>
      </c>
      <c r="EQ55" s="84">
        <f ca="1">MAX(0, SUMPRODUCT($ED55:$EL55,OFFSET(DNN!$E$9:$M$9,EQ$9,0)) + OFFSET(DNN!$D$9,EQ$9,0))</f>
        <v>0</v>
      </c>
      <c r="ER55" s="85">
        <f ca="1">MAX(0, SUMPRODUCT($ED55:$EL55,OFFSET(DNN!$E$9:$M$9,ER$9,0)) + OFFSET(DNN!$D$9,ER$9,0))</f>
        <v>0</v>
      </c>
      <c r="ET55" s="86">
        <f ca="1">MAX(0, SUMPRODUCT($EN55:$ER55,OFFSET(DNN!$Q$9:$U$9,ET$9,0)) + OFFSET(DNN!$P$9,ET$9,0))</f>
        <v>4.3954959453478351E-4</v>
      </c>
      <c r="EU55" s="84">
        <f ca="1">MAX(0, SUMPRODUCT($EN55:$ER55,OFFSET(DNN!$Q$9:$U$9,EU$9,0)) + OFFSET(DNN!$P$9,EU$9,0))</f>
        <v>0</v>
      </c>
      <c r="EV55" s="84">
        <f ca="1">MAX(0, SUMPRODUCT($EN55:$ER55,OFFSET(DNN!$Q$9:$U$9,EV$9,0)) + OFFSET(DNN!$P$9,EV$9,0))</f>
        <v>1.2810123361902579E-3</v>
      </c>
      <c r="EW55" s="84">
        <f ca="1">MAX(0, SUMPRODUCT($EN55:$ER55,OFFSET(DNN!$Q$9:$U$9,EW$9,0)) + OFFSET(DNN!$P$9,EW$9,0))</f>
        <v>7.8382123007882457E-4</v>
      </c>
      <c r="EX55" s="85">
        <f ca="1">MAX(0, SUMPRODUCT($EN55:$ER55,OFFSET(DNN!$Q$9:$U$9,EX$9,0)) + OFFSET(DNN!$P$9,EX$9,0))</f>
        <v>0</v>
      </c>
      <c r="EZ55" s="111">
        <f ca="1">SUMPRODUCT($ET55:$EX55,OFFSET(DNN!$Y$9:$AC$9,EZ$9,0)) + OFFSET(DNN!$X$9,EZ$9,0)</f>
        <v>0.43031618918982212</v>
      </c>
      <c r="FA55" s="97">
        <f ca="1">SUMPRODUCT($ET55:$EX55,OFFSET(DNN!$Y$9:$AC$9,FA$9,0)) + OFFSET(DNN!$X$9,FA$9,0)</f>
        <v>-1.2643439935754107E-5</v>
      </c>
      <c r="FB55" s="97">
        <f ca="1">SUMPRODUCT($ET55:$EX55,OFFSET(DNN!$Y$9:$AC$9,FB$9,0)) + OFFSET(DNN!$X$9,FB$9,0)</f>
        <v>1.5239793458415756E-2</v>
      </c>
      <c r="FC55" s="97">
        <f ca="1">SUMPRODUCT($ET55:$EX55,OFFSET(DNN!$Y$9:$AC$9,FC$9,0)) + OFFSET(DNN!$X$9,FC$9,0)</f>
        <v>-8.8749521084055777E-4</v>
      </c>
      <c r="FD55" s="97">
        <f ca="1">SUMPRODUCT($ET55:$EX55,OFFSET(DNN!$Y$9:$AC$9,FD$9,0)) + OFFSET(DNN!$X$9,FD$9,0)</f>
        <v>-4.235816470721872E-4</v>
      </c>
      <c r="FE55" s="97">
        <f ca="1">SUMPRODUCT($ET55:$EX55,OFFSET(DNN!$Y$9:$AC$9,FE$9,0)) + OFFSET(DNN!$X$9,FE$9,0)</f>
        <v>-1.574182761064886E-5</v>
      </c>
      <c r="FF55" s="97">
        <f ca="1">SUMPRODUCT($ET55:$EX55,OFFSET(DNN!$Y$9:$AC$9,FF$9,0)) + OFFSET(DNN!$X$9,FF$9,0)</f>
        <v>-1.3491460223194656E-3</v>
      </c>
      <c r="FG55" s="97">
        <f ca="1">SUMPRODUCT($ET55:$EX55,OFFSET(DNN!$Y$9:$AC$9,FG$9,0)) + OFFSET(DNN!$X$9,FG$9,0)</f>
        <v>-6.2604808096248285E-2</v>
      </c>
      <c r="FH55" s="97">
        <f ca="1">SUMPRODUCT($ET55:$EX55,OFFSET(DNN!$Y$9:$AC$9,FH$9,0)) + OFFSET(DNN!$X$9,FH$9,0)</f>
        <v>8.6810016937029894E-4</v>
      </c>
      <c r="FI55" s="108">
        <f ca="1">SUMPRODUCT($ET55:$EX55,OFFSET(DNN!$Y$9:$AC$9,FI$9,0)) + OFFSET(DNN!$X$9,FI$9,0)</f>
        <v>-1.3182687612562751</v>
      </c>
      <c r="FJ55" s="98">
        <f ca="1">SUMPRODUCT($ET55:$EX55,OFFSET(DNN!$Y$9:$AC$9,FJ$9,0)) + OFFSET(DNN!$X$9,FJ$9,0)</f>
        <v>-2.2535161745939301E-5</v>
      </c>
      <c r="FL55" s="415">
        <f t="shared" ca="1" si="98"/>
        <v>0.43031618918982212</v>
      </c>
      <c r="FM55" s="130">
        <f t="shared" ca="1" si="99"/>
        <v>1</v>
      </c>
      <c r="FN55" s="131">
        <f t="shared" ca="1" si="100"/>
        <v>0.65029522127322903</v>
      </c>
      <c r="FO55" s="131">
        <f t="shared" ca="1" si="101"/>
        <v>0.66028983545318687</v>
      </c>
      <c r="FP55" s="131">
        <f t="shared" ca="1" si="102"/>
        <v>0.64972655813153501</v>
      </c>
      <c r="FQ55" s="131">
        <f t="shared" ca="1" si="103"/>
        <v>0.65002804502111444</v>
      </c>
      <c r="FR55" s="131">
        <f t="shared" ca="1" si="104"/>
        <v>0.65029320640965171</v>
      </c>
      <c r="FS55" s="131">
        <f t="shared" ca="1" si="105"/>
        <v>0.64942668056342145</v>
      </c>
      <c r="FT55" s="131">
        <f t="shared" ca="1" si="106"/>
        <v>0.61083952513994022</v>
      </c>
      <c r="FU55" s="132">
        <f t="shared" ca="1" si="107"/>
        <v>0.6508682169276182</v>
      </c>
      <c r="FV55" s="131">
        <f t="shared" ca="1" si="108"/>
        <v>0.17402001625314881</v>
      </c>
      <c r="FW55" s="83">
        <f t="shared" ca="1" si="109"/>
        <v>-2.2535161742124597E-5</v>
      </c>
    </row>
    <row r="56" spans="1:179">
      <c r="A56" s="19">
        <f t="shared" si="117"/>
        <v>46</v>
      </c>
      <c r="B56" s="1">
        <f t="shared" ca="1" si="111"/>
        <v>0</v>
      </c>
      <c r="C56" s="20">
        <f t="shared" ca="1" si="112"/>
        <v>46</v>
      </c>
      <c r="D56" s="19" t="str">
        <f t="shared" ca="1" si="113"/>
        <v>〇×〇×〇×--〇</v>
      </c>
      <c r="E56" s="7">
        <f t="shared" ca="1" si="77"/>
        <v>9</v>
      </c>
      <c r="F56" s="7">
        <f t="shared" ca="1" si="78"/>
        <v>1</v>
      </c>
      <c r="G56" s="1" t="str">
        <f t="shared" ca="1" si="138"/>
        <v>〇×〇×〇×--〇</v>
      </c>
      <c r="H56" s="20" t="b">
        <f t="shared" ca="1" si="118"/>
        <v>1</v>
      </c>
      <c r="I56" s="22">
        <f t="shared" ca="1" si="114"/>
        <v>-1</v>
      </c>
      <c r="J56" s="1" t="b">
        <f ca="1">(1&lt;COUNTIF(D$10:D56,D56))</f>
        <v>1</v>
      </c>
      <c r="K56" s="1" t="b">
        <f t="shared" ca="1" si="81"/>
        <v>1</v>
      </c>
      <c r="L56" s="7">
        <f ca="1">MATCH(TRUE,K56:K$1048576,FALSE)-1</f>
        <v>0</v>
      </c>
      <c r="M56" s="24" t="str">
        <f t="shared" ca="1" si="119"/>
        <v>〇×〇×〇×--〇_9</v>
      </c>
      <c r="N56" s="25">
        <f t="shared" ca="1" si="82"/>
        <v>-2.2535161742124597E-5</v>
      </c>
      <c r="O56" s="26">
        <f t="shared" ca="1" si="83"/>
        <v>-1</v>
      </c>
      <c r="P56" s="27">
        <f t="shared" ca="1" si="84"/>
        <v>-1</v>
      </c>
      <c r="R56" s="41" t="str">
        <f ca="1">VLOOKUP(S56,cvt!$B$2:$C$4,2,FALSE)&amp;VLOOKUP(T56,cvt!$B$2:$C$4,2,FALSE)&amp;VLOOKUP(U56,cvt!$B$2:$C$4,2,FALSE)
&amp;VLOOKUP(V56,cvt!$B$2:$C$4,2,FALSE)&amp;VLOOKUP(W56,cvt!$B$2:$C$4,2,FALSE)&amp;VLOOKUP(X56,cvt!$B$2:$C$4,2,FALSE)
&amp;VLOOKUP(Y56,cvt!$B$2:$C$4,2,FALSE)&amp;VLOOKUP(Z56,cvt!$B$2:$C$4,2,FALSE)&amp;VLOOKUP(AA56,cvt!$B$2:$C$4,2,FALSE)</f>
        <v>〇×〇×〇×--〇</v>
      </c>
      <c r="S56" s="7">
        <f ca="1">VLOOKUP(MID($D56,S$9+1,1), cvt!$A$2:$B$4,2, FALSE)</f>
        <v>1</v>
      </c>
      <c r="T56" s="7">
        <f ca="1">VLOOKUP(MID($D56,T$9+1,1), cvt!$A$2:$B$4,2, FALSE)</f>
        <v>-1</v>
      </c>
      <c r="U56" s="7">
        <f ca="1">VLOOKUP(MID($D56,U$9+1,1), cvt!$A$2:$B$4,2, FALSE)</f>
        <v>1</v>
      </c>
      <c r="V56" s="17">
        <f ca="1">VLOOKUP(MID($D56,V$9+1,1), cvt!$A$2:$B$4,2, FALSE)</f>
        <v>-1</v>
      </c>
      <c r="W56" s="7">
        <f ca="1">VLOOKUP(MID($D56,W$9+1,1), cvt!$A$2:$B$4,2, FALSE)</f>
        <v>1</v>
      </c>
      <c r="X56" s="18">
        <f ca="1">VLOOKUP(MID($D56,X$9+1,1), cvt!$A$2:$B$4,2, FALSE)</f>
        <v>-1</v>
      </c>
      <c r="Y56" s="7">
        <f ca="1">VLOOKUP(MID($D56,Y$9+1,1), cvt!$A$2:$B$4,2, FALSE)</f>
        <v>0</v>
      </c>
      <c r="Z56" s="7">
        <f ca="1">VLOOKUP(MID($D56,Z$9+1,1), cvt!$A$2:$B$4,2, FALSE)</f>
        <v>0</v>
      </c>
      <c r="AA56" s="42">
        <f ca="1">VLOOKUP(MID($D56,AA$9+1,1), cvt!$A$2:$B$4,2, FALSE)</f>
        <v>1</v>
      </c>
      <c r="AB56" s="7">
        <f t="shared" ca="1" si="85"/>
        <v>1</v>
      </c>
      <c r="AC56" s="50" t="b">
        <f t="shared" ca="1" si="86"/>
        <v>1</v>
      </c>
      <c r="AE56" s="19" t="str">
        <f ca="1">VLOOKUP(AF56,cvt!$B$2:$C$4,2,FALSE)&amp;VLOOKUP(AG56,cvt!$B$2:$C$4,2,FALSE)&amp;VLOOKUP(AH56,cvt!$B$2:$C$4,2,FALSE)
&amp;VLOOKUP(AI56,cvt!$B$2:$C$4,2,FALSE)&amp;VLOOKUP(AJ56,cvt!$B$2:$C$4,2,FALSE)&amp;VLOOKUP(AK56,cvt!$B$2:$C$4,2,FALSE)
&amp;VLOOKUP(AL56,cvt!$B$2:$C$4,2,FALSE)&amp;VLOOKUP(AM56,cvt!$B$2:$C$4,2,FALSE)&amp;VLOOKUP(AN56,cvt!$B$2:$C$4,2,FALSE)</f>
        <v>〇×〇×〇×--〇</v>
      </c>
      <c r="AF56" s="17">
        <f t="shared" ca="1" si="120"/>
        <v>1</v>
      </c>
      <c r="AG56" s="7">
        <f t="shared" ca="1" si="121"/>
        <v>-1</v>
      </c>
      <c r="AH56" s="7">
        <f t="shared" ca="1" si="122"/>
        <v>1</v>
      </c>
      <c r="AI56" s="17">
        <f t="shared" ca="1" si="123"/>
        <v>-1</v>
      </c>
      <c r="AJ56" s="7">
        <f t="shared" ca="1" si="124"/>
        <v>1</v>
      </c>
      <c r="AK56" s="18">
        <f t="shared" ca="1" si="125"/>
        <v>-1</v>
      </c>
      <c r="AL56" s="7">
        <f t="shared" ca="1" si="126"/>
        <v>0</v>
      </c>
      <c r="AM56" s="7">
        <f t="shared" ca="1" si="127"/>
        <v>0</v>
      </c>
      <c r="AN56" s="18">
        <f t="shared" ca="1" si="128"/>
        <v>1</v>
      </c>
      <c r="AO56" s="7">
        <f t="shared" ca="1" si="115"/>
        <v>1</v>
      </c>
      <c r="AP56" s="50" t="b">
        <f t="shared" ca="1" si="87"/>
        <v>1</v>
      </c>
      <c r="AS56" s="22">
        <f t="shared" ca="1" si="88"/>
        <v>0</v>
      </c>
      <c r="AT56" s="7">
        <f t="shared" ca="1" si="23"/>
        <v>0</v>
      </c>
      <c r="AU56" s="7">
        <f t="shared" ca="1" si="24"/>
        <v>0</v>
      </c>
      <c r="AV56" s="7">
        <f t="shared" ca="1" si="25"/>
        <v>0</v>
      </c>
      <c r="AW56" s="7">
        <f t="shared" ca="1" si="26"/>
        <v>0</v>
      </c>
      <c r="AX56" s="7">
        <f t="shared" ca="1" si="27"/>
        <v>0</v>
      </c>
      <c r="AY56" s="7">
        <f t="shared" ca="1" si="28"/>
        <v>0</v>
      </c>
      <c r="AZ56" s="7">
        <f t="shared" ca="1" si="29"/>
        <v>0</v>
      </c>
      <c r="BA56" s="18">
        <f t="shared" ca="1" si="30"/>
        <v>0</v>
      </c>
      <c r="BB56" s="295">
        <f t="shared" ca="1" si="89"/>
        <v>1</v>
      </c>
      <c r="BD56" s="132"/>
      <c r="BE56" s="297">
        <f t="shared" ca="1" si="90"/>
        <v>1</v>
      </c>
      <c r="BF56" s="298">
        <f t="shared" ca="1" si="31"/>
        <v>0.65029522127322903</v>
      </c>
      <c r="BG56" s="298">
        <f t="shared" ca="1" si="32"/>
        <v>0.66028983545318687</v>
      </c>
      <c r="BH56" s="318">
        <f t="shared" ca="1" si="33"/>
        <v>0.64972655813153501</v>
      </c>
      <c r="BI56" s="298">
        <f t="shared" ca="1" si="34"/>
        <v>0.65002804502111444</v>
      </c>
      <c r="BJ56" s="299">
        <f t="shared" ca="1" si="35"/>
        <v>0.65029320640965171</v>
      </c>
      <c r="BK56" s="298">
        <f t="shared" ca="1" si="36"/>
        <v>0.64942668056342145</v>
      </c>
      <c r="BL56" s="298">
        <f t="shared" ca="1" si="37"/>
        <v>0.61083952513994022</v>
      </c>
      <c r="BM56" s="299">
        <f t="shared" ca="1" si="38"/>
        <v>0.6508682169276182</v>
      </c>
      <c r="BN56" s="295">
        <f t="shared" ca="1" si="39"/>
        <v>0.17402001625314881</v>
      </c>
      <c r="BO56" s="248">
        <f t="shared" ca="1" si="91"/>
        <v>-2.2535161742124597E-5</v>
      </c>
      <c r="BQ56" s="304">
        <f t="shared" ca="1" si="92"/>
        <v>0.42412001625314877</v>
      </c>
      <c r="BR56" s="297">
        <f t="shared" ca="1" si="93"/>
        <v>0</v>
      </c>
      <c r="BS56" s="298">
        <f t="shared" ca="1" si="40"/>
        <v>0</v>
      </c>
      <c r="BT56" s="298">
        <f t="shared" ca="1" si="41"/>
        <v>0</v>
      </c>
      <c r="BU56" s="318">
        <f t="shared" ca="1" si="42"/>
        <v>0</v>
      </c>
      <c r="BV56" s="298">
        <f t="shared" ca="1" si="43"/>
        <v>0</v>
      </c>
      <c r="BW56" s="299">
        <f t="shared" ca="1" si="44"/>
        <v>0</v>
      </c>
      <c r="BX56" s="298">
        <f t="shared" ca="1" si="45"/>
        <v>0</v>
      </c>
      <c r="BY56" s="298">
        <f t="shared" ca="1" si="46"/>
        <v>0</v>
      </c>
      <c r="BZ56" s="298">
        <f t="shared" ca="1" si="47"/>
        <v>0</v>
      </c>
      <c r="CA56" s="315">
        <f t="shared" ca="1" si="48"/>
        <v>0.42412001625314877</v>
      </c>
      <c r="CC56" s="52"/>
      <c r="CD56" s="306">
        <f t="shared" ca="1" si="94"/>
        <v>0</v>
      </c>
      <c r="CE56" s="15">
        <f t="shared" ca="1" si="49"/>
        <v>0</v>
      </c>
      <c r="CF56" s="15">
        <f t="shared" ca="1" si="50"/>
        <v>0</v>
      </c>
      <c r="CG56" s="286">
        <f t="shared" ca="1" si="51"/>
        <v>0</v>
      </c>
      <c r="CH56" s="15">
        <f t="shared" ca="1" si="52"/>
        <v>0</v>
      </c>
      <c r="CI56" s="288">
        <f t="shared" ca="1" si="53"/>
        <v>0</v>
      </c>
      <c r="CJ56" s="15">
        <f t="shared" ca="1" si="54"/>
        <v>0</v>
      </c>
      <c r="CK56" s="15">
        <f t="shared" ca="1" si="55"/>
        <v>0</v>
      </c>
      <c r="CL56" s="15">
        <f t="shared" ca="1" si="56"/>
        <v>0</v>
      </c>
      <c r="CM56" s="313">
        <f t="shared" ca="1" si="57"/>
        <v>1</v>
      </c>
      <c r="CO56" s="320">
        <f t="shared" ca="1" si="95"/>
        <v>45</v>
      </c>
      <c r="CP56" s="22">
        <f ca="1">COUNTIFS($C$10:$C55,"&lt;"&amp;$C56,$M$10:$M55,$D56&amp;"_"&amp;CP$9)</f>
        <v>0</v>
      </c>
      <c r="CQ56" s="7">
        <f ca="1">COUNTIFS($C$10:$C55,"&lt;"&amp;$C56,$M$10:$M55,$D56&amp;"_"&amp;CQ$9)</f>
        <v>0</v>
      </c>
      <c r="CR56" s="7">
        <f ca="1">COUNTIFS($C$10:$C55,"&lt;"&amp;$C56,$M$10:$M55,$D56&amp;"_"&amp;CR$9)</f>
        <v>0</v>
      </c>
      <c r="CS56" s="17">
        <f ca="1">COUNTIFS($C$10:$C55,"&lt;"&amp;$C56,$M$10:$M55,$D56&amp;"_"&amp;CS$9)</f>
        <v>0</v>
      </c>
      <c r="CT56" s="7">
        <f ca="1">COUNTIFS($C$10:$C55,"&lt;"&amp;$C56,$M$10:$M55,$D56&amp;"_"&amp;CT$9)</f>
        <v>0</v>
      </c>
      <c r="CU56" s="18">
        <f ca="1">COUNTIFS($C$10:$C55,"&lt;"&amp;$C56,$M$10:$M55,$D56&amp;"_"&amp;CU$9)</f>
        <v>0</v>
      </c>
      <c r="CV56" s="7">
        <f ca="1">COUNTIFS($C$10:$C55,"&lt;"&amp;$C56,$M$10:$M55,$D56&amp;"_"&amp;CV$9)</f>
        <v>0</v>
      </c>
      <c r="CW56" s="7">
        <f ca="1">COUNTIFS($C$10:$C55,"&lt;"&amp;$C56,$M$10:$M55,$D56&amp;"_"&amp;CW$9)</f>
        <v>0</v>
      </c>
      <c r="CX56" s="7">
        <f ca="1">COUNTIFS($C$10:$C55,"&lt;"&amp;$C56,$M$10:$M55,$D56&amp;"_"&amp;CX$9)</f>
        <v>0</v>
      </c>
      <c r="CY56" s="221">
        <f ca="1">COUNTIFS($C$10:$C55,"&lt;"&amp;$C56,$M$10:$M55,$D56&amp;"_"&amp;CY$9)</f>
        <v>45</v>
      </c>
      <c r="DA56" s="20"/>
      <c r="DB56" s="308">
        <f ca="1">IF(CP56=0,0,SUMIFS($P$10:$P55, $C$10:$C55,"&lt;"&amp;$C56, $M$10:$M55,$D56&amp;"_"&amp;DB$9)/CP56)</f>
        <v>0</v>
      </c>
      <c r="DC56" s="263">
        <f ca="1">IF(CQ56=0,0,SUMIFS($P$10:$P55, $C$10:$C55,"&lt;"&amp;$C56, $M$10:$M55,$D56&amp;"_"&amp;DC$9)/CQ56)</f>
        <v>0</v>
      </c>
      <c r="DD56" s="263">
        <f ca="1">IF(CR56=0,0,SUMIFS($P$10:$P55, $C$10:$C55,"&lt;"&amp;$C56, $M$10:$M55,$D56&amp;"_"&amp;DD$9)/CR56)</f>
        <v>0</v>
      </c>
      <c r="DE56" s="262">
        <f ca="1">IF(CS56=0,0,SUMIFS($P$10:$P55, $C$10:$C55,"&lt;"&amp;$C56, $M$10:$M55,$D56&amp;"_"&amp;DE$9)/CS56)</f>
        <v>0</v>
      </c>
      <c r="DF56" s="263">
        <f ca="1">IF(CT56=0,0,SUMIFS($P$10:$P55, $C$10:$C55,"&lt;"&amp;$C56, $M$10:$M55,$D56&amp;"_"&amp;DF$9)/CT56)</f>
        <v>0</v>
      </c>
      <c r="DG56" s="310">
        <f ca="1">IF(CU56=0,0,SUMIFS($P$10:$P55, $C$10:$C55,"&lt;"&amp;$C56, $M$10:$M55,$D56&amp;"_"&amp;DG$9)/CU56)</f>
        <v>0</v>
      </c>
      <c r="DH56" s="263">
        <f ca="1">IF(CV56=0,0,SUMIFS($P$10:$P55, $C$10:$C55,"&lt;"&amp;$C56, $M$10:$M55,$D56&amp;"_"&amp;DH$9)/CV56)</f>
        <v>0</v>
      </c>
      <c r="DI56" s="263">
        <f ca="1">IF(CW56=0,0,SUMIFS($P$10:$P55, $C$10:$C55,"&lt;"&amp;$C56, $M$10:$M55,$D56&amp;"_"&amp;DI$9)/CW56)</f>
        <v>0</v>
      </c>
      <c r="DJ56" s="264">
        <f ca="1">IF(CX56=0,0,SUMIFS($P$10:$P55, $C$10:$C55,"&lt;"&amp;$C56, $M$10:$M55,$D56&amp;"_"&amp;DJ$9)/CX56)</f>
        <v>0</v>
      </c>
      <c r="DK56" s="264">
        <f ca="1">IF(CY56=0,0,SUMIFS($P$10:$P55, $C$10:$C55,"&lt;"&amp;$C56, $M$10:$M55,$D56&amp;"_"&amp;DK$9)/CY56)</f>
        <v>-1</v>
      </c>
      <c r="DM56" s="104"/>
      <c r="DN56" s="306">
        <f t="shared" ca="1" si="96"/>
        <v>-9999</v>
      </c>
      <c r="DO56" s="15">
        <f t="shared" ca="1" si="58"/>
        <v>-9999</v>
      </c>
      <c r="DP56" s="15">
        <f t="shared" ca="1" si="59"/>
        <v>-9999</v>
      </c>
      <c r="DQ56" s="15">
        <f t="shared" ca="1" si="60"/>
        <v>-9999</v>
      </c>
      <c r="DR56" s="15">
        <f t="shared" ca="1" si="61"/>
        <v>-9999</v>
      </c>
      <c r="DS56" s="15">
        <f t="shared" ca="1" si="62"/>
        <v>-9999</v>
      </c>
      <c r="DT56" s="15">
        <f t="shared" ca="1" si="63"/>
        <v>-9999</v>
      </c>
      <c r="DU56" s="15">
        <f t="shared" ca="1" si="64"/>
        <v>-9999</v>
      </c>
      <c r="DV56" s="52">
        <f t="shared" ca="1" si="65"/>
        <v>-9999</v>
      </c>
      <c r="DW56" s="313">
        <f t="shared" ca="1" si="66"/>
        <v>-0.85416947972827462</v>
      </c>
      <c r="DX56" s="52"/>
      <c r="DY56" s="402">
        <f t="shared" ca="1" si="97"/>
        <v>9</v>
      </c>
      <c r="ED56" s="19">
        <f t="shared" ca="1" si="129"/>
        <v>-1</v>
      </c>
      <c r="EE56" s="1">
        <f t="shared" ca="1" si="130"/>
        <v>1</v>
      </c>
      <c r="EF56" s="1">
        <f t="shared" ca="1" si="131"/>
        <v>-1</v>
      </c>
      <c r="EG56" s="2">
        <f t="shared" ca="1" si="132"/>
        <v>1</v>
      </c>
      <c r="EH56" s="1">
        <f t="shared" ca="1" si="133"/>
        <v>-1</v>
      </c>
      <c r="EI56" s="3">
        <f t="shared" ca="1" si="134"/>
        <v>1</v>
      </c>
      <c r="EJ56" s="1">
        <f t="shared" ca="1" si="135"/>
        <v>0</v>
      </c>
      <c r="EK56" s="1">
        <f t="shared" ca="1" si="136"/>
        <v>0</v>
      </c>
      <c r="EL56" s="20">
        <f t="shared" ca="1" si="137"/>
        <v>-1</v>
      </c>
      <c r="EN56" s="86">
        <f ca="1">MAX(0, SUMPRODUCT($ED56:$EL56,OFFSET(DNN!$E$9:$M$9,EN$9,0)) + OFFSET(DNN!$D$9,EN$9,0))</f>
        <v>0</v>
      </c>
      <c r="EO56" s="84">
        <f ca="1">MAX(0, SUMPRODUCT($ED56:$EL56,OFFSET(DNN!$E$9:$M$9,EO$9,0)) + OFFSET(DNN!$D$9,EO$9,0))</f>
        <v>7.2346022384755949E-3</v>
      </c>
      <c r="EP56" s="84">
        <f ca="1">MAX(0, SUMPRODUCT($ED56:$EL56,OFFSET(DNN!$E$9:$M$9,EP$9,0)) + OFFSET(DNN!$D$9,EP$9,0))</f>
        <v>3.6951849750035152E-3</v>
      </c>
      <c r="EQ56" s="84">
        <f ca="1">MAX(0, SUMPRODUCT($ED56:$EL56,OFFSET(DNN!$E$9:$M$9,EQ$9,0)) + OFFSET(DNN!$D$9,EQ$9,0))</f>
        <v>0</v>
      </c>
      <c r="ER56" s="85">
        <f ca="1">MAX(0, SUMPRODUCT($ED56:$EL56,OFFSET(DNN!$E$9:$M$9,ER$9,0)) + OFFSET(DNN!$D$9,ER$9,0))</f>
        <v>0</v>
      </c>
      <c r="ET56" s="86">
        <f ca="1">MAX(0, SUMPRODUCT($EN56:$ER56,OFFSET(DNN!$Q$9:$U$9,ET$9,0)) + OFFSET(DNN!$P$9,ET$9,0))</f>
        <v>4.3954959453478351E-4</v>
      </c>
      <c r="EU56" s="84">
        <f ca="1">MAX(0, SUMPRODUCT($EN56:$ER56,OFFSET(DNN!$Q$9:$U$9,EU$9,0)) + OFFSET(DNN!$P$9,EU$9,0))</f>
        <v>0</v>
      </c>
      <c r="EV56" s="84">
        <f ca="1">MAX(0, SUMPRODUCT($EN56:$ER56,OFFSET(DNN!$Q$9:$U$9,EV$9,0)) + OFFSET(DNN!$P$9,EV$9,0))</f>
        <v>1.2810123361902579E-3</v>
      </c>
      <c r="EW56" s="84">
        <f ca="1">MAX(0, SUMPRODUCT($EN56:$ER56,OFFSET(DNN!$Q$9:$U$9,EW$9,0)) + OFFSET(DNN!$P$9,EW$9,0))</f>
        <v>7.8382123007882457E-4</v>
      </c>
      <c r="EX56" s="85">
        <f ca="1">MAX(0, SUMPRODUCT($EN56:$ER56,OFFSET(DNN!$Q$9:$U$9,EX$9,0)) + OFFSET(DNN!$P$9,EX$9,0))</f>
        <v>0</v>
      </c>
      <c r="EZ56" s="111">
        <f ca="1">SUMPRODUCT($ET56:$EX56,OFFSET(DNN!$Y$9:$AC$9,EZ$9,0)) + OFFSET(DNN!$X$9,EZ$9,0)</f>
        <v>0.43031618918982212</v>
      </c>
      <c r="FA56" s="97">
        <f ca="1">SUMPRODUCT($ET56:$EX56,OFFSET(DNN!$Y$9:$AC$9,FA$9,0)) + OFFSET(DNN!$X$9,FA$9,0)</f>
        <v>-1.2643439935754107E-5</v>
      </c>
      <c r="FB56" s="97">
        <f ca="1">SUMPRODUCT($ET56:$EX56,OFFSET(DNN!$Y$9:$AC$9,FB$9,0)) + OFFSET(DNN!$X$9,FB$9,0)</f>
        <v>1.5239793458415756E-2</v>
      </c>
      <c r="FC56" s="97">
        <f ca="1">SUMPRODUCT($ET56:$EX56,OFFSET(DNN!$Y$9:$AC$9,FC$9,0)) + OFFSET(DNN!$X$9,FC$9,0)</f>
        <v>-8.8749521084055777E-4</v>
      </c>
      <c r="FD56" s="97">
        <f ca="1">SUMPRODUCT($ET56:$EX56,OFFSET(DNN!$Y$9:$AC$9,FD$9,0)) + OFFSET(DNN!$X$9,FD$9,0)</f>
        <v>-4.235816470721872E-4</v>
      </c>
      <c r="FE56" s="97">
        <f ca="1">SUMPRODUCT($ET56:$EX56,OFFSET(DNN!$Y$9:$AC$9,FE$9,0)) + OFFSET(DNN!$X$9,FE$9,0)</f>
        <v>-1.574182761064886E-5</v>
      </c>
      <c r="FF56" s="97">
        <f ca="1">SUMPRODUCT($ET56:$EX56,OFFSET(DNN!$Y$9:$AC$9,FF$9,0)) + OFFSET(DNN!$X$9,FF$9,0)</f>
        <v>-1.3491460223194656E-3</v>
      </c>
      <c r="FG56" s="97">
        <f ca="1">SUMPRODUCT($ET56:$EX56,OFFSET(DNN!$Y$9:$AC$9,FG$9,0)) + OFFSET(DNN!$X$9,FG$9,0)</f>
        <v>-6.2604808096248285E-2</v>
      </c>
      <c r="FH56" s="97">
        <f ca="1">SUMPRODUCT($ET56:$EX56,OFFSET(DNN!$Y$9:$AC$9,FH$9,0)) + OFFSET(DNN!$X$9,FH$9,0)</f>
        <v>8.6810016937029894E-4</v>
      </c>
      <c r="FI56" s="108">
        <f ca="1">SUMPRODUCT($ET56:$EX56,OFFSET(DNN!$Y$9:$AC$9,FI$9,0)) + OFFSET(DNN!$X$9,FI$9,0)</f>
        <v>-1.3182687612562751</v>
      </c>
      <c r="FJ56" s="98">
        <f ca="1">SUMPRODUCT($ET56:$EX56,OFFSET(DNN!$Y$9:$AC$9,FJ$9,0)) + OFFSET(DNN!$X$9,FJ$9,0)</f>
        <v>-2.2535161745939301E-5</v>
      </c>
      <c r="FL56" s="415">
        <f t="shared" ca="1" si="98"/>
        <v>0.43031618918982212</v>
      </c>
      <c r="FM56" s="130">
        <f t="shared" ca="1" si="99"/>
        <v>1</v>
      </c>
      <c r="FN56" s="131">
        <f t="shared" ca="1" si="100"/>
        <v>0.65029522127322903</v>
      </c>
      <c r="FO56" s="131">
        <f t="shared" ca="1" si="101"/>
        <v>0.66028983545318687</v>
      </c>
      <c r="FP56" s="131">
        <f t="shared" ca="1" si="102"/>
        <v>0.64972655813153501</v>
      </c>
      <c r="FQ56" s="131">
        <f t="shared" ca="1" si="103"/>
        <v>0.65002804502111444</v>
      </c>
      <c r="FR56" s="131">
        <f t="shared" ca="1" si="104"/>
        <v>0.65029320640965171</v>
      </c>
      <c r="FS56" s="131">
        <f t="shared" ca="1" si="105"/>
        <v>0.64942668056342145</v>
      </c>
      <c r="FT56" s="131">
        <f t="shared" ca="1" si="106"/>
        <v>0.61083952513994022</v>
      </c>
      <c r="FU56" s="132">
        <f t="shared" ca="1" si="107"/>
        <v>0.6508682169276182</v>
      </c>
      <c r="FV56" s="131">
        <f t="shared" ca="1" si="108"/>
        <v>0.17402001625314881</v>
      </c>
      <c r="FW56" s="83">
        <f t="shared" ca="1" si="109"/>
        <v>-2.2535161742124597E-5</v>
      </c>
    </row>
    <row r="57" spans="1:179">
      <c r="A57" s="19">
        <f t="shared" si="117"/>
        <v>47</v>
      </c>
      <c r="B57" s="1">
        <f t="shared" ca="1" si="111"/>
        <v>0</v>
      </c>
      <c r="C57" s="20">
        <f t="shared" ca="1" si="112"/>
        <v>47</v>
      </c>
      <c r="D57" s="19" t="str">
        <f t="shared" ca="1" si="113"/>
        <v>〇×〇×〇×--〇</v>
      </c>
      <c r="E57" s="7">
        <f t="shared" ca="1" si="77"/>
        <v>9</v>
      </c>
      <c r="F57" s="7">
        <f t="shared" ca="1" si="78"/>
        <v>1</v>
      </c>
      <c r="G57" s="1" t="str">
        <f t="shared" ca="1" si="138"/>
        <v>〇×〇×〇×--〇</v>
      </c>
      <c r="H57" s="20" t="b">
        <f t="shared" ca="1" si="118"/>
        <v>1</v>
      </c>
      <c r="I57" s="22">
        <f t="shared" ca="1" si="114"/>
        <v>-1</v>
      </c>
      <c r="J57" s="1" t="b">
        <f ca="1">(1&lt;COUNTIF(D$10:D57,D57))</f>
        <v>1</v>
      </c>
      <c r="K57" s="1" t="b">
        <f t="shared" ca="1" si="81"/>
        <v>1</v>
      </c>
      <c r="L57" s="7">
        <f ca="1">MATCH(TRUE,K57:K$1048576,FALSE)-1</f>
        <v>0</v>
      </c>
      <c r="M57" s="24" t="str">
        <f t="shared" ca="1" si="119"/>
        <v>〇×〇×〇×--〇_9</v>
      </c>
      <c r="N57" s="25">
        <f t="shared" ca="1" si="82"/>
        <v>-2.2535161742124597E-5</v>
      </c>
      <c r="O57" s="26">
        <f t="shared" ca="1" si="83"/>
        <v>-1</v>
      </c>
      <c r="P57" s="27">
        <f t="shared" ca="1" si="84"/>
        <v>-1</v>
      </c>
      <c r="R57" s="41" t="str">
        <f ca="1">VLOOKUP(S57,cvt!$B$2:$C$4,2,FALSE)&amp;VLOOKUP(T57,cvt!$B$2:$C$4,2,FALSE)&amp;VLOOKUP(U57,cvt!$B$2:$C$4,2,FALSE)
&amp;VLOOKUP(V57,cvt!$B$2:$C$4,2,FALSE)&amp;VLOOKUP(W57,cvt!$B$2:$C$4,2,FALSE)&amp;VLOOKUP(X57,cvt!$B$2:$C$4,2,FALSE)
&amp;VLOOKUP(Y57,cvt!$B$2:$C$4,2,FALSE)&amp;VLOOKUP(Z57,cvt!$B$2:$C$4,2,FALSE)&amp;VLOOKUP(AA57,cvt!$B$2:$C$4,2,FALSE)</f>
        <v>〇×〇×〇×--〇</v>
      </c>
      <c r="S57" s="7">
        <f ca="1">VLOOKUP(MID($D57,S$9+1,1), cvt!$A$2:$B$4,2, FALSE)</f>
        <v>1</v>
      </c>
      <c r="T57" s="7">
        <f ca="1">VLOOKUP(MID($D57,T$9+1,1), cvt!$A$2:$B$4,2, FALSE)</f>
        <v>-1</v>
      </c>
      <c r="U57" s="7">
        <f ca="1">VLOOKUP(MID($D57,U$9+1,1), cvt!$A$2:$B$4,2, FALSE)</f>
        <v>1</v>
      </c>
      <c r="V57" s="17">
        <f ca="1">VLOOKUP(MID($D57,V$9+1,1), cvt!$A$2:$B$4,2, FALSE)</f>
        <v>-1</v>
      </c>
      <c r="W57" s="7">
        <f ca="1">VLOOKUP(MID($D57,W$9+1,1), cvt!$A$2:$B$4,2, FALSE)</f>
        <v>1</v>
      </c>
      <c r="X57" s="18">
        <f ca="1">VLOOKUP(MID($D57,X$9+1,1), cvt!$A$2:$B$4,2, FALSE)</f>
        <v>-1</v>
      </c>
      <c r="Y57" s="7">
        <f ca="1">VLOOKUP(MID($D57,Y$9+1,1), cvt!$A$2:$B$4,2, FALSE)</f>
        <v>0</v>
      </c>
      <c r="Z57" s="7">
        <f ca="1">VLOOKUP(MID($D57,Z$9+1,1), cvt!$A$2:$B$4,2, FALSE)</f>
        <v>0</v>
      </c>
      <c r="AA57" s="42">
        <f ca="1">VLOOKUP(MID($D57,AA$9+1,1), cvt!$A$2:$B$4,2, FALSE)</f>
        <v>1</v>
      </c>
      <c r="AB57" s="7">
        <f t="shared" ca="1" si="85"/>
        <v>1</v>
      </c>
      <c r="AC57" s="50" t="b">
        <f t="shared" ca="1" si="86"/>
        <v>1</v>
      </c>
      <c r="AE57" s="19" t="str">
        <f ca="1">VLOOKUP(AF57,cvt!$B$2:$C$4,2,FALSE)&amp;VLOOKUP(AG57,cvt!$B$2:$C$4,2,FALSE)&amp;VLOOKUP(AH57,cvt!$B$2:$C$4,2,FALSE)
&amp;VLOOKUP(AI57,cvt!$B$2:$C$4,2,FALSE)&amp;VLOOKUP(AJ57,cvt!$B$2:$C$4,2,FALSE)&amp;VLOOKUP(AK57,cvt!$B$2:$C$4,2,FALSE)
&amp;VLOOKUP(AL57,cvt!$B$2:$C$4,2,FALSE)&amp;VLOOKUP(AM57,cvt!$B$2:$C$4,2,FALSE)&amp;VLOOKUP(AN57,cvt!$B$2:$C$4,2,FALSE)</f>
        <v>〇×〇×〇×--〇</v>
      </c>
      <c r="AF57" s="17">
        <f t="shared" ca="1" si="120"/>
        <v>1</v>
      </c>
      <c r="AG57" s="7">
        <f t="shared" ca="1" si="121"/>
        <v>-1</v>
      </c>
      <c r="AH57" s="7">
        <f t="shared" ca="1" si="122"/>
        <v>1</v>
      </c>
      <c r="AI57" s="17">
        <f t="shared" ca="1" si="123"/>
        <v>-1</v>
      </c>
      <c r="AJ57" s="7">
        <f t="shared" ca="1" si="124"/>
        <v>1</v>
      </c>
      <c r="AK57" s="18">
        <f t="shared" ca="1" si="125"/>
        <v>-1</v>
      </c>
      <c r="AL57" s="7">
        <f t="shared" ca="1" si="126"/>
        <v>0</v>
      </c>
      <c r="AM57" s="7">
        <f t="shared" ca="1" si="127"/>
        <v>0</v>
      </c>
      <c r="AN57" s="18">
        <f t="shared" ca="1" si="128"/>
        <v>1</v>
      </c>
      <c r="AO57" s="7">
        <f t="shared" ca="1" si="115"/>
        <v>1</v>
      </c>
      <c r="AP57" s="50" t="b">
        <f t="shared" ca="1" si="87"/>
        <v>1</v>
      </c>
      <c r="AS57" s="22">
        <f t="shared" ca="1" si="88"/>
        <v>0</v>
      </c>
      <c r="AT57" s="7">
        <f t="shared" ca="1" si="23"/>
        <v>0</v>
      </c>
      <c r="AU57" s="7">
        <f t="shared" ca="1" si="24"/>
        <v>0</v>
      </c>
      <c r="AV57" s="7">
        <f t="shared" ca="1" si="25"/>
        <v>0</v>
      </c>
      <c r="AW57" s="7">
        <f t="shared" ca="1" si="26"/>
        <v>0</v>
      </c>
      <c r="AX57" s="7">
        <f t="shared" ca="1" si="27"/>
        <v>0</v>
      </c>
      <c r="AY57" s="7">
        <f t="shared" ca="1" si="28"/>
        <v>0</v>
      </c>
      <c r="AZ57" s="7">
        <f t="shared" ca="1" si="29"/>
        <v>0</v>
      </c>
      <c r="BA57" s="18">
        <f t="shared" ca="1" si="30"/>
        <v>0</v>
      </c>
      <c r="BB57" s="295">
        <f t="shared" ca="1" si="89"/>
        <v>1</v>
      </c>
      <c r="BD57" s="132"/>
      <c r="BE57" s="297">
        <f t="shared" ca="1" si="90"/>
        <v>1</v>
      </c>
      <c r="BF57" s="298">
        <f t="shared" ca="1" si="31"/>
        <v>0.65029522127322903</v>
      </c>
      <c r="BG57" s="298">
        <f t="shared" ca="1" si="32"/>
        <v>0.66028983545318687</v>
      </c>
      <c r="BH57" s="318">
        <f t="shared" ca="1" si="33"/>
        <v>0.64972655813153501</v>
      </c>
      <c r="BI57" s="298">
        <f t="shared" ca="1" si="34"/>
        <v>0.65002804502111444</v>
      </c>
      <c r="BJ57" s="299">
        <f t="shared" ca="1" si="35"/>
        <v>0.65029320640965171</v>
      </c>
      <c r="BK57" s="298">
        <f t="shared" ca="1" si="36"/>
        <v>0.64942668056342145</v>
      </c>
      <c r="BL57" s="298">
        <f t="shared" ca="1" si="37"/>
        <v>0.61083952513994022</v>
      </c>
      <c r="BM57" s="299">
        <f t="shared" ca="1" si="38"/>
        <v>0.6508682169276182</v>
      </c>
      <c r="BN57" s="295">
        <f t="shared" ca="1" si="39"/>
        <v>0.17402001625314881</v>
      </c>
      <c r="BO57" s="248">
        <f t="shared" ca="1" si="91"/>
        <v>-2.2535161742124597E-5</v>
      </c>
      <c r="BQ57" s="304">
        <f t="shared" ca="1" si="92"/>
        <v>0.1741200162531488</v>
      </c>
      <c r="BR57" s="297">
        <f t="shared" ca="1" si="93"/>
        <v>0</v>
      </c>
      <c r="BS57" s="298">
        <f t="shared" ca="1" si="40"/>
        <v>0</v>
      </c>
      <c r="BT57" s="298">
        <f t="shared" ca="1" si="41"/>
        <v>0</v>
      </c>
      <c r="BU57" s="318">
        <f t="shared" ca="1" si="42"/>
        <v>0</v>
      </c>
      <c r="BV57" s="298">
        <f t="shared" ca="1" si="43"/>
        <v>0</v>
      </c>
      <c r="BW57" s="299">
        <f t="shared" ca="1" si="44"/>
        <v>0</v>
      </c>
      <c r="BX57" s="298">
        <f t="shared" ca="1" si="45"/>
        <v>0</v>
      </c>
      <c r="BY57" s="298">
        <f t="shared" ca="1" si="46"/>
        <v>0</v>
      </c>
      <c r="BZ57" s="298">
        <f t="shared" ca="1" si="47"/>
        <v>0</v>
      </c>
      <c r="CA57" s="315">
        <f t="shared" ca="1" si="48"/>
        <v>0.1741200162531488</v>
      </c>
      <c r="CC57" s="52"/>
      <c r="CD57" s="306">
        <f t="shared" ca="1" si="94"/>
        <v>0</v>
      </c>
      <c r="CE57" s="15">
        <f t="shared" ca="1" si="49"/>
        <v>0</v>
      </c>
      <c r="CF57" s="15">
        <f t="shared" ca="1" si="50"/>
        <v>0</v>
      </c>
      <c r="CG57" s="286">
        <f t="shared" ca="1" si="51"/>
        <v>0</v>
      </c>
      <c r="CH57" s="15">
        <f t="shared" ca="1" si="52"/>
        <v>0</v>
      </c>
      <c r="CI57" s="288">
        <f t="shared" ca="1" si="53"/>
        <v>0</v>
      </c>
      <c r="CJ57" s="15">
        <f t="shared" ca="1" si="54"/>
        <v>0</v>
      </c>
      <c r="CK57" s="15">
        <f t="shared" ca="1" si="55"/>
        <v>0</v>
      </c>
      <c r="CL57" s="15">
        <f t="shared" ca="1" si="56"/>
        <v>0</v>
      </c>
      <c r="CM57" s="313">
        <f t="shared" ca="1" si="57"/>
        <v>1</v>
      </c>
      <c r="CO57" s="320">
        <f t="shared" ca="1" si="95"/>
        <v>46</v>
      </c>
      <c r="CP57" s="22">
        <f ca="1">COUNTIFS($C$10:$C56,"&lt;"&amp;$C57,$M$10:$M56,$D57&amp;"_"&amp;CP$9)</f>
        <v>0</v>
      </c>
      <c r="CQ57" s="7">
        <f ca="1">COUNTIFS($C$10:$C56,"&lt;"&amp;$C57,$M$10:$M56,$D57&amp;"_"&amp;CQ$9)</f>
        <v>0</v>
      </c>
      <c r="CR57" s="7">
        <f ca="1">COUNTIFS($C$10:$C56,"&lt;"&amp;$C57,$M$10:$M56,$D57&amp;"_"&amp;CR$9)</f>
        <v>0</v>
      </c>
      <c r="CS57" s="17">
        <f ca="1">COUNTIFS($C$10:$C56,"&lt;"&amp;$C57,$M$10:$M56,$D57&amp;"_"&amp;CS$9)</f>
        <v>0</v>
      </c>
      <c r="CT57" s="7">
        <f ca="1">COUNTIFS($C$10:$C56,"&lt;"&amp;$C57,$M$10:$M56,$D57&amp;"_"&amp;CT$9)</f>
        <v>0</v>
      </c>
      <c r="CU57" s="18">
        <f ca="1">COUNTIFS($C$10:$C56,"&lt;"&amp;$C57,$M$10:$M56,$D57&amp;"_"&amp;CU$9)</f>
        <v>0</v>
      </c>
      <c r="CV57" s="7">
        <f ca="1">COUNTIFS($C$10:$C56,"&lt;"&amp;$C57,$M$10:$M56,$D57&amp;"_"&amp;CV$9)</f>
        <v>0</v>
      </c>
      <c r="CW57" s="7">
        <f ca="1">COUNTIFS($C$10:$C56,"&lt;"&amp;$C57,$M$10:$M56,$D57&amp;"_"&amp;CW$9)</f>
        <v>0</v>
      </c>
      <c r="CX57" s="7">
        <f ca="1">COUNTIFS($C$10:$C56,"&lt;"&amp;$C57,$M$10:$M56,$D57&amp;"_"&amp;CX$9)</f>
        <v>0</v>
      </c>
      <c r="CY57" s="221">
        <f ca="1">COUNTIFS($C$10:$C56,"&lt;"&amp;$C57,$M$10:$M56,$D57&amp;"_"&amp;CY$9)</f>
        <v>46</v>
      </c>
      <c r="DA57" s="20"/>
      <c r="DB57" s="308">
        <f ca="1">IF(CP57=0,0,SUMIFS($P$10:$P56, $C$10:$C56,"&lt;"&amp;$C57, $M$10:$M56,$D57&amp;"_"&amp;DB$9)/CP57)</f>
        <v>0</v>
      </c>
      <c r="DC57" s="263">
        <f ca="1">IF(CQ57=0,0,SUMIFS($P$10:$P56, $C$10:$C56,"&lt;"&amp;$C57, $M$10:$M56,$D57&amp;"_"&amp;DC$9)/CQ57)</f>
        <v>0</v>
      </c>
      <c r="DD57" s="263">
        <f ca="1">IF(CR57=0,0,SUMIFS($P$10:$P56, $C$10:$C56,"&lt;"&amp;$C57, $M$10:$M56,$D57&amp;"_"&amp;DD$9)/CR57)</f>
        <v>0</v>
      </c>
      <c r="DE57" s="262">
        <f ca="1">IF(CS57=0,0,SUMIFS($P$10:$P56, $C$10:$C56,"&lt;"&amp;$C57, $M$10:$M56,$D57&amp;"_"&amp;DE$9)/CS57)</f>
        <v>0</v>
      </c>
      <c r="DF57" s="263">
        <f ca="1">IF(CT57=0,0,SUMIFS($P$10:$P56, $C$10:$C56,"&lt;"&amp;$C57, $M$10:$M56,$D57&amp;"_"&amp;DF$9)/CT57)</f>
        <v>0</v>
      </c>
      <c r="DG57" s="310">
        <f ca="1">IF(CU57=0,0,SUMIFS($P$10:$P56, $C$10:$C56,"&lt;"&amp;$C57, $M$10:$M56,$D57&amp;"_"&amp;DG$9)/CU57)</f>
        <v>0</v>
      </c>
      <c r="DH57" s="263">
        <f ca="1">IF(CV57=0,0,SUMIFS($P$10:$P56, $C$10:$C56,"&lt;"&amp;$C57, $M$10:$M56,$D57&amp;"_"&amp;DH$9)/CV57)</f>
        <v>0</v>
      </c>
      <c r="DI57" s="263">
        <f ca="1">IF(CW57=0,0,SUMIFS($P$10:$P56, $C$10:$C56,"&lt;"&amp;$C57, $M$10:$M56,$D57&amp;"_"&amp;DI$9)/CW57)</f>
        <v>0</v>
      </c>
      <c r="DJ57" s="264">
        <f ca="1">IF(CX57=0,0,SUMIFS($P$10:$P56, $C$10:$C56,"&lt;"&amp;$C57, $M$10:$M56,$D57&amp;"_"&amp;DJ$9)/CX57)</f>
        <v>0</v>
      </c>
      <c r="DK57" s="264">
        <f ca="1">IF(CY57=0,0,SUMIFS($P$10:$P56, $C$10:$C56,"&lt;"&amp;$C57, $M$10:$M56,$D57&amp;"_"&amp;DK$9)/CY57)</f>
        <v>-1</v>
      </c>
      <c r="DM57" s="104"/>
      <c r="DN57" s="306">
        <f t="shared" ca="1" si="96"/>
        <v>-9999</v>
      </c>
      <c r="DO57" s="15">
        <f t="shared" ca="1" si="58"/>
        <v>-9999</v>
      </c>
      <c r="DP57" s="15">
        <f t="shared" ca="1" si="59"/>
        <v>-9999</v>
      </c>
      <c r="DQ57" s="15">
        <f t="shared" ca="1" si="60"/>
        <v>-9999</v>
      </c>
      <c r="DR57" s="15">
        <f t="shared" ca="1" si="61"/>
        <v>-9999</v>
      </c>
      <c r="DS57" s="15">
        <f t="shared" ca="1" si="62"/>
        <v>-9999</v>
      </c>
      <c r="DT57" s="15">
        <f t="shared" ca="1" si="63"/>
        <v>-9999</v>
      </c>
      <c r="DU57" s="15">
        <f t="shared" ca="1" si="64"/>
        <v>-9999</v>
      </c>
      <c r="DV57" s="52">
        <f t="shared" ca="1" si="65"/>
        <v>-9999</v>
      </c>
      <c r="DW57" s="313">
        <f t="shared" ca="1" si="66"/>
        <v>-0.85569510674201554</v>
      </c>
      <c r="DX57" s="52"/>
      <c r="DY57" s="402">
        <f t="shared" ca="1" si="97"/>
        <v>9</v>
      </c>
      <c r="ED57" s="19">
        <f t="shared" ca="1" si="129"/>
        <v>-1</v>
      </c>
      <c r="EE57" s="1">
        <f t="shared" ca="1" si="130"/>
        <v>1</v>
      </c>
      <c r="EF57" s="1">
        <f t="shared" ca="1" si="131"/>
        <v>-1</v>
      </c>
      <c r="EG57" s="2">
        <f t="shared" ca="1" si="132"/>
        <v>1</v>
      </c>
      <c r="EH57" s="1">
        <f t="shared" ca="1" si="133"/>
        <v>-1</v>
      </c>
      <c r="EI57" s="3">
        <f t="shared" ca="1" si="134"/>
        <v>1</v>
      </c>
      <c r="EJ57" s="1">
        <f t="shared" ca="1" si="135"/>
        <v>0</v>
      </c>
      <c r="EK57" s="1">
        <f t="shared" ca="1" si="136"/>
        <v>0</v>
      </c>
      <c r="EL57" s="20">
        <f t="shared" ca="1" si="137"/>
        <v>-1</v>
      </c>
      <c r="EN57" s="86">
        <f ca="1">MAX(0, SUMPRODUCT($ED57:$EL57,OFFSET(DNN!$E$9:$M$9,EN$9,0)) + OFFSET(DNN!$D$9,EN$9,0))</f>
        <v>0</v>
      </c>
      <c r="EO57" s="84">
        <f ca="1">MAX(0, SUMPRODUCT($ED57:$EL57,OFFSET(DNN!$E$9:$M$9,EO$9,0)) + OFFSET(DNN!$D$9,EO$9,0))</f>
        <v>7.2346022384755949E-3</v>
      </c>
      <c r="EP57" s="84">
        <f ca="1">MAX(0, SUMPRODUCT($ED57:$EL57,OFFSET(DNN!$E$9:$M$9,EP$9,0)) + OFFSET(DNN!$D$9,EP$9,0))</f>
        <v>3.6951849750035152E-3</v>
      </c>
      <c r="EQ57" s="84">
        <f ca="1">MAX(0, SUMPRODUCT($ED57:$EL57,OFFSET(DNN!$E$9:$M$9,EQ$9,0)) + OFFSET(DNN!$D$9,EQ$9,0))</f>
        <v>0</v>
      </c>
      <c r="ER57" s="85">
        <f ca="1">MAX(0, SUMPRODUCT($ED57:$EL57,OFFSET(DNN!$E$9:$M$9,ER$9,0)) + OFFSET(DNN!$D$9,ER$9,0))</f>
        <v>0</v>
      </c>
      <c r="ET57" s="86">
        <f ca="1">MAX(0, SUMPRODUCT($EN57:$ER57,OFFSET(DNN!$Q$9:$U$9,ET$9,0)) + OFFSET(DNN!$P$9,ET$9,0))</f>
        <v>4.3954959453478351E-4</v>
      </c>
      <c r="EU57" s="84">
        <f ca="1">MAX(0, SUMPRODUCT($EN57:$ER57,OFFSET(DNN!$Q$9:$U$9,EU$9,0)) + OFFSET(DNN!$P$9,EU$9,0))</f>
        <v>0</v>
      </c>
      <c r="EV57" s="84">
        <f ca="1">MAX(0, SUMPRODUCT($EN57:$ER57,OFFSET(DNN!$Q$9:$U$9,EV$9,0)) + OFFSET(DNN!$P$9,EV$9,0))</f>
        <v>1.2810123361902579E-3</v>
      </c>
      <c r="EW57" s="84">
        <f ca="1">MAX(0, SUMPRODUCT($EN57:$ER57,OFFSET(DNN!$Q$9:$U$9,EW$9,0)) + OFFSET(DNN!$P$9,EW$9,0))</f>
        <v>7.8382123007882457E-4</v>
      </c>
      <c r="EX57" s="85">
        <f ca="1">MAX(0, SUMPRODUCT($EN57:$ER57,OFFSET(DNN!$Q$9:$U$9,EX$9,0)) + OFFSET(DNN!$P$9,EX$9,0))</f>
        <v>0</v>
      </c>
      <c r="EZ57" s="111">
        <f ca="1">SUMPRODUCT($ET57:$EX57,OFFSET(DNN!$Y$9:$AC$9,EZ$9,0)) + OFFSET(DNN!$X$9,EZ$9,0)</f>
        <v>0.43031618918982212</v>
      </c>
      <c r="FA57" s="97">
        <f ca="1">SUMPRODUCT($ET57:$EX57,OFFSET(DNN!$Y$9:$AC$9,FA$9,0)) + OFFSET(DNN!$X$9,FA$9,0)</f>
        <v>-1.2643439935754107E-5</v>
      </c>
      <c r="FB57" s="97">
        <f ca="1">SUMPRODUCT($ET57:$EX57,OFFSET(DNN!$Y$9:$AC$9,FB$9,0)) + OFFSET(DNN!$X$9,FB$9,0)</f>
        <v>1.5239793458415756E-2</v>
      </c>
      <c r="FC57" s="97">
        <f ca="1">SUMPRODUCT($ET57:$EX57,OFFSET(DNN!$Y$9:$AC$9,FC$9,0)) + OFFSET(DNN!$X$9,FC$9,0)</f>
        <v>-8.8749521084055777E-4</v>
      </c>
      <c r="FD57" s="97">
        <f ca="1">SUMPRODUCT($ET57:$EX57,OFFSET(DNN!$Y$9:$AC$9,FD$9,0)) + OFFSET(DNN!$X$9,FD$9,0)</f>
        <v>-4.235816470721872E-4</v>
      </c>
      <c r="FE57" s="97">
        <f ca="1">SUMPRODUCT($ET57:$EX57,OFFSET(DNN!$Y$9:$AC$9,FE$9,0)) + OFFSET(DNN!$X$9,FE$9,0)</f>
        <v>-1.574182761064886E-5</v>
      </c>
      <c r="FF57" s="97">
        <f ca="1">SUMPRODUCT($ET57:$EX57,OFFSET(DNN!$Y$9:$AC$9,FF$9,0)) + OFFSET(DNN!$X$9,FF$9,0)</f>
        <v>-1.3491460223194656E-3</v>
      </c>
      <c r="FG57" s="97">
        <f ca="1">SUMPRODUCT($ET57:$EX57,OFFSET(DNN!$Y$9:$AC$9,FG$9,0)) + OFFSET(DNN!$X$9,FG$9,0)</f>
        <v>-6.2604808096248285E-2</v>
      </c>
      <c r="FH57" s="97">
        <f ca="1">SUMPRODUCT($ET57:$EX57,OFFSET(DNN!$Y$9:$AC$9,FH$9,0)) + OFFSET(DNN!$X$9,FH$9,0)</f>
        <v>8.6810016937029894E-4</v>
      </c>
      <c r="FI57" s="108">
        <f ca="1">SUMPRODUCT($ET57:$EX57,OFFSET(DNN!$Y$9:$AC$9,FI$9,0)) + OFFSET(DNN!$X$9,FI$9,0)</f>
        <v>-1.3182687612562751</v>
      </c>
      <c r="FJ57" s="98">
        <f ca="1">SUMPRODUCT($ET57:$EX57,OFFSET(DNN!$Y$9:$AC$9,FJ$9,0)) + OFFSET(DNN!$X$9,FJ$9,0)</f>
        <v>-2.2535161745939301E-5</v>
      </c>
      <c r="FL57" s="415">
        <f t="shared" ca="1" si="98"/>
        <v>0.43031618918982212</v>
      </c>
      <c r="FM57" s="130">
        <f t="shared" ca="1" si="99"/>
        <v>1</v>
      </c>
      <c r="FN57" s="131">
        <f t="shared" ca="1" si="100"/>
        <v>0.65029522127322903</v>
      </c>
      <c r="FO57" s="131">
        <f t="shared" ca="1" si="101"/>
        <v>0.66028983545318687</v>
      </c>
      <c r="FP57" s="131">
        <f t="shared" ca="1" si="102"/>
        <v>0.64972655813153501</v>
      </c>
      <c r="FQ57" s="131">
        <f t="shared" ca="1" si="103"/>
        <v>0.65002804502111444</v>
      </c>
      <c r="FR57" s="131">
        <f t="shared" ca="1" si="104"/>
        <v>0.65029320640965171</v>
      </c>
      <c r="FS57" s="131">
        <f t="shared" ca="1" si="105"/>
        <v>0.64942668056342145</v>
      </c>
      <c r="FT57" s="131">
        <f t="shared" ca="1" si="106"/>
        <v>0.61083952513994022</v>
      </c>
      <c r="FU57" s="132">
        <f t="shared" ca="1" si="107"/>
        <v>0.6508682169276182</v>
      </c>
      <c r="FV57" s="131">
        <f t="shared" ca="1" si="108"/>
        <v>0.17402001625314881</v>
      </c>
      <c r="FW57" s="83">
        <f t="shared" ca="1" si="109"/>
        <v>-2.2535161742124597E-5</v>
      </c>
    </row>
    <row r="58" spans="1:179">
      <c r="A58" s="19">
        <f t="shared" si="117"/>
        <v>48</v>
      </c>
      <c r="B58" s="1">
        <f t="shared" ca="1" si="111"/>
        <v>0</v>
      </c>
      <c r="C58" s="20">
        <f t="shared" ca="1" si="112"/>
        <v>48</v>
      </c>
      <c r="D58" s="19" t="str">
        <f t="shared" ca="1" si="113"/>
        <v>〇×〇×〇×--〇</v>
      </c>
      <c r="E58" s="7">
        <f t="shared" ca="1" si="77"/>
        <v>9</v>
      </c>
      <c r="F58" s="7">
        <f t="shared" ca="1" si="78"/>
        <v>1</v>
      </c>
      <c r="G58" s="1" t="str">
        <f t="shared" ca="1" si="138"/>
        <v>〇×〇×〇×--〇</v>
      </c>
      <c r="H58" s="20" t="b">
        <f t="shared" ca="1" si="118"/>
        <v>1</v>
      </c>
      <c r="I58" s="22">
        <f t="shared" ca="1" si="114"/>
        <v>-1</v>
      </c>
      <c r="J58" s="1" t="b">
        <f ca="1">(1&lt;COUNTIF(D$10:D58,D58))</f>
        <v>1</v>
      </c>
      <c r="K58" s="1" t="b">
        <f t="shared" ca="1" si="81"/>
        <v>1</v>
      </c>
      <c r="L58" s="7">
        <f ca="1">MATCH(TRUE,K58:K$1048576,FALSE)-1</f>
        <v>0</v>
      </c>
      <c r="M58" s="24" t="str">
        <f t="shared" ca="1" si="119"/>
        <v>〇×〇×〇×--〇_9</v>
      </c>
      <c r="N58" s="25">
        <f t="shared" ca="1" si="82"/>
        <v>-2.2535161742124597E-5</v>
      </c>
      <c r="O58" s="26">
        <f t="shared" ca="1" si="83"/>
        <v>-1</v>
      </c>
      <c r="P58" s="27">
        <f t="shared" ca="1" si="84"/>
        <v>-1</v>
      </c>
      <c r="R58" s="41" t="str">
        <f ca="1">VLOOKUP(S58,cvt!$B$2:$C$4,2,FALSE)&amp;VLOOKUP(T58,cvt!$B$2:$C$4,2,FALSE)&amp;VLOOKUP(U58,cvt!$B$2:$C$4,2,FALSE)
&amp;VLOOKUP(V58,cvt!$B$2:$C$4,2,FALSE)&amp;VLOOKUP(W58,cvt!$B$2:$C$4,2,FALSE)&amp;VLOOKUP(X58,cvt!$B$2:$C$4,2,FALSE)
&amp;VLOOKUP(Y58,cvt!$B$2:$C$4,2,FALSE)&amp;VLOOKUP(Z58,cvt!$B$2:$C$4,2,FALSE)&amp;VLOOKUP(AA58,cvt!$B$2:$C$4,2,FALSE)</f>
        <v>〇×〇×〇×--〇</v>
      </c>
      <c r="S58" s="7">
        <f ca="1">VLOOKUP(MID($D58,S$9+1,1), cvt!$A$2:$B$4,2, FALSE)</f>
        <v>1</v>
      </c>
      <c r="T58" s="7">
        <f ca="1">VLOOKUP(MID($D58,T$9+1,1), cvt!$A$2:$B$4,2, FALSE)</f>
        <v>-1</v>
      </c>
      <c r="U58" s="7">
        <f ca="1">VLOOKUP(MID($D58,U$9+1,1), cvt!$A$2:$B$4,2, FALSE)</f>
        <v>1</v>
      </c>
      <c r="V58" s="17">
        <f ca="1">VLOOKUP(MID($D58,V$9+1,1), cvt!$A$2:$B$4,2, FALSE)</f>
        <v>-1</v>
      </c>
      <c r="W58" s="7">
        <f ca="1">VLOOKUP(MID($D58,W$9+1,1), cvt!$A$2:$B$4,2, FALSE)</f>
        <v>1</v>
      </c>
      <c r="X58" s="18">
        <f ca="1">VLOOKUP(MID($D58,X$9+1,1), cvt!$A$2:$B$4,2, FALSE)</f>
        <v>-1</v>
      </c>
      <c r="Y58" s="7">
        <f ca="1">VLOOKUP(MID($D58,Y$9+1,1), cvt!$A$2:$B$4,2, FALSE)</f>
        <v>0</v>
      </c>
      <c r="Z58" s="7">
        <f ca="1">VLOOKUP(MID($D58,Z$9+1,1), cvt!$A$2:$B$4,2, FALSE)</f>
        <v>0</v>
      </c>
      <c r="AA58" s="42">
        <f ca="1">VLOOKUP(MID($D58,AA$9+1,1), cvt!$A$2:$B$4,2, FALSE)</f>
        <v>1</v>
      </c>
      <c r="AB58" s="7">
        <f t="shared" ca="1" si="85"/>
        <v>1</v>
      </c>
      <c r="AC58" s="50" t="b">
        <f t="shared" ca="1" si="86"/>
        <v>1</v>
      </c>
      <c r="AE58" s="19" t="str">
        <f ca="1">VLOOKUP(AF58,cvt!$B$2:$C$4,2,FALSE)&amp;VLOOKUP(AG58,cvt!$B$2:$C$4,2,FALSE)&amp;VLOOKUP(AH58,cvt!$B$2:$C$4,2,FALSE)
&amp;VLOOKUP(AI58,cvt!$B$2:$C$4,2,FALSE)&amp;VLOOKUP(AJ58,cvt!$B$2:$C$4,2,FALSE)&amp;VLOOKUP(AK58,cvt!$B$2:$C$4,2,FALSE)
&amp;VLOOKUP(AL58,cvt!$B$2:$C$4,2,FALSE)&amp;VLOOKUP(AM58,cvt!$B$2:$C$4,2,FALSE)&amp;VLOOKUP(AN58,cvt!$B$2:$C$4,2,FALSE)</f>
        <v>〇×〇×〇×--〇</v>
      </c>
      <c r="AF58" s="17">
        <f t="shared" ca="1" si="120"/>
        <v>1</v>
      </c>
      <c r="AG58" s="7">
        <f t="shared" ca="1" si="121"/>
        <v>-1</v>
      </c>
      <c r="AH58" s="7">
        <f t="shared" ca="1" si="122"/>
        <v>1</v>
      </c>
      <c r="AI58" s="17">
        <f t="shared" ca="1" si="123"/>
        <v>-1</v>
      </c>
      <c r="AJ58" s="7">
        <f t="shared" ca="1" si="124"/>
        <v>1</v>
      </c>
      <c r="AK58" s="18">
        <f t="shared" ca="1" si="125"/>
        <v>-1</v>
      </c>
      <c r="AL58" s="7">
        <f t="shared" ca="1" si="126"/>
        <v>0</v>
      </c>
      <c r="AM58" s="7">
        <f t="shared" ca="1" si="127"/>
        <v>0</v>
      </c>
      <c r="AN58" s="18">
        <f t="shared" ca="1" si="128"/>
        <v>1</v>
      </c>
      <c r="AO58" s="7">
        <f t="shared" ca="1" si="115"/>
        <v>1</v>
      </c>
      <c r="AP58" s="50" t="b">
        <f t="shared" ca="1" si="87"/>
        <v>1</v>
      </c>
      <c r="AS58" s="22">
        <f t="shared" ca="1" si="88"/>
        <v>0</v>
      </c>
      <c r="AT58" s="7">
        <f t="shared" ca="1" si="23"/>
        <v>0</v>
      </c>
      <c r="AU58" s="7">
        <f t="shared" ca="1" si="24"/>
        <v>0</v>
      </c>
      <c r="AV58" s="7">
        <f t="shared" ca="1" si="25"/>
        <v>0</v>
      </c>
      <c r="AW58" s="7">
        <f t="shared" ca="1" si="26"/>
        <v>0</v>
      </c>
      <c r="AX58" s="7">
        <f t="shared" ca="1" si="27"/>
        <v>0</v>
      </c>
      <c r="AY58" s="7">
        <f t="shared" ca="1" si="28"/>
        <v>0</v>
      </c>
      <c r="AZ58" s="7">
        <f t="shared" ca="1" si="29"/>
        <v>0</v>
      </c>
      <c r="BA58" s="18">
        <f t="shared" ca="1" si="30"/>
        <v>0</v>
      </c>
      <c r="BB58" s="295">
        <f t="shared" ca="1" si="89"/>
        <v>1</v>
      </c>
      <c r="BD58" s="132"/>
      <c r="BE58" s="297">
        <f t="shared" ca="1" si="90"/>
        <v>1</v>
      </c>
      <c r="BF58" s="298">
        <f t="shared" ca="1" si="31"/>
        <v>0.65029522127322903</v>
      </c>
      <c r="BG58" s="298">
        <f t="shared" ca="1" si="32"/>
        <v>0.66028983545318687</v>
      </c>
      <c r="BH58" s="318">
        <f t="shared" ca="1" si="33"/>
        <v>0.64972655813153501</v>
      </c>
      <c r="BI58" s="298">
        <f t="shared" ca="1" si="34"/>
        <v>0.65002804502111444</v>
      </c>
      <c r="BJ58" s="299">
        <f t="shared" ca="1" si="35"/>
        <v>0.65029320640965171</v>
      </c>
      <c r="BK58" s="298">
        <f t="shared" ca="1" si="36"/>
        <v>0.64942668056342145</v>
      </c>
      <c r="BL58" s="298">
        <f t="shared" ca="1" si="37"/>
        <v>0.61083952513994022</v>
      </c>
      <c r="BM58" s="299">
        <f t="shared" ca="1" si="38"/>
        <v>0.6508682169276182</v>
      </c>
      <c r="BN58" s="295">
        <f t="shared" ca="1" si="39"/>
        <v>0.17402001625314881</v>
      </c>
      <c r="BO58" s="248">
        <f t="shared" ca="1" si="91"/>
        <v>-2.2535161742124597E-5</v>
      </c>
      <c r="BQ58" s="304">
        <f t="shared" ca="1" si="92"/>
        <v>0.42412001625314877</v>
      </c>
      <c r="BR58" s="297">
        <f t="shared" ca="1" si="93"/>
        <v>0</v>
      </c>
      <c r="BS58" s="298">
        <f t="shared" ca="1" si="40"/>
        <v>0</v>
      </c>
      <c r="BT58" s="298">
        <f t="shared" ca="1" si="41"/>
        <v>0</v>
      </c>
      <c r="BU58" s="318">
        <f t="shared" ca="1" si="42"/>
        <v>0</v>
      </c>
      <c r="BV58" s="298">
        <f t="shared" ca="1" si="43"/>
        <v>0</v>
      </c>
      <c r="BW58" s="299">
        <f t="shared" ca="1" si="44"/>
        <v>0</v>
      </c>
      <c r="BX58" s="298">
        <f t="shared" ca="1" si="45"/>
        <v>0</v>
      </c>
      <c r="BY58" s="298">
        <f t="shared" ca="1" si="46"/>
        <v>0</v>
      </c>
      <c r="BZ58" s="298">
        <f t="shared" ca="1" si="47"/>
        <v>0</v>
      </c>
      <c r="CA58" s="315">
        <f t="shared" ca="1" si="48"/>
        <v>0.42412001625314877</v>
      </c>
      <c r="CC58" s="52"/>
      <c r="CD58" s="306">
        <f t="shared" ca="1" si="94"/>
        <v>0</v>
      </c>
      <c r="CE58" s="15">
        <f t="shared" ca="1" si="49"/>
        <v>0</v>
      </c>
      <c r="CF58" s="15">
        <f t="shared" ca="1" si="50"/>
        <v>0</v>
      </c>
      <c r="CG58" s="286">
        <f t="shared" ca="1" si="51"/>
        <v>0</v>
      </c>
      <c r="CH58" s="15">
        <f t="shared" ca="1" si="52"/>
        <v>0</v>
      </c>
      <c r="CI58" s="288">
        <f t="shared" ca="1" si="53"/>
        <v>0</v>
      </c>
      <c r="CJ58" s="15">
        <f t="shared" ca="1" si="54"/>
        <v>0</v>
      </c>
      <c r="CK58" s="15">
        <f t="shared" ca="1" si="55"/>
        <v>0</v>
      </c>
      <c r="CL58" s="15">
        <f t="shared" ca="1" si="56"/>
        <v>0</v>
      </c>
      <c r="CM58" s="313">
        <f t="shared" ca="1" si="57"/>
        <v>1</v>
      </c>
      <c r="CO58" s="320">
        <f t="shared" ca="1" si="95"/>
        <v>47</v>
      </c>
      <c r="CP58" s="22">
        <f ca="1">COUNTIFS($C$10:$C57,"&lt;"&amp;$C58,$M$10:$M57,$D58&amp;"_"&amp;CP$9)</f>
        <v>0</v>
      </c>
      <c r="CQ58" s="7">
        <f ca="1">COUNTIFS($C$10:$C57,"&lt;"&amp;$C58,$M$10:$M57,$D58&amp;"_"&amp;CQ$9)</f>
        <v>0</v>
      </c>
      <c r="CR58" s="7">
        <f ca="1">COUNTIFS($C$10:$C57,"&lt;"&amp;$C58,$M$10:$M57,$D58&amp;"_"&amp;CR$9)</f>
        <v>0</v>
      </c>
      <c r="CS58" s="17">
        <f ca="1">COUNTIFS($C$10:$C57,"&lt;"&amp;$C58,$M$10:$M57,$D58&amp;"_"&amp;CS$9)</f>
        <v>0</v>
      </c>
      <c r="CT58" s="7">
        <f ca="1">COUNTIFS($C$10:$C57,"&lt;"&amp;$C58,$M$10:$M57,$D58&amp;"_"&amp;CT$9)</f>
        <v>0</v>
      </c>
      <c r="CU58" s="18">
        <f ca="1">COUNTIFS($C$10:$C57,"&lt;"&amp;$C58,$M$10:$M57,$D58&amp;"_"&amp;CU$9)</f>
        <v>0</v>
      </c>
      <c r="CV58" s="7">
        <f ca="1">COUNTIFS($C$10:$C57,"&lt;"&amp;$C58,$M$10:$M57,$D58&amp;"_"&amp;CV$9)</f>
        <v>0</v>
      </c>
      <c r="CW58" s="7">
        <f ca="1">COUNTIFS($C$10:$C57,"&lt;"&amp;$C58,$M$10:$M57,$D58&amp;"_"&amp;CW$9)</f>
        <v>0</v>
      </c>
      <c r="CX58" s="7">
        <f ca="1">COUNTIFS($C$10:$C57,"&lt;"&amp;$C58,$M$10:$M57,$D58&amp;"_"&amp;CX$9)</f>
        <v>0</v>
      </c>
      <c r="CY58" s="221">
        <f ca="1">COUNTIFS($C$10:$C57,"&lt;"&amp;$C58,$M$10:$M57,$D58&amp;"_"&amp;CY$9)</f>
        <v>47</v>
      </c>
      <c r="DA58" s="20"/>
      <c r="DB58" s="308">
        <f ca="1">IF(CP58=0,0,SUMIFS($P$10:$P57, $C$10:$C57,"&lt;"&amp;$C58, $M$10:$M57,$D58&amp;"_"&amp;DB$9)/CP58)</f>
        <v>0</v>
      </c>
      <c r="DC58" s="263">
        <f ca="1">IF(CQ58=0,0,SUMIFS($P$10:$P57, $C$10:$C57,"&lt;"&amp;$C58, $M$10:$M57,$D58&amp;"_"&amp;DC$9)/CQ58)</f>
        <v>0</v>
      </c>
      <c r="DD58" s="263">
        <f ca="1">IF(CR58=0,0,SUMIFS($P$10:$P57, $C$10:$C57,"&lt;"&amp;$C58, $M$10:$M57,$D58&amp;"_"&amp;DD$9)/CR58)</f>
        <v>0</v>
      </c>
      <c r="DE58" s="262">
        <f ca="1">IF(CS58=0,0,SUMIFS($P$10:$P57, $C$10:$C57,"&lt;"&amp;$C58, $M$10:$M57,$D58&amp;"_"&amp;DE$9)/CS58)</f>
        <v>0</v>
      </c>
      <c r="DF58" s="263">
        <f ca="1">IF(CT58=0,0,SUMIFS($P$10:$P57, $C$10:$C57,"&lt;"&amp;$C58, $M$10:$M57,$D58&amp;"_"&amp;DF$9)/CT58)</f>
        <v>0</v>
      </c>
      <c r="DG58" s="310">
        <f ca="1">IF(CU58=0,0,SUMIFS($P$10:$P57, $C$10:$C57,"&lt;"&amp;$C58, $M$10:$M57,$D58&amp;"_"&amp;DG$9)/CU58)</f>
        <v>0</v>
      </c>
      <c r="DH58" s="263">
        <f ca="1">IF(CV58=0,0,SUMIFS($P$10:$P57, $C$10:$C57,"&lt;"&amp;$C58, $M$10:$M57,$D58&amp;"_"&amp;DH$9)/CV58)</f>
        <v>0</v>
      </c>
      <c r="DI58" s="263">
        <f ca="1">IF(CW58=0,0,SUMIFS($P$10:$P57, $C$10:$C57,"&lt;"&amp;$C58, $M$10:$M57,$D58&amp;"_"&amp;DI$9)/CW58)</f>
        <v>0</v>
      </c>
      <c r="DJ58" s="264">
        <f ca="1">IF(CX58=0,0,SUMIFS($P$10:$P57, $C$10:$C57,"&lt;"&amp;$C58, $M$10:$M57,$D58&amp;"_"&amp;DJ$9)/CX58)</f>
        <v>0</v>
      </c>
      <c r="DK58" s="264">
        <f ca="1">IF(CY58=0,0,SUMIFS($P$10:$P57, $C$10:$C57,"&lt;"&amp;$C58, $M$10:$M57,$D58&amp;"_"&amp;DK$9)/CY58)</f>
        <v>-1</v>
      </c>
      <c r="DM58" s="104"/>
      <c r="DN58" s="306">
        <f t="shared" ca="1" si="96"/>
        <v>-9999</v>
      </c>
      <c r="DO58" s="15">
        <f t="shared" ca="1" si="58"/>
        <v>-9999</v>
      </c>
      <c r="DP58" s="15">
        <f t="shared" ca="1" si="59"/>
        <v>-9999</v>
      </c>
      <c r="DQ58" s="15">
        <f t="shared" ca="1" si="60"/>
        <v>-9999</v>
      </c>
      <c r="DR58" s="15">
        <f t="shared" ca="1" si="61"/>
        <v>-9999</v>
      </c>
      <c r="DS58" s="15">
        <f t="shared" ca="1" si="62"/>
        <v>-9999</v>
      </c>
      <c r="DT58" s="15">
        <f t="shared" ca="1" si="63"/>
        <v>-9999</v>
      </c>
      <c r="DU58" s="15">
        <f t="shared" ca="1" si="64"/>
        <v>-9999</v>
      </c>
      <c r="DV58" s="52">
        <f t="shared" ca="1" si="65"/>
        <v>-9999</v>
      </c>
      <c r="DW58" s="313">
        <f t="shared" ca="1" si="66"/>
        <v>-0.85717386249164496</v>
      </c>
      <c r="DX58" s="52"/>
      <c r="DY58" s="402">
        <f t="shared" ca="1" si="97"/>
        <v>9</v>
      </c>
      <c r="ED58" s="19">
        <f t="shared" ca="1" si="129"/>
        <v>-1</v>
      </c>
      <c r="EE58" s="1">
        <f t="shared" ca="1" si="130"/>
        <v>1</v>
      </c>
      <c r="EF58" s="1">
        <f t="shared" ca="1" si="131"/>
        <v>-1</v>
      </c>
      <c r="EG58" s="2">
        <f t="shared" ca="1" si="132"/>
        <v>1</v>
      </c>
      <c r="EH58" s="1">
        <f t="shared" ca="1" si="133"/>
        <v>-1</v>
      </c>
      <c r="EI58" s="3">
        <f t="shared" ca="1" si="134"/>
        <v>1</v>
      </c>
      <c r="EJ58" s="1">
        <f t="shared" ca="1" si="135"/>
        <v>0</v>
      </c>
      <c r="EK58" s="1">
        <f t="shared" ca="1" si="136"/>
        <v>0</v>
      </c>
      <c r="EL58" s="20">
        <f t="shared" ca="1" si="137"/>
        <v>-1</v>
      </c>
      <c r="EN58" s="86">
        <f ca="1">MAX(0, SUMPRODUCT($ED58:$EL58,OFFSET(DNN!$E$9:$M$9,EN$9,0)) + OFFSET(DNN!$D$9,EN$9,0))</f>
        <v>0</v>
      </c>
      <c r="EO58" s="84">
        <f ca="1">MAX(0, SUMPRODUCT($ED58:$EL58,OFFSET(DNN!$E$9:$M$9,EO$9,0)) + OFFSET(DNN!$D$9,EO$9,0))</f>
        <v>7.2346022384755949E-3</v>
      </c>
      <c r="EP58" s="84">
        <f ca="1">MAX(0, SUMPRODUCT($ED58:$EL58,OFFSET(DNN!$E$9:$M$9,EP$9,0)) + OFFSET(DNN!$D$9,EP$9,0))</f>
        <v>3.6951849750035152E-3</v>
      </c>
      <c r="EQ58" s="84">
        <f ca="1">MAX(0, SUMPRODUCT($ED58:$EL58,OFFSET(DNN!$E$9:$M$9,EQ$9,0)) + OFFSET(DNN!$D$9,EQ$9,0))</f>
        <v>0</v>
      </c>
      <c r="ER58" s="85">
        <f ca="1">MAX(0, SUMPRODUCT($ED58:$EL58,OFFSET(DNN!$E$9:$M$9,ER$9,0)) + OFFSET(DNN!$D$9,ER$9,0))</f>
        <v>0</v>
      </c>
      <c r="ET58" s="86">
        <f ca="1">MAX(0, SUMPRODUCT($EN58:$ER58,OFFSET(DNN!$Q$9:$U$9,ET$9,0)) + OFFSET(DNN!$P$9,ET$9,0))</f>
        <v>4.3954959453478351E-4</v>
      </c>
      <c r="EU58" s="84">
        <f ca="1">MAX(0, SUMPRODUCT($EN58:$ER58,OFFSET(DNN!$Q$9:$U$9,EU$9,0)) + OFFSET(DNN!$P$9,EU$9,0))</f>
        <v>0</v>
      </c>
      <c r="EV58" s="84">
        <f ca="1">MAX(0, SUMPRODUCT($EN58:$ER58,OFFSET(DNN!$Q$9:$U$9,EV$9,0)) + OFFSET(DNN!$P$9,EV$9,0))</f>
        <v>1.2810123361902579E-3</v>
      </c>
      <c r="EW58" s="84">
        <f ca="1">MAX(0, SUMPRODUCT($EN58:$ER58,OFFSET(DNN!$Q$9:$U$9,EW$9,0)) + OFFSET(DNN!$P$9,EW$9,0))</f>
        <v>7.8382123007882457E-4</v>
      </c>
      <c r="EX58" s="85">
        <f ca="1">MAX(0, SUMPRODUCT($EN58:$ER58,OFFSET(DNN!$Q$9:$U$9,EX$9,0)) + OFFSET(DNN!$P$9,EX$9,0))</f>
        <v>0</v>
      </c>
      <c r="EZ58" s="111">
        <f ca="1">SUMPRODUCT($ET58:$EX58,OFFSET(DNN!$Y$9:$AC$9,EZ$9,0)) + OFFSET(DNN!$X$9,EZ$9,0)</f>
        <v>0.43031618918982212</v>
      </c>
      <c r="FA58" s="97">
        <f ca="1">SUMPRODUCT($ET58:$EX58,OFFSET(DNN!$Y$9:$AC$9,FA$9,0)) + OFFSET(DNN!$X$9,FA$9,0)</f>
        <v>-1.2643439935754107E-5</v>
      </c>
      <c r="FB58" s="97">
        <f ca="1">SUMPRODUCT($ET58:$EX58,OFFSET(DNN!$Y$9:$AC$9,FB$9,0)) + OFFSET(DNN!$X$9,FB$9,0)</f>
        <v>1.5239793458415756E-2</v>
      </c>
      <c r="FC58" s="97">
        <f ca="1">SUMPRODUCT($ET58:$EX58,OFFSET(DNN!$Y$9:$AC$9,FC$9,0)) + OFFSET(DNN!$X$9,FC$9,0)</f>
        <v>-8.8749521084055777E-4</v>
      </c>
      <c r="FD58" s="97">
        <f ca="1">SUMPRODUCT($ET58:$EX58,OFFSET(DNN!$Y$9:$AC$9,FD$9,0)) + OFFSET(DNN!$X$9,FD$9,0)</f>
        <v>-4.235816470721872E-4</v>
      </c>
      <c r="FE58" s="97">
        <f ca="1">SUMPRODUCT($ET58:$EX58,OFFSET(DNN!$Y$9:$AC$9,FE$9,0)) + OFFSET(DNN!$X$9,FE$9,0)</f>
        <v>-1.574182761064886E-5</v>
      </c>
      <c r="FF58" s="97">
        <f ca="1">SUMPRODUCT($ET58:$EX58,OFFSET(DNN!$Y$9:$AC$9,FF$9,0)) + OFFSET(DNN!$X$9,FF$9,0)</f>
        <v>-1.3491460223194656E-3</v>
      </c>
      <c r="FG58" s="97">
        <f ca="1">SUMPRODUCT($ET58:$EX58,OFFSET(DNN!$Y$9:$AC$9,FG$9,0)) + OFFSET(DNN!$X$9,FG$9,0)</f>
        <v>-6.2604808096248285E-2</v>
      </c>
      <c r="FH58" s="97">
        <f ca="1">SUMPRODUCT($ET58:$EX58,OFFSET(DNN!$Y$9:$AC$9,FH$9,0)) + OFFSET(DNN!$X$9,FH$9,0)</f>
        <v>8.6810016937029894E-4</v>
      </c>
      <c r="FI58" s="108">
        <f ca="1">SUMPRODUCT($ET58:$EX58,OFFSET(DNN!$Y$9:$AC$9,FI$9,0)) + OFFSET(DNN!$X$9,FI$9,0)</f>
        <v>-1.3182687612562751</v>
      </c>
      <c r="FJ58" s="98">
        <f ca="1">SUMPRODUCT($ET58:$EX58,OFFSET(DNN!$Y$9:$AC$9,FJ$9,0)) + OFFSET(DNN!$X$9,FJ$9,0)</f>
        <v>-2.2535161745939301E-5</v>
      </c>
      <c r="FL58" s="415">
        <f t="shared" ca="1" si="98"/>
        <v>0.43031618918982212</v>
      </c>
      <c r="FM58" s="130">
        <f t="shared" ca="1" si="99"/>
        <v>1</v>
      </c>
      <c r="FN58" s="131">
        <f t="shared" ca="1" si="100"/>
        <v>0.65029522127322903</v>
      </c>
      <c r="FO58" s="131">
        <f t="shared" ca="1" si="101"/>
        <v>0.66028983545318687</v>
      </c>
      <c r="FP58" s="131">
        <f t="shared" ca="1" si="102"/>
        <v>0.64972655813153501</v>
      </c>
      <c r="FQ58" s="131">
        <f t="shared" ca="1" si="103"/>
        <v>0.65002804502111444</v>
      </c>
      <c r="FR58" s="131">
        <f t="shared" ca="1" si="104"/>
        <v>0.65029320640965171</v>
      </c>
      <c r="FS58" s="131">
        <f t="shared" ca="1" si="105"/>
        <v>0.64942668056342145</v>
      </c>
      <c r="FT58" s="131">
        <f t="shared" ca="1" si="106"/>
        <v>0.61083952513994022</v>
      </c>
      <c r="FU58" s="132">
        <f t="shared" ca="1" si="107"/>
        <v>0.6508682169276182</v>
      </c>
      <c r="FV58" s="131">
        <f t="shared" ca="1" si="108"/>
        <v>0.17402001625314881</v>
      </c>
      <c r="FW58" s="83">
        <f t="shared" ca="1" si="109"/>
        <v>-2.2535161742124597E-5</v>
      </c>
    </row>
    <row r="59" spans="1:179">
      <c r="A59" s="19">
        <f t="shared" si="117"/>
        <v>49</v>
      </c>
      <c r="B59" s="1">
        <f t="shared" ca="1" si="111"/>
        <v>0</v>
      </c>
      <c r="C59" s="20">
        <f t="shared" ca="1" si="112"/>
        <v>49</v>
      </c>
      <c r="D59" s="19" t="str">
        <f t="shared" ca="1" si="113"/>
        <v>〇×〇×〇×--〇</v>
      </c>
      <c r="E59" s="7">
        <f t="shared" ca="1" si="77"/>
        <v>9</v>
      </c>
      <c r="F59" s="7">
        <f t="shared" ca="1" si="78"/>
        <v>1</v>
      </c>
      <c r="G59" s="1" t="str">
        <f t="shared" ca="1" si="138"/>
        <v>〇×〇×〇×--〇</v>
      </c>
      <c r="H59" s="20" t="b">
        <f t="shared" ca="1" si="118"/>
        <v>1</v>
      </c>
      <c r="I59" s="22">
        <f t="shared" ca="1" si="114"/>
        <v>-1</v>
      </c>
      <c r="J59" s="1" t="b">
        <f ca="1">(1&lt;COUNTIF(D$10:D59,D59))</f>
        <v>1</v>
      </c>
      <c r="K59" s="1" t="b">
        <f t="shared" ca="1" si="81"/>
        <v>1</v>
      </c>
      <c r="L59" s="7">
        <f ca="1">MATCH(TRUE,K59:K$1048576,FALSE)-1</f>
        <v>0</v>
      </c>
      <c r="M59" s="24" t="str">
        <f t="shared" ca="1" si="119"/>
        <v>〇×〇×〇×--〇_9</v>
      </c>
      <c r="N59" s="25">
        <f t="shared" ca="1" si="82"/>
        <v>-2.2535161742124597E-5</v>
      </c>
      <c r="O59" s="26">
        <f t="shared" ca="1" si="83"/>
        <v>-1</v>
      </c>
      <c r="P59" s="27">
        <f t="shared" ca="1" si="84"/>
        <v>-1</v>
      </c>
      <c r="R59" s="41" t="str">
        <f ca="1">VLOOKUP(S59,cvt!$B$2:$C$4,2,FALSE)&amp;VLOOKUP(T59,cvt!$B$2:$C$4,2,FALSE)&amp;VLOOKUP(U59,cvt!$B$2:$C$4,2,FALSE)
&amp;VLOOKUP(V59,cvt!$B$2:$C$4,2,FALSE)&amp;VLOOKUP(W59,cvt!$B$2:$C$4,2,FALSE)&amp;VLOOKUP(X59,cvt!$B$2:$C$4,2,FALSE)
&amp;VLOOKUP(Y59,cvt!$B$2:$C$4,2,FALSE)&amp;VLOOKUP(Z59,cvt!$B$2:$C$4,2,FALSE)&amp;VLOOKUP(AA59,cvt!$B$2:$C$4,2,FALSE)</f>
        <v>〇×〇×〇×--〇</v>
      </c>
      <c r="S59" s="7">
        <f ca="1">VLOOKUP(MID($D59,S$9+1,1), cvt!$A$2:$B$4,2, FALSE)</f>
        <v>1</v>
      </c>
      <c r="T59" s="7">
        <f ca="1">VLOOKUP(MID($D59,T$9+1,1), cvt!$A$2:$B$4,2, FALSE)</f>
        <v>-1</v>
      </c>
      <c r="U59" s="7">
        <f ca="1">VLOOKUP(MID($D59,U$9+1,1), cvt!$A$2:$B$4,2, FALSE)</f>
        <v>1</v>
      </c>
      <c r="V59" s="17">
        <f ca="1">VLOOKUP(MID($D59,V$9+1,1), cvt!$A$2:$B$4,2, FALSE)</f>
        <v>-1</v>
      </c>
      <c r="W59" s="7">
        <f ca="1">VLOOKUP(MID($D59,W$9+1,1), cvt!$A$2:$B$4,2, FALSE)</f>
        <v>1</v>
      </c>
      <c r="X59" s="18">
        <f ca="1">VLOOKUP(MID($D59,X$9+1,1), cvt!$A$2:$B$4,2, FALSE)</f>
        <v>-1</v>
      </c>
      <c r="Y59" s="7">
        <f ca="1">VLOOKUP(MID($D59,Y$9+1,1), cvt!$A$2:$B$4,2, FALSE)</f>
        <v>0</v>
      </c>
      <c r="Z59" s="7">
        <f ca="1">VLOOKUP(MID($D59,Z$9+1,1), cvt!$A$2:$B$4,2, FALSE)</f>
        <v>0</v>
      </c>
      <c r="AA59" s="42">
        <f ca="1">VLOOKUP(MID($D59,AA$9+1,1), cvt!$A$2:$B$4,2, FALSE)</f>
        <v>1</v>
      </c>
      <c r="AB59" s="7">
        <f t="shared" ca="1" si="85"/>
        <v>1</v>
      </c>
      <c r="AC59" s="50" t="b">
        <f t="shared" ca="1" si="86"/>
        <v>1</v>
      </c>
      <c r="AE59" s="19" t="str">
        <f ca="1">VLOOKUP(AF59,cvt!$B$2:$C$4,2,FALSE)&amp;VLOOKUP(AG59,cvt!$B$2:$C$4,2,FALSE)&amp;VLOOKUP(AH59,cvt!$B$2:$C$4,2,FALSE)
&amp;VLOOKUP(AI59,cvt!$B$2:$C$4,2,FALSE)&amp;VLOOKUP(AJ59,cvt!$B$2:$C$4,2,FALSE)&amp;VLOOKUP(AK59,cvt!$B$2:$C$4,2,FALSE)
&amp;VLOOKUP(AL59,cvt!$B$2:$C$4,2,FALSE)&amp;VLOOKUP(AM59,cvt!$B$2:$C$4,2,FALSE)&amp;VLOOKUP(AN59,cvt!$B$2:$C$4,2,FALSE)</f>
        <v>〇×〇×〇×--〇</v>
      </c>
      <c r="AF59" s="17">
        <f t="shared" ca="1" si="120"/>
        <v>1</v>
      </c>
      <c r="AG59" s="7">
        <f t="shared" ca="1" si="121"/>
        <v>-1</v>
      </c>
      <c r="AH59" s="7">
        <f t="shared" ca="1" si="122"/>
        <v>1</v>
      </c>
      <c r="AI59" s="17">
        <f t="shared" ca="1" si="123"/>
        <v>-1</v>
      </c>
      <c r="AJ59" s="7">
        <f t="shared" ca="1" si="124"/>
        <v>1</v>
      </c>
      <c r="AK59" s="18">
        <f t="shared" ca="1" si="125"/>
        <v>-1</v>
      </c>
      <c r="AL59" s="7">
        <f t="shared" ca="1" si="126"/>
        <v>0</v>
      </c>
      <c r="AM59" s="7">
        <f t="shared" ca="1" si="127"/>
        <v>0</v>
      </c>
      <c r="AN59" s="18">
        <f t="shared" ca="1" si="128"/>
        <v>1</v>
      </c>
      <c r="AO59" s="7">
        <f t="shared" ca="1" si="115"/>
        <v>1</v>
      </c>
      <c r="AP59" s="50" t="b">
        <f t="shared" ca="1" si="87"/>
        <v>1</v>
      </c>
      <c r="AS59" s="22">
        <f t="shared" ca="1" si="88"/>
        <v>0</v>
      </c>
      <c r="AT59" s="7">
        <f t="shared" ca="1" si="23"/>
        <v>0</v>
      </c>
      <c r="AU59" s="7">
        <f t="shared" ca="1" si="24"/>
        <v>0</v>
      </c>
      <c r="AV59" s="7">
        <f t="shared" ca="1" si="25"/>
        <v>0</v>
      </c>
      <c r="AW59" s="7">
        <f t="shared" ca="1" si="26"/>
        <v>0</v>
      </c>
      <c r="AX59" s="7">
        <f t="shared" ca="1" si="27"/>
        <v>0</v>
      </c>
      <c r="AY59" s="7">
        <f t="shared" ca="1" si="28"/>
        <v>0</v>
      </c>
      <c r="AZ59" s="7">
        <f t="shared" ca="1" si="29"/>
        <v>0</v>
      </c>
      <c r="BA59" s="18">
        <f t="shared" ca="1" si="30"/>
        <v>0</v>
      </c>
      <c r="BB59" s="295">
        <f t="shared" ca="1" si="89"/>
        <v>1</v>
      </c>
      <c r="BD59" s="132"/>
      <c r="BE59" s="297">
        <f t="shared" ca="1" si="90"/>
        <v>1</v>
      </c>
      <c r="BF59" s="298">
        <f t="shared" ca="1" si="31"/>
        <v>0.65029522127322903</v>
      </c>
      <c r="BG59" s="298">
        <f t="shared" ca="1" si="32"/>
        <v>0.66028983545318687</v>
      </c>
      <c r="BH59" s="318">
        <f t="shared" ca="1" si="33"/>
        <v>0.64972655813153501</v>
      </c>
      <c r="BI59" s="298">
        <f t="shared" ca="1" si="34"/>
        <v>0.65002804502111444</v>
      </c>
      <c r="BJ59" s="299">
        <f t="shared" ca="1" si="35"/>
        <v>0.65029320640965171</v>
      </c>
      <c r="BK59" s="298">
        <f t="shared" ca="1" si="36"/>
        <v>0.64942668056342145</v>
      </c>
      <c r="BL59" s="298">
        <f t="shared" ca="1" si="37"/>
        <v>0.61083952513994022</v>
      </c>
      <c r="BM59" s="299">
        <f t="shared" ca="1" si="38"/>
        <v>0.6508682169276182</v>
      </c>
      <c r="BN59" s="295">
        <f t="shared" ca="1" si="39"/>
        <v>0.17402001625314881</v>
      </c>
      <c r="BO59" s="248">
        <f t="shared" ca="1" si="91"/>
        <v>-2.2535161742124597E-5</v>
      </c>
      <c r="BQ59" s="304">
        <f t="shared" ca="1" si="92"/>
        <v>0.1741200162531488</v>
      </c>
      <c r="BR59" s="297">
        <f t="shared" ca="1" si="93"/>
        <v>0</v>
      </c>
      <c r="BS59" s="298">
        <f t="shared" ca="1" si="40"/>
        <v>0</v>
      </c>
      <c r="BT59" s="298">
        <f t="shared" ca="1" si="41"/>
        <v>0</v>
      </c>
      <c r="BU59" s="318">
        <f t="shared" ca="1" si="42"/>
        <v>0</v>
      </c>
      <c r="BV59" s="298">
        <f t="shared" ca="1" si="43"/>
        <v>0</v>
      </c>
      <c r="BW59" s="299">
        <f t="shared" ca="1" si="44"/>
        <v>0</v>
      </c>
      <c r="BX59" s="298">
        <f t="shared" ca="1" si="45"/>
        <v>0</v>
      </c>
      <c r="BY59" s="298">
        <f t="shared" ca="1" si="46"/>
        <v>0</v>
      </c>
      <c r="BZ59" s="298">
        <f t="shared" ca="1" si="47"/>
        <v>0</v>
      </c>
      <c r="CA59" s="315">
        <f t="shared" ca="1" si="48"/>
        <v>0.1741200162531488</v>
      </c>
      <c r="CC59" s="52"/>
      <c r="CD59" s="306">
        <f t="shared" ca="1" si="94"/>
        <v>0</v>
      </c>
      <c r="CE59" s="15">
        <f t="shared" ca="1" si="49"/>
        <v>0</v>
      </c>
      <c r="CF59" s="15">
        <f t="shared" ca="1" si="50"/>
        <v>0</v>
      </c>
      <c r="CG59" s="286">
        <f t="shared" ca="1" si="51"/>
        <v>0</v>
      </c>
      <c r="CH59" s="15">
        <f t="shared" ca="1" si="52"/>
        <v>0</v>
      </c>
      <c r="CI59" s="288">
        <f t="shared" ca="1" si="53"/>
        <v>0</v>
      </c>
      <c r="CJ59" s="15">
        <f t="shared" ca="1" si="54"/>
        <v>0</v>
      </c>
      <c r="CK59" s="15">
        <f t="shared" ca="1" si="55"/>
        <v>0</v>
      </c>
      <c r="CL59" s="15">
        <f t="shared" ca="1" si="56"/>
        <v>0</v>
      </c>
      <c r="CM59" s="313">
        <f t="shared" ca="1" si="57"/>
        <v>1</v>
      </c>
      <c r="CO59" s="320">
        <f t="shared" ca="1" si="95"/>
        <v>48</v>
      </c>
      <c r="CP59" s="22">
        <f ca="1">COUNTIFS($C$10:$C58,"&lt;"&amp;$C59,$M$10:$M58,$D59&amp;"_"&amp;CP$9)</f>
        <v>0</v>
      </c>
      <c r="CQ59" s="7">
        <f ca="1">COUNTIFS($C$10:$C58,"&lt;"&amp;$C59,$M$10:$M58,$D59&amp;"_"&amp;CQ$9)</f>
        <v>0</v>
      </c>
      <c r="CR59" s="7">
        <f ca="1">COUNTIFS($C$10:$C58,"&lt;"&amp;$C59,$M$10:$M58,$D59&amp;"_"&amp;CR$9)</f>
        <v>0</v>
      </c>
      <c r="CS59" s="17">
        <f ca="1">COUNTIFS($C$10:$C58,"&lt;"&amp;$C59,$M$10:$M58,$D59&amp;"_"&amp;CS$9)</f>
        <v>0</v>
      </c>
      <c r="CT59" s="7">
        <f ca="1">COUNTIFS($C$10:$C58,"&lt;"&amp;$C59,$M$10:$M58,$D59&amp;"_"&amp;CT$9)</f>
        <v>0</v>
      </c>
      <c r="CU59" s="18">
        <f ca="1">COUNTIFS($C$10:$C58,"&lt;"&amp;$C59,$M$10:$M58,$D59&amp;"_"&amp;CU$9)</f>
        <v>0</v>
      </c>
      <c r="CV59" s="7">
        <f ca="1">COUNTIFS($C$10:$C58,"&lt;"&amp;$C59,$M$10:$M58,$D59&amp;"_"&amp;CV$9)</f>
        <v>0</v>
      </c>
      <c r="CW59" s="7">
        <f ca="1">COUNTIFS($C$10:$C58,"&lt;"&amp;$C59,$M$10:$M58,$D59&amp;"_"&amp;CW$9)</f>
        <v>0</v>
      </c>
      <c r="CX59" s="7">
        <f ca="1">COUNTIFS($C$10:$C58,"&lt;"&amp;$C59,$M$10:$M58,$D59&amp;"_"&amp;CX$9)</f>
        <v>0</v>
      </c>
      <c r="CY59" s="221">
        <f ca="1">COUNTIFS($C$10:$C58,"&lt;"&amp;$C59,$M$10:$M58,$D59&amp;"_"&amp;CY$9)</f>
        <v>48</v>
      </c>
      <c r="DA59" s="20"/>
      <c r="DB59" s="308">
        <f ca="1">IF(CP59=0,0,SUMIFS($P$10:$P58, $C$10:$C58,"&lt;"&amp;$C59, $M$10:$M58,$D59&amp;"_"&amp;DB$9)/CP59)</f>
        <v>0</v>
      </c>
      <c r="DC59" s="263">
        <f ca="1">IF(CQ59=0,0,SUMIFS($P$10:$P58, $C$10:$C58,"&lt;"&amp;$C59, $M$10:$M58,$D59&amp;"_"&amp;DC$9)/CQ59)</f>
        <v>0</v>
      </c>
      <c r="DD59" s="263">
        <f ca="1">IF(CR59=0,0,SUMIFS($P$10:$P58, $C$10:$C58,"&lt;"&amp;$C59, $M$10:$M58,$D59&amp;"_"&amp;DD$9)/CR59)</f>
        <v>0</v>
      </c>
      <c r="DE59" s="262">
        <f ca="1">IF(CS59=0,0,SUMIFS($P$10:$P58, $C$10:$C58,"&lt;"&amp;$C59, $M$10:$M58,$D59&amp;"_"&amp;DE$9)/CS59)</f>
        <v>0</v>
      </c>
      <c r="DF59" s="263">
        <f ca="1">IF(CT59=0,0,SUMIFS($P$10:$P58, $C$10:$C58,"&lt;"&amp;$C59, $M$10:$M58,$D59&amp;"_"&amp;DF$9)/CT59)</f>
        <v>0</v>
      </c>
      <c r="DG59" s="310">
        <f ca="1">IF(CU59=0,0,SUMIFS($P$10:$P58, $C$10:$C58,"&lt;"&amp;$C59, $M$10:$M58,$D59&amp;"_"&amp;DG$9)/CU59)</f>
        <v>0</v>
      </c>
      <c r="DH59" s="263">
        <f ca="1">IF(CV59=0,0,SUMIFS($P$10:$P58, $C$10:$C58,"&lt;"&amp;$C59, $M$10:$M58,$D59&amp;"_"&amp;DH$9)/CV59)</f>
        <v>0</v>
      </c>
      <c r="DI59" s="263">
        <f ca="1">IF(CW59=0,0,SUMIFS($P$10:$P58, $C$10:$C58,"&lt;"&amp;$C59, $M$10:$M58,$D59&amp;"_"&amp;DI$9)/CW59)</f>
        <v>0</v>
      </c>
      <c r="DJ59" s="264">
        <f ca="1">IF(CX59=0,0,SUMIFS($P$10:$P58, $C$10:$C58,"&lt;"&amp;$C59, $M$10:$M58,$D59&amp;"_"&amp;DJ$9)/CX59)</f>
        <v>0</v>
      </c>
      <c r="DK59" s="264">
        <f ca="1">IF(CY59=0,0,SUMIFS($P$10:$P58, $C$10:$C58,"&lt;"&amp;$C59, $M$10:$M58,$D59&amp;"_"&amp;DK$9)/CY59)</f>
        <v>-1</v>
      </c>
      <c r="DM59" s="104"/>
      <c r="DN59" s="306">
        <f t="shared" ca="1" si="96"/>
        <v>-9999</v>
      </c>
      <c r="DO59" s="15">
        <f t="shared" ca="1" si="58"/>
        <v>-9999</v>
      </c>
      <c r="DP59" s="15">
        <f t="shared" ca="1" si="59"/>
        <v>-9999</v>
      </c>
      <c r="DQ59" s="15">
        <f t="shared" ca="1" si="60"/>
        <v>-9999</v>
      </c>
      <c r="DR59" s="15">
        <f t="shared" ca="1" si="61"/>
        <v>-9999</v>
      </c>
      <c r="DS59" s="15">
        <f t="shared" ca="1" si="62"/>
        <v>-9999</v>
      </c>
      <c r="DT59" s="15">
        <f t="shared" ca="1" si="63"/>
        <v>-9999</v>
      </c>
      <c r="DU59" s="15">
        <f t="shared" ca="1" si="64"/>
        <v>-9999</v>
      </c>
      <c r="DV59" s="52">
        <f t="shared" ca="1" si="65"/>
        <v>-9999</v>
      </c>
      <c r="DW59" s="313">
        <f t="shared" ca="1" si="66"/>
        <v>-0.85860809734131616</v>
      </c>
      <c r="DX59" s="52"/>
      <c r="DY59" s="402">
        <f t="shared" ca="1" si="97"/>
        <v>9</v>
      </c>
      <c r="ED59" s="19">
        <f t="shared" ca="1" si="129"/>
        <v>-1</v>
      </c>
      <c r="EE59" s="1">
        <f t="shared" ca="1" si="130"/>
        <v>1</v>
      </c>
      <c r="EF59" s="1">
        <f t="shared" ca="1" si="131"/>
        <v>-1</v>
      </c>
      <c r="EG59" s="2">
        <f t="shared" ca="1" si="132"/>
        <v>1</v>
      </c>
      <c r="EH59" s="1">
        <f t="shared" ca="1" si="133"/>
        <v>-1</v>
      </c>
      <c r="EI59" s="3">
        <f t="shared" ca="1" si="134"/>
        <v>1</v>
      </c>
      <c r="EJ59" s="1">
        <f t="shared" ca="1" si="135"/>
        <v>0</v>
      </c>
      <c r="EK59" s="1">
        <f t="shared" ca="1" si="136"/>
        <v>0</v>
      </c>
      <c r="EL59" s="20">
        <f t="shared" ca="1" si="137"/>
        <v>-1</v>
      </c>
      <c r="EN59" s="86">
        <f ca="1">MAX(0, SUMPRODUCT($ED59:$EL59,OFFSET(DNN!$E$9:$M$9,EN$9,0)) + OFFSET(DNN!$D$9,EN$9,0))</f>
        <v>0</v>
      </c>
      <c r="EO59" s="84">
        <f ca="1">MAX(0, SUMPRODUCT($ED59:$EL59,OFFSET(DNN!$E$9:$M$9,EO$9,0)) + OFFSET(DNN!$D$9,EO$9,0))</f>
        <v>7.2346022384755949E-3</v>
      </c>
      <c r="EP59" s="84">
        <f ca="1">MAX(0, SUMPRODUCT($ED59:$EL59,OFFSET(DNN!$E$9:$M$9,EP$9,0)) + OFFSET(DNN!$D$9,EP$9,0))</f>
        <v>3.6951849750035152E-3</v>
      </c>
      <c r="EQ59" s="84">
        <f ca="1">MAX(0, SUMPRODUCT($ED59:$EL59,OFFSET(DNN!$E$9:$M$9,EQ$9,0)) + OFFSET(DNN!$D$9,EQ$9,0))</f>
        <v>0</v>
      </c>
      <c r="ER59" s="85">
        <f ca="1">MAX(0, SUMPRODUCT($ED59:$EL59,OFFSET(DNN!$E$9:$M$9,ER$9,0)) + OFFSET(DNN!$D$9,ER$9,0))</f>
        <v>0</v>
      </c>
      <c r="ET59" s="86">
        <f ca="1">MAX(0, SUMPRODUCT($EN59:$ER59,OFFSET(DNN!$Q$9:$U$9,ET$9,0)) + OFFSET(DNN!$P$9,ET$9,0))</f>
        <v>4.3954959453478351E-4</v>
      </c>
      <c r="EU59" s="84">
        <f ca="1">MAX(0, SUMPRODUCT($EN59:$ER59,OFFSET(DNN!$Q$9:$U$9,EU$9,0)) + OFFSET(DNN!$P$9,EU$9,0))</f>
        <v>0</v>
      </c>
      <c r="EV59" s="84">
        <f ca="1">MAX(0, SUMPRODUCT($EN59:$ER59,OFFSET(DNN!$Q$9:$U$9,EV$9,0)) + OFFSET(DNN!$P$9,EV$9,0))</f>
        <v>1.2810123361902579E-3</v>
      </c>
      <c r="EW59" s="84">
        <f ca="1">MAX(0, SUMPRODUCT($EN59:$ER59,OFFSET(DNN!$Q$9:$U$9,EW$9,0)) + OFFSET(DNN!$P$9,EW$9,0))</f>
        <v>7.8382123007882457E-4</v>
      </c>
      <c r="EX59" s="85">
        <f ca="1">MAX(0, SUMPRODUCT($EN59:$ER59,OFFSET(DNN!$Q$9:$U$9,EX$9,0)) + OFFSET(DNN!$P$9,EX$9,0))</f>
        <v>0</v>
      </c>
      <c r="EZ59" s="111">
        <f ca="1">SUMPRODUCT($ET59:$EX59,OFFSET(DNN!$Y$9:$AC$9,EZ$9,0)) + OFFSET(DNN!$X$9,EZ$9,0)</f>
        <v>0.43031618918982212</v>
      </c>
      <c r="FA59" s="97">
        <f ca="1">SUMPRODUCT($ET59:$EX59,OFFSET(DNN!$Y$9:$AC$9,FA$9,0)) + OFFSET(DNN!$X$9,FA$9,0)</f>
        <v>-1.2643439935754107E-5</v>
      </c>
      <c r="FB59" s="97">
        <f ca="1">SUMPRODUCT($ET59:$EX59,OFFSET(DNN!$Y$9:$AC$9,FB$9,0)) + OFFSET(DNN!$X$9,FB$9,0)</f>
        <v>1.5239793458415756E-2</v>
      </c>
      <c r="FC59" s="97">
        <f ca="1">SUMPRODUCT($ET59:$EX59,OFFSET(DNN!$Y$9:$AC$9,FC$9,0)) + OFFSET(DNN!$X$9,FC$9,0)</f>
        <v>-8.8749521084055777E-4</v>
      </c>
      <c r="FD59" s="97">
        <f ca="1">SUMPRODUCT($ET59:$EX59,OFFSET(DNN!$Y$9:$AC$9,FD$9,0)) + OFFSET(DNN!$X$9,FD$9,0)</f>
        <v>-4.235816470721872E-4</v>
      </c>
      <c r="FE59" s="97">
        <f ca="1">SUMPRODUCT($ET59:$EX59,OFFSET(DNN!$Y$9:$AC$9,FE$9,0)) + OFFSET(DNN!$X$9,FE$9,0)</f>
        <v>-1.574182761064886E-5</v>
      </c>
      <c r="FF59" s="97">
        <f ca="1">SUMPRODUCT($ET59:$EX59,OFFSET(DNN!$Y$9:$AC$9,FF$9,0)) + OFFSET(DNN!$X$9,FF$9,0)</f>
        <v>-1.3491460223194656E-3</v>
      </c>
      <c r="FG59" s="97">
        <f ca="1">SUMPRODUCT($ET59:$EX59,OFFSET(DNN!$Y$9:$AC$9,FG$9,0)) + OFFSET(DNN!$X$9,FG$9,0)</f>
        <v>-6.2604808096248285E-2</v>
      </c>
      <c r="FH59" s="97">
        <f ca="1">SUMPRODUCT($ET59:$EX59,OFFSET(DNN!$Y$9:$AC$9,FH$9,0)) + OFFSET(DNN!$X$9,FH$9,0)</f>
        <v>8.6810016937029894E-4</v>
      </c>
      <c r="FI59" s="108">
        <f ca="1">SUMPRODUCT($ET59:$EX59,OFFSET(DNN!$Y$9:$AC$9,FI$9,0)) + OFFSET(DNN!$X$9,FI$9,0)</f>
        <v>-1.3182687612562751</v>
      </c>
      <c r="FJ59" s="98">
        <f ca="1">SUMPRODUCT($ET59:$EX59,OFFSET(DNN!$Y$9:$AC$9,FJ$9,0)) + OFFSET(DNN!$X$9,FJ$9,0)</f>
        <v>-2.2535161745939301E-5</v>
      </c>
      <c r="FL59" s="415">
        <f t="shared" ca="1" si="98"/>
        <v>0.43031618918982212</v>
      </c>
      <c r="FM59" s="130">
        <f t="shared" ca="1" si="99"/>
        <v>1</v>
      </c>
      <c r="FN59" s="131">
        <f t="shared" ca="1" si="100"/>
        <v>0.65029522127322903</v>
      </c>
      <c r="FO59" s="131">
        <f t="shared" ca="1" si="101"/>
        <v>0.66028983545318687</v>
      </c>
      <c r="FP59" s="131">
        <f t="shared" ca="1" si="102"/>
        <v>0.64972655813153501</v>
      </c>
      <c r="FQ59" s="131">
        <f t="shared" ca="1" si="103"/>
        <v>0.65002804502111444</v>
      </c>
      <c r="FR59" s="131">
        <f t="shared" ca="1" si="104"/>
        <v>0.65029320640965171</v>
      </c>
      <c r="FS59" s="131">
        <f t="shared" ca="1" si="105"/>
        <v>0.64942668056342145</v>
      </c>
      <c r="FT59" s="131">
        <f t="shared" ca="1" si="106"/>
        <v>0.61083952513994022</v>
      </c>
      <c r="FU59" s="132">
        <f t="shared" ca="1" si="107"/>
        <v>0.6508682169276182</v>
      </c>
      <c r="FV59" s="131">
        <f t="shared" ca="1" si="108"/>
        <v>0.17402001625314881</v>
      </c>
      <c r="FW59" s="83">
        <f t="shared" ca="1" si="109"/>
        <v>-2.2535161742124597E-5</v>
      </c>
    </row>
    <row r="60" spans="1:179">
      <c r="A60" s="19">
        <f t="shared" si="117"/>
        <v>50</v>
      </c>
      <c r="B60" s="1">
        <f t="shared" ca="1" si="111"/>
        <v>0</v>
      </c>
      <c r="C60" s="20">
        <f t="shared" ca="1" si="112"/>
        <v>50</v>
      </c>
      <c r="D60" s="19" t="str">
        <f t="shared" ca="1" si="113"/>
        <v>〇×〇×〇×--〇</v>
      </c>
      <c r="E60" s="7">
        <f t="shared" ca="1" si="77"/>
        <v>9</v>
      </c>
      <c r="F60" s="7">
        <f t="shared" ca="1" si="78"/>
        <v>1</v>
      </c>
      <c r="G60" s="1" t="str">
        <f t="shared" ca="1" si="138"/>
        <v>〇×〇×〇×--〇</v>
      </c>
      <c r="H60" s="20" t="b">
        <f t="shared" ca="1" si="118"/>
        <v>1</v>
      </c>
      <c r="I60" s="22">
        <f t="shared" ca="1" si="114"/>
        <v>-1</v>
      </c>
      <c r="J60" s="1" t="b">
        <f ca="1">(1&lt;COUNTIF(D$10:D60,D60))</f>
        <v>1</v>
      </c>
      <c r="K60" s="1" t="b">
        <f t="shared" ca="1" si="81"/>
        <v>1</v>
      </c>
      <c r="L60" s="7">
        <f ca="1">MATCH(TRUE,K60:K$1048576,FALSE)-1</f>
        <v>0</v>
      </c>
      <c r="M60" s="24" t="str">
        <f t="shared" ca="1" si="119"/>
        <v>〇×〇×〇×--〇_9</v>
      </c>
      <c r="N60" s="25">
        <f t="shared" ca="1" si="82"/>
        <v>-2.2535161742124597E-5</v>
      </c>
      <c r="O60" s="26">
        <f t="shared" ca="1" si="83"/>
        <v>-1</v>
      </c>
      <c r="P60" s="27">
        <f t="shared" ca="1" si="84"/>
        <v>-1</v>
      </c>
      <c r="R60" s="41" t="str">
        <f ca="1">VLOOKUP(S60,cvt!$B$2:$C$4,2,FALSE)&amp;VLOOKUP(T60,cvt!$B$2:$C$4,2,FALSE)&amp;VLOOKUP(U60,cvt!$B$2:$C$4,2,FALSE)
&amp;VLOOKUP(V60,cvt!$B$2:$C$4,2,FALSE)&amp;VLOOKUP(W60,cvt!$B$2:$C$4,2,FALSE)&amp;VLOOKUP(X60,cvt!$B$2:$C$4,2,FALSE)
&amp;VLOOKUP(Y60,cvt!$B$2:$C$4,2,FALSE)&amp;VLOOKUP(Z60,cvt!$B$2:$C$4,2,FALSE)&amp;VLOOKUP(AA60,cvt!$B$2:$C$4,2,FALSE)</f>
        <v>〇×〇×〇×--〇</v>
      </c>
      <c r="S60" s="7">
        <f ca="1">VLOOKUP(MID($D60,S$9+1,1), cvt!$A$2:$B$4,2, FALSE)</f>
        <v>1</v>
      </c>
      <c r="T60" s="7">
        <f ca="1">VLOOKUP(MID($D60,T$9+1,1), cvt!$A$2:$B$4,2, FALSE)</f>
        <v>-1</v>
      </c>
      <c r="U60" s="7">
        <f ca="1">VLOOKUP(MID($D60,U$9+1,1), cvt!$A$2:$B$4,2, FALSE)</f>
        <v>1</v>
      </c>
      <c r="V60" s="17">
        <f ca="1">VLOOKUP(MID($D60,V$9+1,1), cvt!$A$2:$B$4,2, FALSE)</f>
        <v>-1</v>
      </c>
      <c r="W60" s="7">
        <f ca="1">VLOOKUP(MID($D60,W$9+1,1), cvt!$A$2:$B$4,2, FALSE)</f>
        <v>1</v>
      </c>
      <c r="X60" s="18">
        <f ca="1">VLOOKUP(MID($D60,X$9+1,1), cvt!$A$2:$B$4,2, FALSE)</f>
        <v>-1</v>
      </c>
      <c r="Y60" s="7">
        <f ca="1">VLOOKUP(MID($D60,Y$9+1,1), cvt!$A$2:$B$4,2, FALSE)</f>
        <v>0</v>
      </c>
      <c r="Z60" s="7">
        <f ca="1">VLOOKUP(MID($D60,Z$9+1,1), cvt!$A$2:$B$4,2, FALSE)</f>
        <v>0</v>
      </c>
      <c r="AA60" s="42">
        <f ca="1">VLOOKUP(MID($D60,AA$9+1,1), cvt!$A$2:$B$4,2, FALSE)</f>
        <v>1</v>
      </c>
      <c r="AB60" s="7">
        <f t="shared" ca="1" si="85"/>
        <v>1</v>
      </c>
      <c r="AC60" s="50" t="b">
        <f t="shared" ca="1" si="86"/>
        <v>1</v>
      </c>
      <c r="AE60" s="19" t="str">
        <f ca="1">VLOOKUP(AF60,cvt!$B$2:$C$4,2,FALSE)&amp;VLOOKUP(AG60,cvt!$B$2:$C$4,2,FALSE)&amp;VLOOKUP(AH60,cvt!$B$2:$C$4,2,FALSE)
&amp;VLOOKUP(AI60,cvt!$B$2:$C$4,2,FALSE)&amp;VLOOKUP(AJ60,cvt!$B$2:$C$4,2,FALSE)&amp;VLOOKUP(AK60,cvt!$B$2:$C$4,2,FALSE)
&amp;VLOOKUP(AL60,cvt!$B$2:$C$4,2,FALSE)&amp;VLOOKUP(AM60,cvt!$B$2:$C$4,2,FALSE)&amp;VLOOKUP(AN60,cvt!$B$2:$C$4,2,FALSE)</f>
        <v>〇×〇×〇×--〇</v>
      </c>
      <c r="AF60" s="17">
        <f t="shared" ca="1" si="120"/>
        <v>1</v>
      </c>
      <c r="AG60" s="7">
        <f t="shared" ca="1" si="121"/>
        <v>-1</v>
      </c>
      <c r="AH60" s="7">
        <f t="shared" ca="1" si="122"/>
        <v>1</v>
      </c>
      <c r="AI60" s="17">
        <f t="shared" ca="1" si="123"/>
        <v>-1</v>
      </c>
      <c r="AJ60" s="7">
        <f t="shared" ca="1" si="124"/>
        <v>1</v>
      </c>
      <c r="AK60" s="18">
        <f t="shared" ca="1" si="125"/>
        <v>-1</v>
      </c>
      <c r="AL60" s="7">
        <f t="shared" ca="1" si="126"/>
        <v>0</v>
      </c>
      <c r="AM60" s="7">
        <f t="shared" ca="1" si="127"/>
        <v>0</v>
      </c>
      <c r="AN60" s="18">
        <f t="shared" ca="1" si="128"/>
        <v>1</v>
      </c>
      <c r="AO60" s="7">
        <f t="shared" ca="1" si="115"/>
        <v>1</v>
      </c>
      <c r="AP60" s="50" t="b">
        <f t="shared" ca="1" si="87"/>
        <v>1</v>
      </c>
      <c r="AS60" s="22">
        <f t="shared" ca="1" si="88"/>
        <v>0</v>
      </c>
      <c r="AT60" s="7">
        <f t="shared" ca="1" si="23"/>
        <v>0</v>
      </c>
      <c r="AU60" s="7">
        <f t="shared" ca="1" si="24"/>
        <v>0</v>
      </c>
      <c r="AV60" s="7">
        <f t="shared" ca="1" si="25"/>
        <v>0</v>
      </c>
      <c r="AW60" s="7">
        <f t="shared" ca="1" si="26"/>
        <v>0</v>
      </c>
      <c r="AX60" s="7">
        <f t="shared" ca="1" si="27"/>
        <v>0</v>
      </c>
      <c r="AY60" s="7">
        <f t="shared" ca="1" si="28"/>
        <v>0</v>
      </c>
      <c r="AZ60" s="7">
        <f t="shared" ca="1" si="29"/>
        <v>0</v>
      </c>
      <c r="BA60" s="18">
        <f t="shared" ca="1" si="30"/>
        <v>0</v>
      </c>
      <c r="BB60" s="295">
        <f t="shared" ca="1" si="89"/>
        <v>1</v>
      </c>
      <c r="BD60" s="132"/>
      <c r="BE60" s="297">
        <f t="shared" ca="1" si="90"/>
        <v>1</v>
      </c>
      <c r="BF60" s="298">
        <f t="shared" ca="1" si="31"/>
        <v>0.65029522127322903</v>
      </c>
      <c r="BG60" s="298">
        <f t="shared" ca="1" si="32"/>
        <v>0.66028983545318687</v>
      </c>
      <c r="BH60" s="318">
        <f t="shared" ca="1" si="33"/>
        <v>0.64972655813153501</v>
      </c>
      <c r="BI60" s="298">
        <f t="shared" ca="1" si="34"/>
        <v>0.65002804502111444</v>
      </c>
      <c r="BJ60" s="299">
        <f t="shared" ca="1" si="35"/>
        <v>0.65029320640965171</v>
      </c>
      <c r="BK60" s="298">
        <f t="shared" ca="1" si="36"/>
        <v>0.64942668056342145</v>
      </c>
      <c r="BL60" s="298">
        <f t="shared" ca="1" si="37"/>
        <v>0.61083952513994022</v>
      </c>
      <c r="BM60" s="299">
        <f t="shared" ca="1" si="38"/>
        <v>0.6508682169276182</v>
      </c>
      <c r="BN60" s="295">
        <f t="shared" ca="1" si="39"/>
        <v>0.17402001625314881</v>
      </c>
      <c r="BO60" s="248">
        <f t="shared" ca="1" si="91"/>
        <v>-2.2535161742124597E-5</v>
      </c>
      <c r="BQ60" s="304">
        <f t="shared" ca="1" si="92"/>
        <v>0.1741200162531488</v>
      </c>
      <c r="BR60" s="297">
        <f t="shared" ca="1" si="93"/>
        <v>0</v>
      </c>
      <c r="BS60" s="298">
        <f t="shared" ca="1" si="40"/>
        <v>0</v>
      </c>
      <c r="BT60" s="298">
        <f t="shared" ca="1" si="41"/>
        <v>0</v>
      </c>
      <c r="BU60" s="318">
        <f t="shared" ca="1" si="42"/>
        <v>0</v>
      </c>
      <c r="BV60" s="298">
        <f t="shared" ca="1" si="43"/>
        <v>0</v>
      </c>
      <c r="BW60" s="299">
        <f t="shared" ca="1" si="44"/>
        <v>0</v>
      </c>
      <c r="BX60" s="298">
        <f t="shared" ca="1" si="45"/>
        <v>0</v>
      </c>
      <c r="BY60" s="298">
        <f t="shared" ca="1" si="46"/>
        <v>0</v>
      </c>
      <c r="BZ60" s="298">
        <f t="shared" ca="1" si="47"/>
        <v>0</v>
      </c>
      <c r="CA60" s="315">
        <f t="shared" ca="1" si="48"/>
        <v>0.1741200162531488</v>
      </c>
      <c r="CC60" s="52"/>
      <c r="CD60" s="306">
        <f t="shared" ca="1" si="94"/>
        <v>0</v>
      </c>
      <c r="CE60" s="15">
        <f t="shared" ca="1" si="49"/>
        <v>0</v>
      </c>
      <c r="CF60" s="15">
        <f t="shared" ca="1" si="50"/>
        <v>0</v>
      </c>
      <c r="CG60" s="286">
        <f t="shared" ca="1" si="51"/>
        <v>0</v>
      </c>
      <c r="CH60" s="15">
        <f t="shared" ca="1" si="52"/>
        <v>0</v>
      </c>
      <c r="CI60" s="288">
        <f t="shared" ca="1" si="53"/>
        <v>0</v>
      </c>
      <c r="CJ60" s="15">
        <f t="shared" ca="1" si="54"/>
        <v>0</v>
      </c>
      <c r="CK60" s="15">
        <f t="shared" ca="1" si="55"/>
        <v>0</v>
      </c>
      <c r="CL60" s="15">
        <f t="shared" ca="1" si="56"/>
        <v>0</v>
      </c>
      <c r="CM60" s="313">
        <f t="shared" ca="1" si="57"/>
        <v>1</v>
      </c>
      <c r="CO60" s="320">
        <f t="shared" ca="1" si="95"/>
        <v>49</v>
      </c>
      <c r="CP60" s="22">
        <f ca="1">COUNTIFS($C$10:$C59,"&lt;"&amp;$C60,$M$10:$M59,$D60&amp;"_"&amp;CP$9)</f>
        <v>0</v>
      </c>
      <c r="CQ60" s="7">
        <f ca="1">COUNTIFS($C$10:$C59,"&lt;"&amp;$C60,$M$10:$M59,$D60&amp;"_"&amp;CQ$9)</f>
        <v>0</v>
      </c>
      <c r="CR60" s="7">
        <f ca="1">COUNTIFS($C$10:$C59,"&lt;"&amp;$C60,$M$10:$M59,$D60&amp;"_"&amp;CR$9)</f>
        <v>0</v>
      </c>
      <c r="CS60" s="17">
        <f ca="1">COUNTIFS($C$10:$C59,"&lt;"&amp;$C60,$M$10:$M59,$D60&amp;"_"&amp;CS$9)</f>
        <v>0</v>
      </c>
      <c r="CT60" s="7">
        <f ca="1">COUNTIFS($C$10:$C59,"&lt;"&amp;$C60,$M$10:$M59,$D60&amp;"_"&amp;CT$9)</f>
        <v>0</v>
      </c>
      <c r="CU60" s="18">
        <f ca="1">COUNTIFS($C$10:$C59,"&lt;"&amp;$C60,$M$10:$M59,$D60&amp;"_"&amp;CU$9)</f>
        <v>0</v>
      </c>
      <c r="CV60" s="7">
        <f ca="1">COUNTIFS($C$10:$C59,"&lt;"&amp;$C60,$M$10:$M59,$D60&amp;"_"&amp;CV$9)</f>
        <v>0</v>
      </c>
      <c r="CW60" s="7">
        <f ca="1">COUNTIFS($C$10:$C59,"&lt;"&amp;$C60,$M$10:$M59,$D60&amp;"_"&amp;CW$9)</f>
        <v>0</v>
      </c>
      <c r="CX60" s="7">
        <f ca="1">COUNTIFS($C$10:$C59,"&lt;"&amp;$C60,$M$10:$M59,$D60&amp;"_"&amp;CX$9)</f>
        <v>0</v>
      </c>
      <c r="CY60" s="221">
        <f ca="1">COUNTIFS($C$10:$C59,"&lt;"&amp;$C60,$M$10:$M59,$D60&amp;"_"&amp;CY$9)</f>
        <v>49</v>
      </c>
      <c r="DA60" s="20"/>
      <c r="DB60" s="308">
        <f ca="1">IF(CP60=0,0,SUMIFS($P$10:$P59, $C$10:$C59,"&lt;"&amp;$C60, $M$10:$M59,$D60&amp;"_"&amp;DB$9)/CP60)</f>
        <v>0</v>
      </c>
      <c r="DC60" s="263">
        <f ca="1">IF(CQ60=0,0,SUMIFS($P$10:$P59, $C$10:$C59,"&lt;"&amp;$C60, $M$10:$M59,$D60&amp;"_"&amp;DC$9)/CQ60)</f>
        <v>0</v>
      </c>
      <c r="DD60" s="263">
        <f ca="1">IF(CR60=0,0,SUMIFS($P$10:$P59, $C$10:$C59,"&lt;"&amp;$C60, $M$10:$M59,$D60&amp;"_"&amp;DD$9)/CR60)</f>
        <v>0</v>
      </c>
      <c r="DE60" s="262">
        <f ca="1">IF(CS60=0,0,SUMIFS($P$10:$P59, $C$10:$C59,"&lt;"&amp;$C60, $M$10:$M59,$D60&amp;"_"&amp;DE$9)/CS60)</f>
        <v>0</v>
      </c>
      <c r="DF60" s="263">
        <f ca="1">IF(CT60=0,0,SUMIFS($P$10:$P59, $C$10:$C59,"&lt;"&amp;$C60, $M$10:$M59,$D60&amp;"_"&amp;DF$9)/CT60)</f>
        <v>0</v>
      </c>
      <c r="DG60" s="310">
        <f ca="1">IF(CU60=0,0,SUMIFS($P$10:$P59, $C$10:$C59,"&lt;"&amp;$C60, $M$10:$M59,$D60&amp;"_"&amp;DG$9)/CU60)</f>
        <v>0</v>
      </c>
      <c r="DH60" s="263">
        <f ca="1">IF(CV60=0,0,SUMIFS($P$10:$P59, $C$10:$C59,"&lt;"&amp;$C60, $M$10:$M59,$D60&amp;"_"&amp;DH$9)/CV60)</f>
        <v>0</v>
      </c>
      <c r="DI60" s="263">
        <f ca="1">IF(CW60=0,0,SUMIFS($P$10:$P59, $C$10:$C59,"&lt;"&amp;$C60, $M$10:$M59,$D60&amp;"_"&amp;DI$9)/CW60)</f>
        <v>0</v>
      </c>
      <c r="DJ60" s="264">
        <f ca="1">IF(CX60=0,0,SUMIFS($P$10:$P59, $C$10:$C59,"&lt;"&amp;$C60, $M$10:$M59,$D60&amp;"_"&amp;DJ$9)/CX60)</f>
        <v>0</v>
      </c>
      <c r="DK60" s="264">
        <f ca="1">IF(CY60=0,0,SUMIFS($P$10:$P59, $C$10:$C59,"&lt;"&amp;$C60, $M$10:$M59,$D60&amp;"_"&amp;DK$9)/CY60)</f>
        <v>-1</v>
      </c>
      <c r="DM60" s="104"/>
      <c r="DN60" s="306">
        <f t="shared" ca="1" si="96"/>
        <v>-9999</v>
      </c>
      <c r="DO60" s="15">
        <f t="shared" ca="1" si="58"/>
        <v>-9999</v>
      </c>
      <c r="DP60" s="15">
        <f t="shared" ca="1" si="59"/>
        <v>-9999</v>
      </c>
      <c r="DQ60" s="15">
        <f t="shared" ca="1" si="60"/>
        <v>-9999</v>
      </c>
      <c r="DR60" s="15">
        <f t="shared" ca="1" si="61"/>
        <v>-9999</v>
      </c>
      <c r="DS60" s="15">
        <f t="shared" ca="1" si="62"/>
        <v>-9999</v>
      </c>
      <c r="DT60" s="15">
        <f t="shared" ca="1" si="63"/>
        <v>-9999</v>
      </c>
      <c r="DU60" s="15">
        <f t="shared" ca="1" si="64"/>
        <v>-9999</v>
      </c>
      <c r="DV60" s="52">
        <f t="shared" ca="1" si="65"/>
        <v>-9999</v>
      </c>
      <c r="DW60" s="313">
        <f t="shared" ca="1" si="66"/>
        <v>-0.86</v>
      </c>
      <c r="DX60" s="52"/>
      <c r="DY60" s="402">
        <f t="shared" ca="1" si="97"/>
        <v>9</v>
      </c>
      <c r="ED60" s="19">
        <f t="shared" ca="1" si="129"/>
        <v>-1</v>
      </c>
      <c r="EE60" s="1">
        <f t="shared" ca="1" si="130"/>
        <v>1</v>
      </c>
      <c r="EF60" s="1">
        <f t="shared" ca="1" si="131"/>
        <v>-1</v>
      </c>
      <c r="EG60" s="2">
        <f t="shared" ca="1" si="132"/>
        <v>1</v>
      </c>
      <c r="EH60" s="1">
        <f t="shared" ca="1" si="133"/>
        <v>-1</v>
      </c>
      <c r="EI60" s="3">
        <f t="shared" ca="1" si="134"/>
        <v>1</v>
      </c>
      <c r="EJ60" s="1">
        <f t="shared" ca="1" si="135"/>
        <v>0</v>
      </c>
      <c r="EK60" s="1">
        <f t="shared" ca="1" si="136"/>
        <v>0</v>
      </c>
      <c r="EL60" s="20">
        <f t="shared" ca="1" si="137"/>
        <v>-1</v>
      </c>
      <c r="EN60" s="86">
        <f ca="1">MAX(0, SUMPRODUCT($ED60:$EL60,OFFSET(DNN!$E$9:$M$9,EN$9,0)) + OFFSET(DNN!$D$9,EN$9,0))</f>
        <v>0</v>
      </c>
      <c r="EO60" s="84">
        <f ca="1">MAX(0, SUMPRODUCT($ED60:$EL60,OFFSET(DNN!$E$9:$M$9,EO$9,0)) + OFFSET(DNN!$D$9,EO$9,0))</f>
        <v>7.2346022384755949E-3</v>
      </c>
      <c r="EP60" s="84">
        <f ca="1">MAX(0, SUMPRODUCT($ED60:$EL60,OFFSET(DNN!$E$9:$M$9,EP$9,0)) + OFFSET(DNN!$D$9,EP$9,0))</f>
        <v>3.6951849750035152E-3</v>
      </c>
      <c r="EQ60" s="84">
        <f ca="1">MAX(0, SUMPRODUCT($ED60:$EL60,OFFSET(DNN!$E$9:$M$9,EQ$9,0)) + OFFSET(DNN!$D$9,EQ$9,0))</f>
        <v>0</v>
      </c>
      <c r="ER60" s="85">
        <f ca="1">MAX(0, SUMPRODUCT($ED60:$EL60,OFFSET(DNN!$E$9:$M$9,ER$9,0)) + OFFSET(DNN!$D$9,ER$9,0))</f>
        <v>0</v>
      </c>
      <c r="ET60" s="86">
        <f ca="1">MAX(0, SUMPRODUCT($EN60:$ER60,OFFSET(DNN!$Q$9:$U$9,ET$9,0)) + OFFSET(DNN!$P$9,ET$9,0))</f>
        <v>4.3954959453478351E-4</v>
      </c>
      <c r="EU60" s="84">
        <f ca="1">MAX(0, SUMPRODUCT($EN60:$ER60,OFFSET(DNN!$Q$9:$U$9,EU$9,0)) + OFFSET(DNN!$P$9,EU$9,0))</f>
        <v>0</v>
      </c>
      <c r="EV60" s="84">
        <f ca="1">MAX(0, SUMPRODUCT($EN60:$ER60,OFFSET(DNN!$Q$9:$U$9,EV$9,0)) + OFFSET(DNN!$P$9,EV$9,0))</f>
        <v>1.2810123361902579E-3</v>
      </c>
      <c r="EW60" s="84">
        <f ca="1">MAX(0, SUMPRODUCT($EN60:$ER60,OFFSET(DNN!$Q$9:$U$9,EW$9,0)) + OFFSET(DNN!$P$9,EW$9,0))</f>
        <v>7.8382123007882457E-4</v>
      </c>
      <c r="EX60" s="85">
        <f ca="1">MAX(0, SUMPRODUCT($EN60:$ER60,OFFSET(DNN!$Q$9:$U$9,EX$9,0)) + OFFSET(DNN!$P$9,EX$9,0))</f>
        <v>0</v>
      </c>
      <c r="EZ60" s="111">
        <f ca="1">SUMPRODUCT($ET60:$EX60,OFFSET(DNN!$Y$9:$AC$9,EZ$9,0)) + OFFSET(DNN!$X$9,EZ$9,0)</f>
        <v>0.43031618918982212</v>
      </c>
      <c r="FA60" s="97">
        <f ca="1">SUMPRODUCT($ET60:$EX60,OFFSET(DNN!$Y$9:$AC$9,FA$9,0)) + OFFSET(DNN!$X$9,FA$9,0)</f>
        <v>-1.2643439935754107E-5</v>
      </c>
      <c r="FB60" s="97">
        <f ca="1">SUMPRODUCT($ET60:$EX60,OFFSET(DNN!$Y$9:$AC$9,FB$9,0)) + OFFSET(DNN!$X$9,FB$9,0)</f>
        <v>1.5239793458415756E-2</v>
      </c>
      <c r="FC60" s="97">
        <f ca="1">SUMPRODUCT($ET60:$EX60,OFFSET(DNN!$Y$9:$AC$9,FC$9,0)) + OFFSET(DNN!$X$9,FC$9,0)</f>
        <v>-8.8749521084055777E-4</v>
      </c>
      <c r="FD60" s="97">
        <f ca="1">SUMPRODUCT($ET60:$EX60,OFFSET(DNN!$Y$9:$AC$9,FD$9,0)) + OFFSET(DNN!$X$9,FD$9,0)</f>
        <v>-4.235816470721872E-4</v>
      </c>
      <c r="FE60" s="97">
        <f ca="1">SUMPRODUCT($ET60:$EX60,OFFSET(DNN!$Y$9:$AC$9,FE$9,0)) + OFFSET(DNN!$X$9,FE$9,0)</f>
        <v>-1.574182761064886E-5</v>
      </c>
      <c r="FF60" s="97">
        <f ca="1">SUMPRODUCT($ET60:$EX60,OFFSET(DNN!$Y$9:$AC$9,FF$9,0)) + OFFSET(DNN!$X$9,FF$9,0)</f>
        <v>-1.3491460223194656E-3</v>
      </c>
      <c r="FG60" s="97">
        <f ca="1">SUMPRODUCT($ET60:$EX60,OFFSET(DNN!$Y$9:$AC$9,FG$9,0)) + OFFSET(DNN!$X$9,FG$9,0)</f>
        <v>-6.2604808096248285E-2</v>
      </c>
      <c r="FH60" s="97">
        <f ca="1">SUMPRODUCT($ET60:$EX60,OFFSET(DNN!$Y$9:$AC$9,FH$9,0)) + OFFSET(DNN!$X$9,FH$9,0)</f>
        <v>8.6810016937029894E-4</v>
      </c>
      <c r="FI60" s="108">
        <f ca="1">SUMPRODUCT($ET60:$EX60,OFFSET(DNN!$Y$9:$AC$9,FI$9,0)) + OFFSET(DNN!$X$9,FI$9,0)</f>
        <v>-1.3182687612562751</v>
      </c>
      <c r="FJ60" s="98">
        <f ca="1">SUMPRODUCT($ET60:$EX60,OFFSET(DNN!$Y$9:$AC$9,FJ$9,0)) + OFFSET(DNN!$X$9,FJ$9,0)</f>
        <v>-2.2535161745939301E-5</v>
      </c>
      <c r="FL60" s="415">
        <f t="shared" ca="1" si="98"/>
        <v>0.43031618918982212</v>
      </c>
      <c r="FM60" s="130">
        <f t="shared" ca="1" si="99"/>
        <v>1</v>
      </c>
      <c r="FN60" s="131">
        <f t="shared" ca="1" si="100"/>
        <v>0.65029522127322903</v>
      </c>
      <c r="FO60" s="131">
        <f t="shared" ca="1" si="101"/>
        <v>0.66028983545318687</v>
      </c>
      <c r="FP60" s="131">
        <f t="shared" ca="1" si="102"/>
        <v>0.64972655813153501</v>
      </c>
      <c r="FQ60" s="131">
        <f t="shared" ca="1" si="103"/>
        <v>0.65002804502111444</v>
      </c>
      <c r="FR60" s="131">
        <f t="shared" ca="1" si="104"/>
        <v>0.65029320640965171</v>
      </c>
      <c r="FS60" s="131">
        <f t="shared" ca="1" si="105"/>
        <v>0.64942668056342145</v>
      </c>
      <c r="FT60" s="131">
        <f t="shared" ca="1" si="106"/>
        <v>0.61083952513994022</v>
      </c>
      <c r="FU60" s="132">
        <f t="shared" ca="1" si="107"/>
        <v>0.6508682169276182</v>
      </c>
      <c r="FV60" s="131">
        <f t="shared" ca="1" si="108"/>
        <v>0.17402001625314881</v>
      </c>
      <c r="FW60" s="83">
        <f t="shared" ca="1" si="109"/>
        <v>-2.2535161742124597E-5</v>
      </c>
    </row>
    <row r="61" spans="1:179">
      <c r="A61" s="19">
        <f t="shared" si="117"/>
        <v>51</v>
      </c>
      <c r="B61" s="1">
        <f t="shared" ca="1" si="111"/>
        <v>0</v>
      </c>
      <c r="C61" s="20">
        <f t="shared" ca="1" si="112"/>
        <v>51</v>
      </c>
      <c r="D61" s="19" t="str">
        <f t="shared" ca="1" si="113"/>
        <v>〇×〇×〇×--〇</v>
      </c>
      <c r="E61" s="7">
        <f t="shared" ca="1" si="77"/>
        <v>9</v>
      </c>
      <c r="F61" s="7">
        <f t="shared" ca="1" si="78"/>
        <v>1</v>
      </c>
      <c r="G61" s="1" t="str">
        <f t="shared" ca="1" si="138"/>
        <v>〇×〇×〇×--〇</v>
      </c>
      <c r="H61" s="20" t="b">
        <f t="shared" ca="1" si="118"/>
        <v>1</v>
      </c>
      <c r="I61" s="22">
        <f t="shared" ca="1" si="114"/>
        <v>-1</v>
      </c>
      <c r="J61" s="1" t="b">
        <f ca="1">(1&lt;COUNTIF(D$10:D61,D61))</f>
        <v>1</v>
      </c>
      <c r="K61" s="1" t="b">
        <f t="shared" ca="1" si="81"/>
        <v>1</v>
      </c>
      <c r="L61" s="7">
        <f ca="1">MATCH(TRUE,K61:K$1048576,FALSE)-1</f>
        <v>0</v>
      </c>
      <c r="M61" s="24" t="str">
        <f t="shared" ca="1" si="119"/>
        <v>〇×〇×〇×--〇_9</v>
      </c>
      <c r="N61" s="25">
        <f t="shared" ca="1" si="82"/>
        <v>-2.2535161742124597E-5</v>
      </c>
      <c r="O61" s="26">
        <f t="shared" ca="1" si="83"/>
        <v>-1</v>
      </c>
      <c r="P61" s="27">
        <f t="shared" ca="1" si="84"/>
        <v>-1</v>
      </c>
      <c r="R61" s="41" t="str">
        <f ca="1">VLOOKUP(S61,cvt!$B$2:$C$4,2,FALSE)&amp;VLOOKUP(T61,cvt!$B$2:$C$4,2,FALSE)&amp;VLOOKUP(U61,cvt!$B$2:$C$4,2,FALSE)
&amp;VLOOKUP(V61,cvt!$B$2:$C$4,2,FALSE)&amp;VLOOKUP(W61,cvt!$B$2:$C$4,2,FALSE)&amp;VLOOKUP(X61,cvt!$B$2:$C$4,2,FALSE)
&amp;VLOOKUP(Y61,cvt!$B$2:$C$4,2,FALSE)&amp;VLOOKUP(Z61,cvt!$B$2:$C$4,2,FALSE)&amp;VLOOKUP(AA61,cvt!$B$2:$C$4,2,FALSE)</f>
        <v>〇×〇×〇×--〇</v>
      </c>
      <c r="S61" s="7">
        <f ca="1">VLOOKUP(MID($D61,S$9+1,1), cvt!$A$2:$B$4,2, FALSE)</f>
        <v>1</v>
      </c>
      <c r="T61" s="7">
        <f ca="1">VLOOKUP(MID($D61,T$9+1,1), cvt!$A$2:$B$4,2, FALSE)</f>
        <v>-1</v>
      </c>
      <c r="U61" s="7">
        <f ca="1">VLOOKUP(MID($D61,U$9+1,1), cvt!$A$2:$B$4,2, FALSE)</f>
        <v>1</v>
      </c>
      <c r="V61" s="17">
        <f ca="1">VLOOKUP(MID($D61,V$9+1,1), cvt!$A$2:$B$4,2, FALSE)</f>
        <v>-1</v>
      </c>
      <c r="W61" s="7">
        <f ca="1">VLOOKUP(MID($D61,W$9+1,1), cvt!$A$2:$B$4,2, FALSE)</f>
        <v>1</v>
      </c>
      <c r="X61" s="18">
        <f ca="1">VLOOKUP(MID($D61,X$9+1,1), cvt!$A$2:$B$4,2, FALSE)</f>
        <v>-1</v>
      </c>
      <c r="Y61" s="7">
        <f ca="1">VLOOKUP(MID($D61,Y$9+1,1), cvt!$A$2:$B$4,2, FALSE)</f>
        <v>0</v>
      </c>
      <c r="Z61" s="7">
        <f ca="1">VLOOKUP(MID($D61,Z$9+1,1), cvt!$A$2:$B$4,2, FALSE)</f>
        <v>0</v>
      </c>
      <c r="AA61" s="42">
        <f ca="1">VLOOKUP(MID($D61,AA$9+1,1), cvt!$A$2:$B$4,2, FALSE)</f>
        <v>1</v>
      </c>
      <c r="AB61" s="7">
        <f t="shared" ca="1" si="85"/>
        <v>1</v>
      </c>
      <c r="AC61" s="50" t="b">
        <f t="shared" ca="1" si="86"/>
        <v>1</v>
      </c>
      <c r="AE61" s="19" t="str">
        <f ca="1">VLOOKUP(AF61,cvt!$B$2:$C$4,2,FALSE)&amp;VLOOKUP(AG61,cvt!$B$2:$C$4,2,FALSE)&amp;VLOOKUP(AH61,cvt!$B$2:$C$4,2,FALSE)
&amp;VLOOKUP(AI61,cvt!$B$2:$C$4,2,FALSE)&amp;VLOOKUP(AJ61,cvt!$B$2:$C$4,2,FALSE)&amp;VLOOKUP(AK61,cvt!$B$2:$C$4,2,FALSE)
&amp;VLOOKUP(AL61,cvt!$B$2:$C$4,2,FALSE)&amp;VLOOKUP(AM61,cvt!$B$2:$C$4,2,FALSE)&amp;VLOOKUP(AN61,cvt!$B$2:$C$4,2,FALSE)</f>
        <v>〇×〇×〇×--〇</v>
      </c>
      <c r="AF61" s="17">
        <f t="shared" ca="1" si="120"/>
        <v>1</v>
      </c>
      <c r="AG61" s="7">
        <f t="shared" ca="1" si="121"/>
        <v>-1</v>
      </c>
      <c r="AH61" s="7">
        <f t="shared" ca="1" si="122"/>
        <v>1</v>
      </c>
      <c r="AI61" s="17">
        <f t="shared" ca="1" si="123"/>
        <v>-1</v>
      </c>
      <c r="AJ61" s="7">
        <f t="shared" ca="1" si="124"/>
        <v>1</v>
      </c>
      <c r="AK61" s="18">
        <f t="shared" ca="1" si="125"/>
        <v>-1</v>
      </c>
      <c r="AL61" s="7">
        <f t="shared" ca="1" si="126"/>
        <v>0</v>
      </c>
      <c r="AM61" s="7">
        <f t="shared" ca="1" si="127"/>
        <v>0</v>
      </c>
      <c r="AN61" s="18">
        <f t="shared" ca="1" si="128"/>
        <v>1</v>
      </c>
      <c r="AO61" s="7">
        <f t="shared" ca="1" si="115"/>
        <v>1</v>
      </c>
      <c r="AP61" s="50" t="b">
        <f t="shared" ca="1" si="87"/>
        <v>1</v>
      </c>
      <c r="AS61" s="22">
        <f t="shared" ca="1" si="88"/>
        <v>0</v>
      </c>
      <c r="AT61" s="7">
        <f t="shared" ca="1" si="23"/>
        <v>0</v>
      </c>
      <c r="AU61" s="7">
        <f t="shared" ca="1" si="24"/>
        <v>0</v>
      </c>
      <c r="AV61" s="7">
        <f t="shared" ca="1" si="25"/>
        <v>0</v>
      </c>
      <c r="AW61" s="7">
        <f t="shared" ca="1" si="26"/>
        <v>0</v>
      </c>
      <c r="AX61" s="7">
        <f t="shared" ca="1" si="27"/>
        <v>0</v>
      </c>
      <c r="AY61" s="7">
        <f t="shared" ca="1" si="28"/>
        <v>0</v>
      </c>
      <c r="AZ61" s="7">
        <f t="shared" ca="1" si="29"/>
        <v>0</v>
      </c>
      <c r="BA61" s="18">
        <f t="shared" ca="1" si="30"/>
        <v>0</v>
      </c>
      <c r="BB61" s="295">
        <f t="shared" ca="1" si="89"/>
        <v>1</v>
      </c>
      <c r="BD61" s="132"/>
      <c r="BE61" s="297">
        <f t="shared" ca="1" si="90"/>
        <v>1</v>
      </c>
      <c r="BF61" s="298">
        <f t="shared" ca="1" si="31"/>
        <v>0.65029522127322903</v>
      </c>
      <c r="BG61" s="298">
        <f t="shared" ca="1" si="32"/>
        <v>0.66028983545318687</v>
      </c>
      <c r="BH61" s="318">
        <f t="shared" ca="1" si="33"/>
        <v>0.64972655813153501</v>
      </c>
      <c r="BI61" s="298">
        <f t="shared" ca="1" si="34"/>
        <v>0.65002804502111444</v>
      </c>
      <c r="BJ61" s="299">
        <f t="shared" ca="1" si="35"/>
        <v>0.65029320640965171</v>
      </c>
      <c r="BK61" s="298">
        <f t="shared" ca="1" si="36"/>
        <v>0.64942668056342145</v>
      </c>
      <c r="BL61" s="298">
        <f t="shared" ca="1" si="37"/>
        <v>0.61083952513994022</v>
      </c>
      <c r="BM61" s="299">
        <f t="shared" ca="1" si="38"/>
        <v>0.6508682169276182</v>
      </c>
      <c r="BN61" s="295">
        <f t="shared" ca="1" si="39"/>
        <v>0.17402001625314881</v>
      </c>
      <c r="BO61" s="248">
        <f t="shared" ca="1" si="91"/>
        <v>-2.2535161742124597E-5</v>
      </c>
      <c r="BQ61" s="304">
        <f t="shared" ca="1" si="92"/>
        <v>0.1741200162531488</v>
      </c>
      <c r="BR61" s="297">
        <f t="shared" ca="1" si="93"/>
        <v>0</v>
      </c>
      <c r="BS61" s="298">
        <f t="shared" ca="1" si="40"/>
        <v>0</v>
      </c>
      <c r="BT61" s="298">
        <f t="shared" ca="1" si="41"/>
        <v>0</v>
      </c>
      <c r="BU61" s="318">
        <f t="shared" ca="1" si="42"/>
        <v>0</v>
      </c>
      <c r="BV61" s="298">
        <f t="shared" ca="1" si="43"/>
        <v>0</v>
      </c>
      <c r="BW61" s="299">
        <f t="shared" ca="1" si="44"/>
        <v>0</v>
      </c>
      <c r="BX61" s="298">
        <f t="shared" ca="1" si="45"/>
        <v>0</v>
      </c>
      <c r="BY61" s="298">
        <f t="shared" ca="1" si="46"/>
        <v>0</v>
      </c>
      <c r="BZ61" s="298">
        <f t="shared" ca="1" si="47"/>
        <v>0</v>
      </c>
      <c r="CA61" s="315">
        <f t="shared" ca="1" si="48"/>
        <v>0.1741200162531488</v>
      </c>
      <c r="CC61" s="52"/>
      <c r="CD61" s="306">
        <f t="shared" ca="1" si="94"/>
        <v>0</v>
      </c>
      <c r="CE61" s="15">
        <f t="shared" ca="1" si="49"/>
        <v>0</v>
      </c>
      <c r="CF61" s="15">
        <f t="shared" ca="1" si="50"/>
        <v>0</v>
      </c>
      <c r="CG61" s="286">
        <f t="shared" ca="1" si="51"/>
        <v>0</v>
      </c>
      <c r="CH61" s="15">
        <f t="shared" ca="1" si="52"/>
        <v>0</v>
      </c>
      <c r="CI61" s="288">
        <f t="shared" ca="1" si="53"/>
        <v>0</v>
      </c>
      <c r="CJ61" s="15">
        <f t="shared" ca="1" si="54"/>
        <v>0</v>
      </c>
      <c r="CK61" s="15">
        <f t="shared" ca="1" si="55"/>
        <v>0</v>
      </c>
      <c r="CL61" s="15">
        <f t="shared" ca="1" si="56"/>
        <v>0</v>
      </c>
      <c r="CM61" s="313">
        <f t="shared" ca="1" si="57"/>
        <v>1</v>
      </c>
      <c r="CO61" s="320">
        <f t="shared" ca="1" si="95"/>
        <v>50</v>
      </c>
      <c r="CP61" s="22">
        <f ca="1">COUNTIFS($C$10:$C60,"&lt;"&amp;$C61,$M$10:$M60,$D61&amp;"_"&amp;CP$9)</f>
        <v>0</v>
      </c>
      <c r="CQ61" s="7">
        <f ca="1">COUNTIFS($C$10:$C60,"&lt;"&amp;$C61,$M$10:$M60,$D61&amp;"_"&amp;CQ$9)</f>
        <v>0</v>
      </c>
      <c r="CR61" s="7">
        <f ca="1">COUNTIFS($C$10:$C60,"&lt;"&amp;$C61,$M$10:$M60,$D61&amp;"_"&amp;CR$9)</f>
        <v>0</v>
      </c>
      <c r="CS61" s="17">
        <f ca="1">COUNTIFS($C$10:$C60,"&lt;"&amp;$C61,$M$10:$M60,$D61&amp;"_"&amp;CS$9)</f>
        <v>0</v>
      </c>
      <c r="CT61" s="7">
        <f ca="1">COUNTIFS($C$10:$C60,"&lt;"&amp;$C61,$M$10:$M60,$D61&amp;"_"&amp;CT$9)</f>
        <v>0</v>
      </c>
      <c r="CU61" s="18">
        <f ca="1">COUNTIFS($C$10:$C60,"&lt;"&amp;$C61,$M$10:$M60,$D61&amp;"_"&amp;CU$9)</f>
        <v>0</v>
      </c>
      <c r="CV61" s="7">
        <f ca="1">COUNTIFS($C$10:$C60,"&lt;"&amp;$C61,$M$10:$M60,$D61&amp;"_"&amp;CV$9)</f>
        <v>0</v>
      </c>
      <c r="CW61" s="7">
        <f ca="1">COUNTIFS($C$10:$C60,"&lt;"&amp;$C61,$M$10:$M60,$D61&amp;"_"&amp;CW$9)</f>
        <v>0</v>
      </c>
      <c r="CX61" s="7">
        <f ca="1">COUNTIFS($C$10:$C60,"&lt;"&amp;$C61,$M$10:$M60,$D61&amp;"_"&amp;CX$9)</f>
        <v>0</v>
      </c>
      <c r="CY61" s="221">
        <f ca="1">COUNTIFS($C$10:$C60,"&lt;"&amp;$C61,$M$10:$M60,$D61&amp;"_"&amp;CY$9)</f>
        <v>50</v>
      </c>
      <c r="DA61" s="20"/>
      <c r="DB61" s="308">
        <f ca="1">IF(CP61=0,0,SUMIFS($P$10:$P60, $C$10:$C60,"&lt;"&amp;$C61, $M$10:$M60,$D61&amp;"_"&amp;DB$9)/CP61)</f>
        <v>0</v>
      </c>
      <c r="DC61" s="263">
        <f ca="1">IF(CQ61=0,0,SUMIFS($P$10:$P60, $C$10:$C60,"&lt;"&amp;$C61, $M$10:$M60,$D61&amp;"_"&amp;DC$9)/CQ61)</f>
        <v>0</v>
      </c>
      <c r="DD61" s="263">
        <f ca="1">IF(CR61=0,0,SUMIFS($P$10:$P60, $C$10:$C60,"&lt;"&amp;$C61, $M$10:$M60,$D61&amp;"_"&amp;DD$9)/CR61)</f>
        <v>0</v>
      </c>
      <c r="DE61" s="262">
        <f ca="1">IF(CS61=0,0,SUMIFS($P$10:$P60, $C$10:$C60,"&lt;"&amp;$C61, $M$10:$M60,$D61&amp;"_"&amp;DE$9)/CS61)</f>
        <v>0</v>
      </c>
      <c r="DF61" s="263">
        <f ca="1">IF(CT61=0,0,SUMIFS($P$10:$P60, $C$10:$C60,"&lt;"&amp;$C61, $M$10:$M60,$D61&amp;"_"&amp;DF$9)/CT61)</f>
        <v>0</v>
      </c>
      <c r="DG61" s="310">
        <f ca="1">IF(CU61=0,0,SUMIFS($P$10:$P60, $C$10:$C60,"&lt;"&amp;$C61, $M$10:$M60,$D61&amp;"_"&amp;DG$9)/CU61)</f>
        <v>0</v>
      </c>
      <c r="DH61" s="263">
        <f ca="1">IF(CV61=0,0,SUMIFS($P$10:$P60, $C$10:$C60,"&lt;"&amp;$C61, $M$10:$M60,$D61&amp;"_"&amp;DH$9)/CV61)</f>
        <v>0</v>
      </c>
      <c r="DI61" s="263">
        <f ca="1">IF(CW61=0,0,SUMIFS($P$10:$P60, $C$10:$C60,"&lt;"&amp;$C61, $M$10:$M60,$D61&amp;"_"&amp;DI$9)/CW61)</f>
        <v>0</v>
      </c>
      <c r="DJ61" s="264">
        <f ca="1">IF(CX61=0,0,SUMIFS($P$10:$P60, $C$10:$C60,"&lt;"&amp;$C61, $M$10:$M60,$D61&amp;"_"&amp;DJ$9)/CX61)</f>
        <v>0</v>
      </c>
      <c r="DK61" s="264">
        <f ca="1">IF(CY61=0,0,SUMIFS($P$10:$P60, $C$10:$C60,"&lt;"&amp;$C61, $M$10:$M60,$D61&amp;"_"&amp;DK$9)/CY61)</f>
        <v>-1</v>
      </c>
      <c r="DM61" s="104"/>
      <c r="DN61" s="306">
        <f t="shared" ca="1" si="96"/>
        <v>-9999</v>
      </c>
      <c r="DO61" s="15">
        <f t="shared" ca="1" si="58"/>
        <v>-9999</v>
      </c>
      <c r="DP61" s="15">
        <f t="shared" ca="1" si="59"/>
        <v>-9999</v>
      </c>
      <c r="DQ61" s="15">
        <f t="shared" ca="1" si="60"/>
        <v>-9999</v>
      </c>
      <c r="DR61" s="15">
        <f t="shared" ca="1" si="61"/>
        <v>-9999</v>
      </c>
      <c r="DS61" s="15">
        <f t="shared" ca="1" si="62"/>
        <v>-9999</v>
      </c>
      <c r="DT61" s="15">
        <f t="shared" ca="1" si="63"/>
        <v>-9999</v>
      </c>
      <c r="DU61" s="15">
        <f t="shared" ca="1" si="64"/>
        <v>-9999</v>
      </c>
      <c r="DV61" s="52">
        <f t="shared" ca="1" si="65"/>
        <v>-9999</v>
      </c>
      <c r="DW61" s="313">
        <f t="shared" ca="1" si="66"/>
        <v>-0.86135161153204953</v>
      </c>
      <c r="DX61" s="52"/>
      <c r="DY61" s="402">
        <f t="shared" ca="1" si="97"/>
        <v>9</v>
      </c>
      <c r="ED61" s="19">
        <f t="shared" ca="1" si="129"/>
        <v>-1</v>
      </c>
      <c r="EE61" s="1">
        <f t="shared" ca="1" si="130"/>
        <v>1</v>
      </c>
      <c r="EF61" s="1">
        <f t="shared" ca="1" si="131"/>
        <v>-1</v>
      </c>
      <c r="EG61" s="2">
        <f t="shared" ca="1" si="132"/>
        <v>1</v>
      </c>
      <c r="EH61" s="1">
        <f t="shared" ca="1" si="133"/>
        <v>-1</v>
      </c>
      <c r="EI61" s="3">
        <f t="shared" ca="1" si="134"/>
        <v>1</v>
      </c>
      <c r="EJ61" s="1">
        <f t="shared" ca="1" si="135"/>
        <v>0</v>
      </c>
      <c r="EK61" s="1">
        <f t="shared" ca="1" si="136"/>
        <v>0</v>
      </c>
      <c r="EL61" s="20">
        <f t="shared" ca="1" si="137"/>
        <v>-1</v>
      </c>
      <c r="EN61" s="86">
        <f ca="1">MAX(0, SUMPRODUCT($ED61:$EL61,OFFSET(DNN!$E$9:$M$9,EN$9,0)) + OFFSET(DNN!$D$9,EN$9,0))</f>
        <v>0</v>
      </c>
      <c r="EO61" s="84">
        <f ca="1">MAX(0, SUMPRODUCT($ED61:$EL61,OFFSET(DNN!$E$9:$M$9,EO$9,0)) + OFFSET(DNN!$D$9,EO$9,0))</f>
        <v>7.2346022384755949E-3</v>
      </c>
      <c r="EP61" s="84">
        <f ca="1">MAX(0, SUMPRODUCT($ED61:$EL61,OFFSET(DNN!$E$9:$M$9,EP$9,0)) + OFFSET(DNN!$D$9,EP$9,0))</f>
        <v>3.6951849750035152E-3</v>
      </c>
      <c r="EQ61" s="84">
        <f ca="1">MAX(0, SUMPRODUCT($ED61:$EL61,OFFSET(DNN!$E$9:$M$9,EQ$9,0)) + OFFSET(DNN!$D$9,EQ$9,0))</f>
        <v>0</v>
      </c>
      <c r="ER61" s="85">
        <f ca="1">MAX(0, SUMPRODUCT($ED61:$EL61,OFFSET(DNN!$E$9:$M$9,ER$9,0)) + OFFSET(DNN!$D$9,ER$9,0))</f>
        <v>0</v>
      </c>
      <c r="ET61" s="86">
        <f ca="1">MAX(0, SUMPRODUCT($EN61:$ER61,OFFSET(DNN!$Q$9:$U$9,ET$9,0)) + OFFSET(DNN!$P$9,ET$9,0))</f>
        <v>4.3954959453478351E-4</v>
      </c>
      <c r="EU61" s="84">
        <f ca="1">MAX(0, SUMPRODUCT($EN61:$ER61,OFFSET(DNN!$Q$9:$U$9,EU$9,0)) + OFFSET(DNN!$P$9,EU$9,0))</f>
        <v>0</v>
      </c>
      <c r="EV61" s="84">
        <f ca="1">MAX(0, SUMPRODUCT($EN61:$ER61,OFFSET(DNN!$Q$9:$U$9,EV$9,0)) + OFFSET(DNN!$P$9,EV$9,0))</f>
        <v>1.2810123361902579E-3</v>
      </c>
      <c r="EW61" s="84">
        <f ca="1">MAX(0, SUMPRODUCT($EN61:$ER61,OFFSET(DNN!$Q$9:$U$9,EW$9,0)) + OFFSET(DNN!$P$9,EW$9,0))</f>
        <v>7.8382123007882457E-4</v>
      </c>
      <c r="EX61" s="85">
        <f ca="1">MAX(0, SUMPRODUCT($EN61:$ER61,OFFSET(DNN!$Q$9:$U$9,EX$9,0)) + OFFSET(DNN!$P$9,EX$9,0))</f>
        <v>0</v>
      </c>
      <c r="EZ61" s="111">
        <f ca="1">SUMPRODUCT($ET61:$EX61,OFFSET(DNN!$Y$9:$AC$9,EZ$9,0)) + OFFSET(DNN!$X$9,EZ$9,0)</f>
        <v>0.43031618918982212</v>
      </c>
      <c r="FA61" s="97">
        <f ca="1">SUMPRODUCT($ET61:$EX61,OFFSET(DNN!$Y$9:$AC$9,FA$9,0)) + OFFSET(DNN!$X$9,FA$9,0)</f>
        <v>-1.2643439935754107E-5</v>
      </c>
      <c r="FB61" s="97">
        <f ca="1">SUMPRODUCT($ET61:$EX61,OFFSET(DNN!$Y$9:$AC$9,FB$9,0)) + OFFSET(DNN!$X$9,FB$9,0)</f>
        <v>1.5239793458415756E-2</v>
      </c>
      <c r="FC61" s="97">
        <f ca="1">SUMPRODUCT($ET61:$EX61,OFFSET(DNN!$Y$9:$AC$9,FC$9,0)) + OFFSET(DNN!$X$9,FC$9,0)</f>
        <v>-8.8749521084055777E-4</v>
      </c>
      <c r="FD61" s="97">
        <f ca="1">SUMPRODUCT($ET61:$EX61,OFFSET(DNN!$Y$9:$AC$9,FD$9,0)) + OFFSET(DNN!$X$9,FD$9,0)</f>
        <v>-4.235816470721872E-4</v>
      </c>
      <c r="FE61" s="97">
        <f ca="1">SUMPRODUCT($ET61:$EX61,OFFSET(DNN!$Y$9:$AC$9,FE$9,0)) + OFFSET(DNN!$X$9,FE$9,0)</f>
        <v>-1.574182761064886E-5</v>
      </c>
      <c r="FF61" s="97">
        <f ca="1">SUMPRODUCT($ET61:$EX61,OFFSET(DNN!$Y$9:$AC$9,FF$9,0)) + OFFSET(DNN!$X$9,FF$9,0)</f>
        <v>-1.3491460223194656E-3</v>
      </c>
      <c r="FG61" s="97">
        <f ca="1">SUMPRODUCT($ET61:$EX61,OFFSET(DNN!$Y$9:$AC$9,FG$9,0)) + OFFSET(DNN!$X$9,FG$9,0)</f>
        <v>-6.2604808096248285E-2</v>
      </c>
      <c r="FH61" s="97">
        <f ca="1">SUMPRODUCT($ET61:$EX61,OFFSET(DNN!$Y$9:$AC$9,FH$9,0)) + OFFSET(DNN!$X$9,FH$9,0)</f>
        <v>8.6810016937029894E-4</v>
      </c>
      <c r="FI61" s="108">
        <f ca="1">SUMPRODUCT($ET61:$EX61,OFFSET(DNN!$Y$9:$AC$9,FI$9,0)) + OFFSET(DNN!$X$9,FI$9,0)</f>
        <v>-1.3182687612562751</v>
      </c>
      <c r="FJ61" s="98">
        <f ca="1">SUMPRODUCT($ET61:$EX61,OFFSET(DNN!$Y$9:$AC$9,FJ$9,0)) + OFFSET(DNN!$X$9,FJ$9,0)</f>
        <v>-2.2535161745939301E-5</v>
      </c>
      <c r="FL61" s="415">
        <f t="shared" ca="1" si="98"/>
        <v>0.43031618918982212</v>
      </c>
      <c r="FM61" s="130">
        <f t="shared" ca="1" si="99"/>
        <v>1</v>
      </c>
      <c r="FN61" s="131">
        <f t="shared" ca="1" si="100"/>
        <v>0.65029522127322903</v>
      </c>
      <c r="FO61" s="131">
        <f t="shared" ca="1" si="101"/>
        <v>0.66028983545318687</v>
      </c>
      <c r="FP61" s="131">
        <f t="shared" ca="1" si="102"/>
        <v>0.64972655813153501</v>
      </c>
      <c r="FQ61" s="131">
        <f t="shared" ca="1" si="103"/>
        <v>0.65002804502111444</v>
      </c>
      <c r="FR61" s="131">
        <f t="shared" ca="1" si="104"/>
        <v>0.65029320640965171</v>
      </c>
      <c r="FS61" s="131">
        <f t="shared" ca="1" si="105"/>
        <v>0.64942668056342145</v>
      </c>
      <c r="FT61" s="131">
        <f t="shared" ca="1" si="106"/>
        <v>0.61083952513994022</v>
      </c>
      <c r="FU61" s="132">
        <f t="shared" ca="1" si="107"/>
        <v>0.6508682169276182</v>
      </c>
      <c r="FV61" s="131">
        <f t="shared" ca="1" si="108"/>
        <v>0.17402001625314881</v>
      </c>
      <c r="FW61" s="83">
        <f t="shared" ca="1" si="109"/>
        <v>-2.2535161742124597E-5</v>
      </c>
    </row>
    <row r="62" spans="1:179">
      <c r="A62" s="19">
        <f t="shared" si="117"/>
        <v>52</v>
      </c>
      <c r="B62" s="1">
        <f t="shared" ca="1" si="111"/>
        <v>0</v>
      </c>
      <c r="C62" s="20">
        <f t="shared" ca="1" si="112"/>
        <v>52</v>
      </c>
      <c r="D62" s="19" t="str">
        <f t="shared" ca="1" si="113"/>
        <v>〇×〇×〇×--〇</v>
      </c>
      <c r="E62" s="7">
        <f t="shared" ca="1" si="77"/>
        <v>9</v>
      </c>
      <c r="F62" s="7">
        <f t="shared" ca="1" si="78"/>
        <v>1</v>
      </c>
      <c r="G62" s="1" t="str">
        <f t="shared" ca="1" si="138"/>
        <v>〇×〇×〇×--〇</v>
      </c>
      <c r="H62" s="20" t="b">
        <f t="shared" ca="1" si="118"/>
        <v>1</v>
      </c>
      <c r="I62" s="22">
        <f t="shared" ca="1" si="114"/>
        <v>-1</v>
      </c>
      <c r="J62" s="1" t="b">
        <f ca="1">(1&lt;COUNTIF(D$10:D62,D62))</f>
        <v>1</v>
      </c>
      <c r="K62" s="1" t="b">
        <f t="shared" ca="1" si="81"/>
        <v>1</v>
      </c>
      <c r="L62" s="7">
        <f ca="1">MATCH(TRUE,K62:K$1048576,FALSE)-1</f>
        <v>0</v>
      </c>
      <c r="M62" s="24" t="str">
        <f t="shared" ca="1" si="119"/>
        <v>〇×〇×〇×--〇_9</v>
      </c>
      <c r="N62" s="25">
        <f t="shared" ca="1" si="82"/>
        <v>-2.2535161742124597E-5</v>
      </c>
      <c r="O62" s="26">
        <f t="shared" ca="1" si="83"/>
        <v>-1</v>
      </c>
      <c r="P62" s="27">
        <f t="shared" ca="1" si="84"/>
        <v>-1</v>
      </c>
      <c r="R62" s="41" t="str">
        <f ca="1">VLOOKUP(S62,cvt!$B$2:$C$4,2,FALSE)&amp;VLOOKUP(T62,cvt!$B$2:$C$4,2,FALSE)&amp;VLOOKUP(U62,cvt!$B$2:$C$4,2,FALSE)
&amp;VLOOKUP(V62,cvt!$B$2:$C$4,2,FALSE)&amp;VLOOKUP(W62,cvt!$B$2:$C$4,2,FALSE)&amp;VLOOKUP(X62,cvt!$B$2:$C$4,2,FALSE)
&amp;VLOOKUP(Y62,cvt!$B$2:$C$4,2,FALSE)&amp;VLOOKUP(Z62,cvt!$B$2:$C$4,2,FALSE)&amp;VLOOKUP(AA62,cvt!$B$2:$C$4,2,FALSE)</f>
        <v>〇×〇×〇×--〇</v>
      </c>
      <c r="S62" s="7">
        <f ca="1">VLOOKUP(MID($D62,S$9+1,1), cvt!$A$2:$B$4,2, FALSE)</f>
        <v>1</v>
      </c>
      <c r="T62" s="7">
        <f ca="1">VLOOKUP(MID($D62,T$9+1,1), cvt!$A$2:$B$4,2, FALSE)</f>
        <v>-1</v>
      </c>
      <c r="U62" s="7">
        <f ca="1">VLOOKUP(MID($D62,U$9+1,1), cvt!$A$2:$B$4,2, FALSE)</f>
        <v>1</v>
      </c>
      <c r="V62" s="17">
        <f ca="1">VLOOKUP(MID($D62,V$9+1,1), cvt!$A$2:$B$4,2, FALSE)</f>
        <v>-1</v>
      </c>
      <c r="W62" s="7">
        <f ca="1">VLOOKUP(MID($D62,W$9+1,1), cvt!$A$2:$B$4,2, FALSE)</f>
        <v>1</v>
      </c>
      <c r="X62" s="18">
        <f ca="1">VLOOKUP(MID($D62,X$9+1,1), cvt!$A$2:$B$4,2, FALSE)</f>
        <v>-1</v>
      </c>
      <c r="Y62" s="7">
        <f ca="1">VLOOKUP(MID($D62,Y$9+1,1), cvt!$A$2:$B$4,2, FALSE)</f>
        <v>0</v>
      </c>
      <c r="Z62" s="7">
        <f ca="1">VLOOKUP(MID($D62,Z$9+1,1), cvt!$A$2:$B$4,2, FALSE)</f>
        <v>0</v>
      </c>
      <c r="AA62" s="42">
        <f ca="1">VLOOKUP(MID($D62,AA$9+1,1), cvt!$A$2:$B$4,2, FALSE)</f>
        <v>1</v>
      </c>
      <c r="AB62" s="7">
        <f t="shared" ca="1" si="85"/>
        <v>1</v>
      </c>
      <c r="AC62" s="50" t="b">
        <f t="shared" ca="1" si="86"/>
        <v>1</v>
      </c>
      <c r="AE62" s="19" t="str">
        <f ca="1">VLOOKUP(AF62,cvt!$B$2:$C$4,2,FALSE)&amp;VLOOKUP(AG62,cvt!$B$2:$C$4,2,FALSE)&amp;VLOOKUP(AH62,cvt!$B$2:$C$4,2,FALSE)
&amp;VLOOKUP(AI62,cvt!$B$2:$C$4,2,FALSE)&amp;VLOOKUP(AJ62,cvt!$B$2:$C$4,2,FALSE)&amp;VLOOKUP(AK62,cvt!$B$2:$C$4,2,FALSE)
&amp;VLOOKUP(AL62,cvt!$B$2:$C$4,2,FALSE)&amp;VLOOKUP(AM62,cvt!$B$2:$C$4,2,FALSE)&amp;VLOOKUP(AN62,cvt!$B$2:$C$4,2,FALSE)</f>
        <v>〇×〇×〇×--〇</v>
      </c>
      <c r="AF62" s="17">
        <f t="shared" ca="1" si="120"/>
        <v>1</v>
      </c>
      <c r="AG62" s="7">
        <f t="shared" ca="1" si="121"/>
        <v>-1</v>
      </c>
      <c r="AH62" s="7">
        <f t="shared" ca="1" si="122"/>
        <v>1</v>
      </c>
      <c r="AI62" s="17">
        <f t="shared" ca="1" si="123"/>
        <v>-1</v>
      </c>
      <c r="AJ62" s="7">
        <f t="shared" ca="1" si="124"/>
        <v>1</v>
      </c>
      <c r="AK62" s="18">
        <f t="shared" ca="1" si="125"/>
        <v>-1</v>
      </c>
      <c r="AL62" s="7">
        <f t="shared" ca="1" si="126"/>
        <v>0</v>
      </c>
      <c r="AM62" s="7">
        <f t="shared" ca="1" si="127"/>
        <v>0</v>
      </c>
      <c r="AN62" s="18">
        <f t="shared" ca="1" si="128"/>
        <v>1</v>
      </c>
      <c r="AO62" s="7">
        <f t="shared" ca="1" si="115"/>
        <v>1</v>
      </c>
      <c r="AP62" s="50" t="b">
        <f t="shared" ca="1" si="87"/>
        <v>1</v>
      </c>
      <c r="AS62" s="22">
        <f t="shared" ca="1" si="88"/>
        <v>0</v>
      </c>
      <c r="AT62" s="7">
        <f t="shared" ca="1" si="23"/>
        <v>0</v>
      </c>
      <c r="AU62" s="7">
        <f t="shared" ca="1" si="24"/>
        <v>0</v>
      </c>
      <c r="AV62" s="7">
        <f t="shared" ca="1" si="25"/>
        <v>0</v>
      </c>
      <c r="AW62" s="7">
        <f t="shared" ca="1" si="26"/>
        <v>0</v>
      </c>
      <c r="AX62" s="7">
        <f t="shared" ca="1" si="27"/>
        <v>0</v>
      </c>
      <c r="AY62" s="7">
        <f t="shared" ca="1" si="28"/>
        <v>0</v>
      </c>
      <c r="AZ62" s="7">
        <f t="shared" ca="1" si="29"/>
        <v>0</v>
      </c>
      <c r="BA62" s="18">
        <f t="shared" ca="1" si="30"/>
        <v>0</v>
      </c>
      <c r="BB62" s="295">
        <f t="shared" ca="1" si="89"/>
        <v>1</v>
      </c>
      <c r="BD62" s="132"/>
      <c r="BE62" s="297">
        <f t="shared" ca="1" si="90"/>
        <v>1</v>
      </c>
      <c r="BF62" s="298">
        <f t="shared" ca="1" si="31"/>
        <v>0.65029522127322903</v>
      </c>
      <c r="BG62" s="298">
        <f t="shared" ca="1" si="32"/>
        <v>0.66028983545318687</v>
      </c>
      <c r="BH62" s="318">
        <f t="shared" ca="1" si="33"/>
        <v>0.64972655813153501</v>
      </c>
      <c r="BI62" s="298">
        <f t="shared" ca="1" si="34"/>
        <v>0.65002804502111444</v>
      </c>
      <c r="BJ62" s="299">
        <f t="shared" ca="1" si="35"/>
        <v>0.65029320640965171</v>
      </c>
      <c r="BK62" s="298">
        <f t="shared" ca="1" si="36"/>
        <v>0.64942668056342145</v>
      </c>
      <c r="BL62" s="298">
        <f t="shared" ca="1" si="37"/>
        <v>0.61083952513994022</v>
      </c>
      <c r="BM62" s="299">
        <f t="shared" ca="1" si="38"/>
        <v>0.6508682169276182</v>
      </c>
      <c r="BN62" s="295">
        <f t="shared" ca="1" si="39"/>
        <v>0.17402001625314881</v>
      </c>
      <c r="BO62" s="248">
        <f t="shared" ca="1" si="91"/>
        <v>-2.2535161742124597E-5</v>
      </c>
      <c r="BQ62" s="304">
        <f t="shared" ca="1" si="92"/>
        <v>0.1741200162531488</v>
      </c>
      <c r="BR62" s="297">
        <f t="shared" ca="1" si="93"/>
        <v>0</v>
      </c>
      <c r="BS62" s="298">
        <f t="shared" ca="1" si="40"/>
        <v>0</v>
      </c>
      <c r="BT62" s="298">
        <f t="shared" ca="1" si="41"/>
        <v>0</v>
      </c>
      <c r="BU62" s="318">
        <f t="shared" ca="1" si="42"/>
        <v>0</v>
      </c>
      <c r="BV62" s="298">
        <f t="shared" ca="1" si="43"/>
        <v>0</v>
      </c>
      <c r="BW62" s="299">
        <f t="shared" ca="1" si="44"/>
        <v>0</v>
      </c>
      <c r="BX62" s="298">
        <f t="shared" ca="1" si="45"/>
        <v>0</v>
      </c>
      <c r="BY62" s="298">
        <f t="shared" ca="1" si="46"/>
        <v>0</v>
      </c>
      <c r="BZ62" s="298">
        <f t="shared" ca="1" si="47"/>
        <v>0</v>
      </c>
      <c r="CA62" s="315">
        <f t="shared" ca="1" si="48"/>
        <v>0.1741200162531488</v>
      </c>
      <c r="CC62" s="52"/>
      <c r="CD62" s="306">
        <f t="shared" ca="1" si="94"/>
        <v>0</v>
      </c>
      <c r="CE62" s="15">
        <f t="shared" ca="1" si="49"/>
        <v>0</v>
      </c>
      <c r="CF62" s="15">
        <f t="shared" ca="1" si="50"/>
        <v>0</v>
      </c>
      <c r="CG62" s="286">
        <f t="shared" ca="1" si="51"/>
        <v>0</v>
      </c>
      <c r="CH62" s="15">
        <f t="shared" ca="1" si="52"/>
        <v>0</v>
      </c>
      <c r="CI62" s="288">
        <f t="shared" ca="1" si="53"/>
        <v>0</v>
      </c>
      <c r="CJ62" s="15">
        <f t="shared" ca="1" si="54"/>
        <v>0</v>
      </c>
      <c r="CK62" s="15">
        <f t="shared" ca="1" si="55"/>
        <v>0</v>
      </c>
      <c r="CL62" s="15">
        <f t="shared" ca="1" si="56"/>
        <v>0</v>
      </c>
      <c r="CM62" s="313">
        <f t="shared" ca="1" si="57"/>
        <v>1</v>
      </c>
      <c r="CO62" s="320">
        <f t="shared" ca="1" si="95"/>
        <v>51</v>
      </c>
      <c r="CP62" s="22">
        <f ca="1">COUNTIFS($C$10:$C61,"&lt;"&amp;$C62,$M$10:$M61,$D62&amp;"_"&amp;CP$9)</f>
        <v>0</v>
      </c>
      <c r="CQ62" s="7">
        <f ca="1">COUNTIFS($C$10:$C61,"&lt;"&amp;$C62,$M$10:$M61,$D62&amp;"_"&amp;CQ$9)</f>
        <v>0</v>
      </c>
      <c r="CR62" s="7">
        <f ca="1">COUNTIFS($C$10:$C61,"&lt;"&amp;$C62,$M$10:$M61,$D62&amp;"_"&amp;CR$9)</f>
        <v>0</v>
      </c>
      <c r="CS62" s="17">
        <f ca="1">COUNTIFS($C$10:$C61,"&lt;"&amp;$C62,$M$10:$M61,$D62&amp;"_"&amp;CS$9)</f>
        <v>0</v>
      </c>
      <c r="CT62" s="7">
        <f ca="1">COUNTIFS($C$10:$C61,"&lt;"&amp;$C62,$M$10:$M61,$D62&amp;"_"&amp;CT$9)</f>
        <v>0</v>
      </c>
      <c r="CU62" s="18">
        <f ca="1">COUNTIFS($C$10:$C61,"&lt;"&amp;$C62,$M$10:$M61,$D62&amp;"_"&amp;CU$9)</f>
        <v>0</v>
      </c>
      <c r="CV62" s="7">
        <f ca="1">COUNTIFS($C$10:$C61,"&lt;"&amp;$C62,$M$10:$M61,$D62&amp;"_"&amp;CV$9)</f>
        <v>0</v>
      </c>
      <c r="CW62" s="7">
        <f ca="1">COUNTIFS($C$10:$C61,"&lt;"&amp;$C62,$M$10:$M61,$D62&amp;"_"&amp;CW$9)</f>
        <v>0</v>
      </c>
      <c r="CX62" s="7">
        <f ca="1">COUNTIFS($C$10:$C61,"&lt;"&amp;$C62,$M$10:$M61,$D62&amp;"_"&amp;CX$9)</f>
        <v>0</v>
      </c>
      <c r="CY62" s="221">
        <f ca="1">COUNTIFS($C$10:$C61,"&lt;"&amp;$C62,$M$10:$M61,$D62&amp;"_"&amp;CY$9)</f>
        <v>51</v>
      </c>
      <c r="DA62" s="20"/>
      <c r="DB62" s="308">
        <f ca="1">IF(CP62=0,0,SUMIFS($P$10:$P61, $C$10:$C61,"&lt;"&amp;$C62, $M$10:$M61,$D62&amp;"_"&amp;DB$9)/CP62)</f>
        <v>0</v>
      </c>
      <c r="DC62" s="263">
        <f ca="1">IF(CQ62=0,0,SUMIFS($P$10:$P61, $C$10:$C61,"&lt;"&amp;$C62, $M$10:$M61,$D62&amp;"_"&amp;DC$9)/CQ62)</f>
        <v>0</v>
      </c>
      <c r="DD62" s="263">
        <f ca="1">IF(CR62=0,0,SUMIFS($P$10:$P61, $C$10:$C61,"&lt;"&amp;$C62, $M$10:$M61,$D62&amp;"_"&amp;DD$9)/CR62)</f>
        <v>0</v>
      </c>
      <c r="DE62" s="262">
        <f ca="1">IF(CS62=0,0,SUMIFS($P$10:$P61, $C$10:$C61,"&lt;"&amp;$C62, $M$10:$M61,$D62&amp;"_"&amp;DE$9)/CS62)</f>
        <v>0</v>
      </c>
      <c r="DF62" s="263">
        <f ca="1">IF(CT62=0,0,SUMIFS($P$10:$P61, $C$10:$C61,"&lt;"&amp;$C62, $M$10:$M61,$D62&amp;"_"&amp;DF$9)/CT62)</f>
        <v>0</v>
      </c>
      <c r="DG62" s="310">
        <f ca="1">IF(CU62=0,0,SUMIFS($P$10:$P61, $C$10:$C61,"&lt;"&amp;$C62, $M$10:$M61,$D62&amp;"_"&amp;DG$9)/CU62)</f>
        <v>0</v>
      </c>
      <c r="DH62" s="263">
        <f ca="1">IF(CV62=0,0,SUMIFS($P$10:$P61, $C$10:$C61,"&lt;"&amp;$C62, $M$10:$M61,$D62&amp;"_"&amp;DH$9)/CV62)</f>
        <v>0</v>
      </c>
      <c r="DI62" s="263">
        <f ca="1">IF(CW62=0,0,SUMIFS($P$10:$P61, $C$10:$C61,"&lt;"&amp;$C62, $M$10:$M61,$D62&amp;"_"&amp;DI$9)/CW62)</f>
        <v>0</v>
      </c>
      <c r="DJ62" s="264">
        <f ca="1">IF(CX62=0,0,SUMIFS($P$10:$P61, $C$10:$C61,"&lt;"&amp;$C62, $M$10:$M61,$D62&amp;"_"&amp;DJ$9)/CX62)</f>
        <v>0</v>
      </c>
      <c r="DK62" s="264">
        <f ca="1">IF(CY62=0,0,SUMIFS($P$10:$P61, $C$10:$C61,"&lt;"&amp;$C62, $M$10:$M61,$D62&amp;"_"&amp;DK$9)/CY62)</f>
        <v>-1</v>
      </c>
      <c r="DM62" s="104"/>
      <c r="DN62" s="306">
        <f t="shared" ca="1" si="96"/>
        <v>-9999</v>
      </c>
      <c r="DO62" s="15">
        <f t="shared" ca="1" si="58"/>
        <v>-9999</v>
      </c>
      <c r="DP62" s="15">
        <f t="shared" ca="1" si="59"/>
        <v>-9999</v>
      </c>
      <c r="DQ62" s="15">
        <f t="shared" ca="1" si="60"/>
        <v>-9999</v>
      </c>
      <c r="DR62" s="15">
        <f t="shared" ca="1" si="61"/>
        <v>-9999</v>
      </c>
      <c r="DS62" s="15">
        <f t="shared" ca="1" si="62"/>
        <v>-9999</v>
      </c>
      <c r="DT62" s="15">
        <f t="shared" ca="1" si="63"/>
        <v>-9999</v>
      </c>
      <c r="DU62" s="15">
        <f t="shared" ca="1" si="64"/>
        <v>-9999</v>
      </c>
      <c r="DV62" s="52">
        <f t="shared" ca="1" si="65"/>
        <v>-9999</v>
      </c>
      <c r="DW62" s="313">
        <f t="shared" ca="1" si="66"/>
        <v>-0.86266483791263748</v>
      </c>
      <c r="DX62" s="52"/>
      <c r="DY62" s="402">
        <f t="shared" ca="1" si="97"/>
        <v>9</v>
      </c>
      <c r="ED62" s="19">
        <f t="shared" ca="1" si="129"/>
        <v>-1</v>
      </c>
      <c r="EE62" s="1">
        <f t="shared" ca="1" si="130"/>
        <v>1</v>
      </c>
      <c r="EF62" s="1">
        <f t="shared" ca="1" si="131"/>
        <v>-1</v>
      </c>
      <c r="EG62" s="2">
        <f t="shared" ca="1" si="132"/>
        <v>1</v>
      </c>
      <c r="EH62" s="1">
        <f t="shared" ca="1" si="133"/>
        <v>-1</v>
      </c>
      <c r="EI62" s="3">
        <f t="shared" ca="1" si="134"/>
        <v>1</v>
      </c>
      <c r="EJ62" s="1">
        <f t="shared" ca="1" si="135"/>
        <v>0</v>
      </c>
      <c r="EK62" s="1">
        <f t="shared" ca="1" si="136"/>
        <v>0</v>
      </c>
      <c r="EL62" s="20">
        <f t="shared" ca="1" si="137"/>
        <v>-1</v>
      </c>
      <c r="EN62" s="86">
        <f ca="1">MAX(0, SUMPRODUCT($ED62:$EL62,OFFSET(DNN!$E$9:$M$9,EN$9,0)) + OFFSET(DNN!$D$9,EN$9,0))</f>
        <v>0</v>
      </c>
      <c r="EO62" s="84">
        <f ca="1">MAX(0, SUMPRODUCT($ED62:$EL62,OFFSET(DNN!$E$9:$M$9,EO$9,0)) + OFFSET(DNN!$D$9,EO$9,0))</f>
        <v>7.2346022384755949E-3</v>
      </c>
      <c r="EP62" s="84">
        <f ca="1">MAX(0, SUMPRODUCT($ED62:$EL62,OFFSET(DNN!$E$9:$M$9,EP$9,0)) + OFFSET(DNN!$D$9,EP$9,0))</f>
        <v>3.6951849750035152E-3</v>
      </c>
      <c r="EQ62" s="84">
        <f ca="1">MAX(0, SUMPRODUCT($ED62:$EL62,OFFSET(DNN!$E$9:$M$9,EQ$9,0)) + OFFSET(DNN!$D$9,EQ$9,0))</f>
        <v>0</v>
      </c>
      <c r="ER62" s="85">
        <f ca="1">MAX(0, SUMPRODUCT($ED62:$EL62,OFFSET(DNN!$E$9:$M$9,ER$9,0)) + OFFSET(DNN!$D$9,ER$9,0))</f>
        <v>0</v>
      </c>
      <c r="ET62" s="86">
        <f ca="1">MAX(0, SUMPRODUCT($EN62:$ER62,OFFSET(DNN!$Q$9:$U$9,ET$9,0)) + OFFSET(DNN!$P$9,ET$9,0))</f>
        <v>4.3954959453478351E-4</v>
      </c>
      <c r="EU62" s="84">
        <f ca="1">MAX(0, SUMPRODUCT($EN62:$ER62,OFFSET(DNN!$Q$9:$U$9,EU$9,0)) + OFFSET(DNN!$P$9,EU$9,0))</f>
        <v>0</v>
      </c>
      <c r="EV62" s="84">
        <f ca="1">MAX(0, SUMPRODUCT($EN62:$ER62,OFFSET(DNN!$Q$9:$U$9,EV$9,0)) + OFFSET(DNN!$P$9,EV$9,0))</f>
        <v>1.2810123361902579E-3</v>
      </c>
      <c r="EW62" s="84">
        <f ca="1">MAX(0, SUMPRODUCT($EN62:$ER62,OFFSET(DNN!$Q$9:$U$9,EW$9,0)) + OFFSET(DNN!$P$9,EW$9,0))</f>
        <v>7.8382123007882457E-4</v>
      </c>
      <c r="EX62" s="85">
        <f ca="1">MAX(0, SUMPRODUCT($EN62:$ER62,OFFSET(DNN!$Q$9:$U$9,EX$9,0)) + OFFSET(DNN!$P$9,EX$9,0))</f>
        <v>0</v>
      </c>
      <c r="EZ62" s="111">
        <f ca="1">SUMPRODUCT($ET62:$EX62,OFFSET(DNN!$Y$9:$AC$9,EZ$9,0)) + OFFSET(DNN!$X$9,EZ$9,0)</f>
        <v>0.43031618918982212</v>
      </c>
      <c r="FA62" s="97">
        <f ca="1">SUMPRODUCT($ET62:$EX62,OFFSET(DNN!$Y$9:$AC$9,FA$9,0)) + OFFSET(DNN!$X$9,FA$9,0)</f>
        <v>-1.2643439935754107E-5</v>
      </c>
      <c r="FB62" s="97">
        <f ca="1">SUMPRODUCT($ET62:$EX62,OFFSET(DNN!$Y$9:$AC$9,FB$9,0)) + OFFSET(DNN!$X$9,FB$9,0)</f>
        <v>1.5239793458415756E-2</v>
      </c>
      <c r="FC62" s="97">
        <f ca="1">SUMPRODUCT($ET62:$EX62,OFFSET(DNN!$Y$9:$AC$9,FC$9,0)) + OFFSET(DNN!$X$9,FC$9,0)</f>
        <v>-8.8749521084055777E-4</v>
      </c>
      <c r="FD62" s="97">
        <f ca="1">SUMPRODUCT($ET62:$EX62,OFFSET(DNN!$Y$9:$AC$9,FD$9,0)) + OFFSET(DNN!$X$9,FD$9,0)</f>
        <v>-4.235816470721872E-4</v>
      </c>
      <c r="FE62" s="97">
        <f ca="1">SUMPRODUCT($ET62:$EX62,OFFSET(DNN!$Y$9:$AC$9,FE$9,0)) + OFFSET(DNN!$X$9,FE$9,0)</f>
        <v>-1.574182761064886E-5</v>
      </c>
      <c r="FF62" s="97">
        <f ca="1">SUMPRODUCT($ET62:$EX62,OFFSET(DNN!$Y$9:$AC$9,FF$9,0)) + OFFSET(DNN!$X$9,FF$9,0)</f>
        <v>-1.3491460223194656E-3</v>
      </c>
      <c r="FG62" s="97">
        <f ca="1">SUMPRODUCT($ET62:$EX62,OFFSET(DNN!$Y$9:$AC$9,FG$9,0)) + OFFSET(DNN!$X$9,FG$9,0)</f>
        <v>-6.2604808096248285E-2</v>
      </c>
      <c r="FH62" s="97">
        <f ca="1">SUMPRODUCT($ET62:$EX62,OFFSET(DNN!$Y$9:$AC$9,FH$9,0)) + OFFSET(DNN!$X$9,FH$9,0)</f>
        <v>8.6810016937029894E-4</v>
      </c>
      <c r="FI62" s="108">
        <f ca="1">SUMPRODUCT($ET62:$EX62,OFFSET(DNN!$Y$9:$AC$9,FI$9,0)) + OFFSET(DNN!$X$9,FI$9,0)</f>
        <v>-1.3182687612562751</v>
      </c>
      <c r="FJ62" s="98">
        <f ca="1">SUMPRODUCT($ET62:$EX62,OFFSET(DNN!$Y$9:$AC$9,FJ$9,0)) + OFFSET(DNN!$X$9,FJ$9,0)</f>
        <v>-2.2535161745939301E-5</v>
      </c>
      <c r="FL62" s="415">
        <f t="shared" ca="1" si="98"/>
        <v>0.43031618918982212</v>
      </c>
      <c r="FM62" s="130">
        <f t="shared" ca="1" si="99"/>
        <v>1</v>
      </c>
      <c r="FN62" s="131">
        <f t="shared" ca="1" si="100"/>
        <v>0.65029522127322903</v>
      </c>
      <c r="FO62" s="131">
        <f t="shared" ca="1" si="101"/>
        <v>0.66028983545318687</v>
      </c>
      <c r="FP62" s="131">
        <f t="shared" ca="1" si="102"/>
        <v>0.64972655813153501</v>
      </c>
      <c r="FQ62" s="131">
        <f t="shared" ca="1" si="103"/>
        <v>0.65002804502111444</v>
      </c>
      <c r="FR62" s="131">
        <f t="shared" ca="1" si="104"/>
        <v>0.65029320640965171</v>
      </c>
      <c r="FS62" s="131">
        <f t="shared" ca="1" si="105"/>
        <v>0.64942668056342145</v>
      </c>
      <c r="FT62" s="131">
        <f t="shared" ca="1" si="106"/>
        <v>0.61083952513994022</v>
      </c>
      <c r="FU62" s="132">
        <f t="shared" ca="1" si="107"/>
        <v>0.6508682169276182</v>
      </c>
      <c r="FV62" s="131">
        <f t="shared" ca="1" si="108"/>
        <v>0.17402001625314881</v>
      </c>
      <c r="FW62" s="83">
        <f t="shared" ca="1" si="109"/>
        <v>-2.2535161742124597E-5</v>
      </c>
    </row>
    <row r="63" spans="1:179">
      <c r="A63" s="19">
        <f t="shared" si="117"/>
        <v>53</v>
      </c>
      <c r="B63" s="1">
        <f t="shared" ca="1" si="111"/>
        <v>0</v>
      </c>
      <c r="C63" s="20">
        <f t="shared" ca="1" si="112"/>
        <v>53</v>
      </c>
      <c r="D63" s="19" t="str">
        <f t="shared" ca="1" si="113"/>
        <v>〇×〇×〇×--〇</v>
      </c>
      <c r="E63" s="7">
        <f t="shared" ca="1" si="77"/>
        <v>9</v>
      </c>
      <c r="F63" s="7">
        <f t="shared" ca="1" si="78"/>
        <v>1</v>
      </c>
      <c r="G63" s="1" t="str">
        <f t="shared" ca="1" si="138"/>
        <v>〇×〇×〇×--〇</v>
      </c>
      <c r="H63" s="20" t="b">
        <f t="shared" ca="1" si="118"/>
        <v>1</v>
      </c>
      <c r="I63" s="22">
        <f t="shared" ca="1" si="114"/>
        <v>-1</v>
      </c>
      <c r="J63" s="1" t="b">
        <f ca="1">(1&lt;COUNTIF(D$10:D63,D63))</f>
        <v>1</v>
      </c>
      <c r="K63" s="1" t="b">
        <f t="shared" ca="1" si="81"/>
        <v>1</v>
      </c>
      <c r="L63" s="7">
        <f ca="1">MATCH(TRUE,K63:K$1048576,FALSE)-1</f>
        <v>0</v>
      </c>
      <c r="M63" s="24" t="str">
        <f t="shared" ca="1" si="119"/>
        <v>〇×〇×〇×--〇_9</v>
      </c>
      <c r="N63" s="25">
        <f t="shared" ca="1" si="82"/>
        <v>-2.2535161742124597E-5</v>
      </c>
      <c r="O63" s="26">
        <f t="shared" ca="1" si="83"/>
        <v>-1</v>
      </c>
      <c r="P63" s="27">
        <f t="shared" ca="1" si="84"/>
        <v>-1</v>
      </c>
      <c r="R63" s="41" t="str">
        <f ca="1">VLOOKUP(S63,cvt!$B$2:$C$4,2,FALSE)&amp;VLOOKUP(T63,cvt!$B$2:$C$4,2,FALSE)&amp;VLOOKUP(U63,cvt!$B$2:$C$4,2,FALSE)
&amp;VLOOKUP(V63,cvt!$B$2:$C$4,2,FALSE)&amp;VLOOKUP(W63,cvt!$B$2:$C$4,2,FALSE)&amp;VLOOKUP(X63,cvt!$B$2:$C$4,2,FALSE)
&amp;VLOOKUP(Y63,cvt!$B$2:$C$4,2,FALSE)&amp;VLOOKUP(Z63,cvt!$B$2:$C$4,2,FALSE)&amp;VLOOKUP(AA63,cvt!$B$2:$C$4,2,FALSE)</f>
        <v>〇×〇×〇×--〇</v>
      </c>
      <c r="S63" s="7">
        <f ca="1">VLOOKUP(MID($D63,S$9+1,1), cvt!$A$2:$B$4,2, FALSE)</f>
        <v>1</v>
      </c>
      <c r="T63" s="7">
        <f ca="1">VLOOKUP(MID($D63,T$9+1,1), cvt!$A$2:$B$4,2, FALSE)</f>
        <v>-1</v>
      </c>
      <c r="U63" s="7">
        <f ca="1">VLOOKUP(MID($D63,U$9+1,1), cvt!$A$2:$B$4,2, FALSE)</f>
        <v>1</v>
      </c>
      <c r="V63" s="17">
        <f ca="1">VLOOKUP(MID($D63,V$9+1,1), cvt!$A$2:$B$4,2, FALSE)</f>
        <v>-1</v>
      </c>
      <c r="W63" s="7">
        <f ca="1">VLOOKUP(MID($D63,W$9+1,1), cvt!$A$2:$B$4,2, FALSE)</f>
        <v>1</v>
      </c>
      <c r="X63" s="18">
        <f ca="1">VLOOKUP(MID($D63,X$9+1,1), cvt!$A$2:$B$4,2, FALSE)</f>
        <v>-1</v>
      </c>
      <c r="Y63" s="7">
        <f ca="1">VLOOKUP(MID($D63,Y$9+1,1), cvt!$A$2:$B$4,2, FALSE)</f>
        <v>0</v>
      </c>
      <c r="Z63" s="7">
        <f ca="1">VLOOKUP(MID($D63,Z$9+1,1), cvt!$A$2:$B$4,2, FALSE)</f>
        <v>0</v>
      </c>
      <c r="AA63" s="42">
        <f ca="1">VLOOKUP(MID($D63,AA$9+1,1), cvt!$A$2:$B$4,2, FALSE)</f>
        <v>1</v>
      </c>
      <c r="AB63" s="7">
        <f t="shared" ca="1" si="85"/>
        <v>1</v>
      </c>
      <c r="AC63" s="50" t="b">
        <f t="shared" ca="1" si="86"/>
        <v>1</v>
      </c>
      <c r="AE63" s="19" t="str">
        <f ca="1">VLOOKUP(AF63,cvt!$B$2:$C$4,2,FALSE)&amp;VLOOKUP(AG63,cvt!$B$2:$C$4,2,FALSE)&amp;VLOOKUP(AH63,cvt!$B$2:$C$4,2,FALSE)
&amp;VLOOKUP(AI63,cvt!$B$2:$C$4,2,FALSE)&amp;VLOOKUP(AJ63,cvt!$B$2:$C$4,2,FALSE)&amp;VLOOKUP(AK63,cvt!$B$2:$C$4,2,FALSE)
&amp;VLOOKUP(AL63,cvt!$B$2:$C$4,2,FALSE)&amp;VLOOKUP(AM63,cvt!$B$2:$C$4,2,FALSE)&amp;VLOOKUP(AN63,cvt!$B$2:$C$4,2,FALSE)</f>
        <v>〇×〇×〇×--〇</v>
      </c>
      <c r="AF63" s="17">
        <f t="shared" ca="1" si="120"/>
        <v>1</v>
      </c>
      <c r="AG63" s="7">
        <f t="shared" ca="1" si="121"/>
        <v>-1</v>
      </c>
      <c r="AH63" s="7">
        <f t="shared" ca="1" si="122"/>
        <v>1</v>
      </c>
      <c r="AI63" s="17">
        <f t="shared" ca="1" si="123"/>
        <v>-1</v>
      </c>
      <c r="AJ63" s="7">
        <f t="shared" ca="1" si="124"/>
        <v>1</v>
      </c>
      <c r="AK63" s="18">
        <f t="shared" ca="1" si="125"/>
        <v>-1</v>
      </c>
      <c r="AL63" s="7">
        <f t="shared" ca="1" si="126"/>
        <v>0</v>
      </c>
      <c r="AM63" s="7">
        <f t="shared" ca="1" si="127"/>
        <v>0</v>
      </c>
      <c r="AN63" s="18">
        <f t="shared" ca="1" si="128"/>
        <v>1</v>
      </c>
      <c r="AO63" s="7">
        <f t="shared" ca="1" si="115"/>
        <v>1</v>
      </c>
      <c r="AP63" s="50" t="b">
        <f t="shared" ca="1" si="87"/>
        <v>1</v>
      </c>
      <c r="AS63" s="22">
        <f t="shared" ca="1" si="88"/>
        <v>0</v>
      </c>
      <c r="AT63" s="7">
        <f t="shared" ca="1" si="23"/>
        <v>0</v>
      </c>
      <c r="AU63" s="7">
        <f t="shared" ca="1" si="24"/>
        <v>0</v>
      </c>
      <c r="AV63" s="7">
        <f t="shared" ca="1" si="25"/>
        <v>0</v>
      </c>
      <c r="AW63" s="7">
        <f t="shared" ca="1" si="26"/>
        <v>0</v>
      </c>
      <c r="AX63" s="7">
        <f t="shared" ca="1" si="27"/>
        <v>0</v>
      </c>
      <c r="AY63" s="7">
        <f t="shared" ca="1" si="28"/>
        <v>0</v>
      </c>
      <c r="AZ63" s="7">
        <f t="shared" ca="1" si="29"/>
        <v>0</v>
      </c>
      <c r="BA63" s="18">
        <f t="shared" ca="1" si="30"/>
        <v>0</v>
      </c>
      <c r="BB63" s="295">
        <f t="shared" ca="1" si="89"/>
        <v>1</v>
      </c>
      <c r="BD63" s="132"/>
      <c r="BE63" s="297">
        <f t="shared" ca="1" si="90"/>
        <v>1</v>
      </c>
      <c r="BF63" s="298">
        <f t="shared" ca="1" si="31"/>
        <v>0.65029522127322903</v>
      </c>
      <c r="BG63" s="298">
        <f t="shared" ca="1" si="32"/>
        <v>0.66028983545318687</v>
      </c>
      <c r="BH63" s="318">
        <f t="shared" ca="1" si="33"/>
        <v>0.64972655813153501</v>
      </c>
      <c r="BI63" s="298">
        <f t="shared" ca="1" si="34"/>
        <v>0.65002804502111444</v>
      </c>
      <c r="BJ63" s="299">
        <f t="shared" ca="1" si="35"/>
        <v>0.65029320640965171</v>
      </c>
      <c r="BK63" s="298">
        <f t="shared" ca="1" si="36"/>
        <v>0.64942668056342145</v>
      </c>
      <c r="BL63" s="298">
        <f t="shared" ca="1" si="37"/>
        <v>0.61083952513994022</v>
      </c>
      <c r="BM63" s="299">
        <f t="shared" ca="1" si="38"/>
        <v>0.6508682169276182</v>
      </c>
      <c r="BN63" s="295">
        <f t="shared" ca="1" si="39"/>
        <v>0.17402001625314881</v>
      </c>
      <c r="BO63" s="248">
        <f t="shared" ca="1" si="91"/>
        <v>-2.2535161742124597E-5</v>
      </c>
      <c r="BQ63" s="304">
        <f t="shared" ca="1" si="92"/>
        <v>0.1741200162531488</v>
      </c>
      <c r="BR63" s="297">
        <f t="shared" ca="1" si="93"/>
        <v>0</v>
      </c>
      <c r="BS63" s="298">
        <f t="shared" ca="1" si="40"/>
        <v>0</v>
      </c>
      <c r="BT63" s="298">
        <f t="shared" ca="1" si="41"/>
        <v>0</v>
      </c>
      <c r="BU63" s="318">
        <f t="shared" ca="1" si="42"/>
        <v>0</v>
      </c>
      <c r="BV63" s="298">
        <f t="shared" ca="1" si="43"/>
        <v>0</v>
      </c>
      <c r="BW63" s="299">
        <f t="shared" ca="1" si="44"/>
        <v>0</v>
      </c>
      <c r="BX63" s="298">
        <f t="shared" ca="1" si="45"/>
        <v>0</v>
      </c>
      <c r="BY63" s="298">
        <f t="shared" ca="1" si="46"/>
        <v>0</v>
      </c>
      <c r="BZ63" s="298">
        <f t="shared" ca="1" si="47"/>
        <v>0</v>
      </c>
      <c r="CA63" s="315">
        <f t="shared" ca="1" si="48"/>
        <v>0.1741200162531488</v>
      </c>
      <c r="CC63" s="52"/>
      <c r="CD63" s="306">
        <f t="shared" ca="1" si="94"/>
        <v>0</v>
      </c>
      <c r="CE63" s="15">
        <f t="shared" ca="1" si="49"/>
        <v>0</v>
      </c>
      <c r="CF63" s="15">
        <f t="shared" ca="1" si="50"/>
        <v>0</v>
      </c>
      <c r="CG63" s="286">
        <f t="shared" ca="1" si="51"/>
        <v>0</v>
      </c>
      <c r="CH63" s="15">
        <f t="shared" ca="1" si="52"/>
        <v>0</v>
      </c>
      <c r="CI63" s="288">
        <f t="shared" ca="1" si="53"/>
        <v>0</v>
      </c>
      <c r="CJ63" s="15">
        <f t="shared" ca="1" si="54"/>
        <v>0</v>
      </c>
      <c r="CK63" s="15">
        <f t="shared" ca="1" si="55"/>
        <v>0</v>
      </c>
      <c r="CL63" s="15">
        <f t="shared" ca="1" si="56"/>
        <v>0</v>
      </c>
      <c r="CM63" s="313">
        <f t="shared" ca="1" si="57"/>
        <v>1</v>
      </c>
      <c r="CO63" s="320">
        <f t="shared" ca="1" si="95"/>
        <v>52</v>
      </c>
      <c r="CP63" s="22">
        <f ca="1">COUNTIFS($C$10:$C62,"&lt;"&amp;$C63,$M$10:$M62,$D63&amp;"_"&amp;CP$9)</f>
        <v>0</v>
      </c>
      <c r="CQ63" s="7">
        <f ca="1">COUNTIFS($C$10:$C62,"&lt;"&amp;$C63,$M$10:$M62,$D63&amp;"_"&amp;CQ$9)</f>
        <v>0</v>
      </c>
      <c r="CR63" s="7">
        <f ca="1">COUNTIFS($C$10:$C62,"&lt;"&amp;$C63,$M$10:$M62,$D63&amp;"_"&amp;CR$9)</f>
        <v>0</v>
      </c>
      <c r="CS63" s="17">
        <f ca="1">COUNTIFS($C$10:$C62,"&lt;"&amp;$C63,$M$10:$M62,$D63&amp;"_"&amp;CS$9)</f>
        <v>0</v>
      </c>
      <c r="CT63" s="7">
        <f ca="1">COUNTIFS($C$10:$C62,"&lt;"&amp;$C63,$M$10:$M62,$D63&amp;"_"&amp;CT$9)</f>
        <v>0</v>
      </c>
      <c r="CU63" s="18">
        <f ca="1">COUNTIFS($C$10:$C62,"&lt;"&amp;$C63,$M$10:$M62,$D63&amp;"_"&amp;CU$9)</f>
        <v>0</v>
      </c>
      <c r="CV63" s="7">
        <f ca="1">COUNTIFS($C$10:$C62,"&lt;"&amp;$C63,$M$10:$M62,$D63&amp;"_"&amp;CV$9)</f>
        <v>0</v>
      </c>
      <c r="CW63" s="7">
        <f ca="1">COUNTIFS($C$10:$C62,"&lt;"&amp;$C63,$M$10:$M62,$D63&amp;"_"&amp;CW$9)</f>
        <v>0</v>
      </c>
      <c r="CX63" s="7">
        <f ca="1">COUNTIFS($C$10:$C62,"&lt;"&amp;$C63,$M$10:$M62,$D63&amp;"_"&amp;CX$9)</f>
        <v>0</v>
      </c>
      <c r="CY63" s="221">
        <f ca="1">COUNTIFS($C$10:$C62,"&lt;"&amp;$C63,$M$10:$M62,$D63&amp;"_"&amp;CY$9)</f>
        <v>52</v>
      </c>
      <c r="DA63" s="20"/>
      <c r="DB63" s="308">
        <f ca="1">IF(CP63=0,0,SUMIFS($P$10:$P62, $C$10:$C62,"&lt;"&amp;$C63, $M$10:$M62,$D63&amp;"_"&amp;DB$9)/CP63)</f>
        <v>0</v>
      </c>
      <c r="DC63" s="263">
        <f ca="1">IF(CQ63=0,0,SUMIFS($P$10:$P62, $C$10:$C62,"&lt;"&amp;$C63, $M$10:$M62,$D63&amp;"_"&amp;DC$9)/CQ63)</f>
        <v>0</v>
      </c>
      <c r="DD63" s="263">
        <f ca="1">IF(CR63=0,0,SUMIFS($P$10:$P62, $C$10:$C62,"&lt;"&amp;$C63, $M$10:$M62,$D63&amp;"_"&amp;DD$9)/CR63)</f>
        <v>0</v>
      </c>
      <c r="DE63" s="262">
        <f ca="1">IF(CS63=0,0,SUMIFS($P$10:$P62, $C$10:$C62,"&lt;"&amp;$C63, $M$10:$M62,$D63&amp;"_"&amp;DE$9)/CS63)</f>
        <v>0</v>
      </c>
      <c r="DF63" s="263">
        <f ca="1">IF(CT63=0,0,SUMIFS($P$10:$P62, $C$10:$C62,"&lt;"&amp;$C63, $M$10:$M62,$D63&amp;"_"&amp;DF$9)/CT63)</f>
        <v>0</v>
      </c>
      <c r="DG63" s="310">
        <f ca="1">IF(CU63=0,0,SUMIFS($P$10:$P62, $C$10:$C62,"&lt;"&amp;$C63, $M$10:$M62,$D63&amp;"_"&amp;DG$9)/CU63)</f>
        <v>0</v>
      </c>
      <c r="DH63" s="263">
        <f ca="1">IF(CV63=0,0,SUMIFS($P$10:$P62, $C$10:$C62,"&lt;"&amp;$C63, $M$10:$M62,$D63&amp;"_"&amp;DH$9)/CV63)</f>
        <v>0</v>
      </c>
      <c r="DI63" s="263">
        <f ca="1">IF(CW63=0,0,SUMIFS($P$10:$P62, $C$10:$C62,"&lt;"&amp;$C63, $M$10:$M62,$D63&amp;"_"&amp;DI$9)/CW63)</f>
        <v>0</v>
      </c>
      <c r="DJ63" s="264">
        <f ca="1">IF(CX63=0,0,SUMIFS($P$10:$P62, $C$10:$C62,"&lt;"&amp;$C63, $M$10:$M62,$D63&amp;"_"&amp;DJ$9)/CX63)</f>
        <v>0</v>
      </c>
      <c r="DK63" s="264">
        <f ca="1">IF(CY63=0,0,SUMIFS($P$10:$P62, $C$10:$C62,"&lt;"&amp;$C63, $M$10:$M62,$D63&amp;"_"&amp;DK$9)/CY63)</f>
        <v>-1</v>
      </c>
      <c r="DM63" s="104"/>
      <c r="DN63" s="306">
        <f t="shared" ca="1" si="96"/>
        <v>-9999</v>
      </c>
      <c r="DO63" s="15">
        <f t="shared" ca="1" si="58"/>
        <v>-9999</v>
      </c>
      <c r="DP63" s="15">
        <f t="shared" ca="1" si="59"/>
        <v>-9999</v>
      </c>
      <c r="DQ63" s="15">
        <f t="shared" ca="1" si="60"/>
        <v>-9999</v>
      </c>
      <c r="DR63" s="15">
        <f t="shared" ca="1" si="61"/>
        <v>-9999</v>
      </c>
      <c r="DS63" s="15">
        <f t="shared" ca="1" si="62"/>
        <v>-9999</v>
      </c>
      <c r="DT63" s="15">
        <f t="shared" ca="1" si="63"/>
        <v>-9999</v>
      </c>
      <c r="DU63" s="15">
        <f t="shared" ca="1" si="64"/>
        <v>-9999</v>
      </c>
      <c r="DV63" s="52">
        <f t="shared" ca="1" si="65"/>
        <v>-9999</v>
      </c>
      <c r="DW63" s="313">
        <f t="shared" ca="1" si="66"/>
        <v>-0.86394146130324567</v>
      </c>
      <c r="DX63" s="52"/>
      <c r="DY63" s="402">
        <f t="shared" ca="1" si="97"/>
        <v>9</v>
      </c>
      <c r="ED63" s="19">
        <f t="shared" ca="1" si="129"/>
        <v>-1</v>
      </c>
      <c r="EE63" s="1">
        <f t="shared" ca="1" si="130"/>
        <v>1</v>
      </c>
      <c r="EF63" s="1">
        <f t="shared" ca="1" si="131"/>
        <v>-1</v>
      </c>
      <c r="EG63" s="2">
        <f t="shared" ca="1" si="132"/>
        <v>1</v>
      </c>
      <c r="EH63" s="1">
        <f t="shared" ca="1" si="133"/>
        <v>-1</v>
      </c>
      <c r="EI63" s="3">
        <f t="shared" ca="1" si="134"/>
        <v>1</v>
      </c>
      <c r="EJ63" s="1">
        <f t="shared" ca="1" si="135"/>
        <v>0</v>
      </c>
      <c r="EK63" s="1">
        <f t="shared" ca="1" si="136"/>
        <v>0</v>
      </c>
      <c r="EL63" s="20">
        <f t="shared" ca="1" si="137"/>
        <v>-1</v>
      </c>
      <c r="EN63" s="86">
        <f ca="1">MAX(0, SUMPRODUCT($ED63:$EL63,OFFSET(DNN!$E$9:$M$9,EN$9,0)) + OFFSET(DNN!$D$9,EN$9,0))</f>
        <v>0</v>
      </c>
      <c r="EO63" s="84">
        <f ca="1">MAX(0, SUMPRODUCT($ED63:$EL63,OFFSET(DNN!$E$9:$M$9,EO$9,0)) + OFFSET(DNN!$D$9,EO$9,0))</f>
        <v>7.2346022384755949E-3</v>
      </c>
      <c r="EP63" s="84">
        <f ca="1">MAX(0, SUMPRODUCT($ED63:$EL63,OFFSET(DNN!$E$9:$M$9,EP$9,0)) + OFFSET(DNN!$D$9,EP$9,0))</f>
        <v>3.6951849750035152E-3</v>
      </c>
      <c r="EQ63" s="84">
        <f ca="1">MAX(0, SUMPRODUCT($ED63:$EL63,OFFSET(DNN!$E$9:$M$9,EQ$9,0)) + OFFSET(DNN!$D$9,EQ$9,0))</f>
        <v>0</v>
      </c>
      <c r="ER63" s="85">
        <f ca="1">MAX(0, SUMPRODUCT($ED63:$EL63,OFFSET(DNN!$E$9:$M$9,ER$9,0)) + OFFSET(DNN!$D$9,ER$9,0))</f>
        <v>0</v>
      </c>
      <c r="ET63" s="86">
        <f ca="1">MAX(0, SUMPRODUCT($EN63:$ER63,OFFSET(DNN!$Q$9:$U$9,ET$9,0)) + OFFSET(DNN!$P$9,ET$9,0))</f>
        <v>4.3954959453478351E-4</v>
      </c>
      <c r="EU63" s="84">
        <f ca="1">MAX(0, SUMPRODUCT($EN63:$ER63,OFFSET(DNN!$Q$9:$U$9,EU$9,0)) + OFFSET(DNN!$P$9,EU$9,0))</f>
        <v>0</v>
      </c>
      <c r="EV63" s="84">
        <f ca="1">MAX(0, SUMPRODUCT($EN63:$ER63,OFFSET(DNN!$Q$9:$U$9,EV$9,0)) + OFFSET(DNN!$P$9,EV$9,0))</f>
        <v>1.2810123361902579E-3</v>
      </c>
      <c r="EW63" s="84">
        <f ca="1">MAX(0, SUMPRODUCT($EN63:$ER63,OFFSET(DNN!$Q$9:$U$9,EW$9,0)) + OFFSET(DNN!$P$9,EW$9,0))</f>
        <v>7.8382123007882457E-4</v>
      </c>
      <c r="EX63" s="85">
        <f ca="1">MAX(0, SUMPRODUCT($EN63:$ER63,OFFSET(DNN!$Q$9:$U$9,EX$9,0)) + OFFSET(DNN!$P$9,EX$9,0))</f>
        <v>0</v>
      </c>
      <c r="EZ63" s="111">
        <f ca="1">SUMPRODUCT($ET63:$EX63,OFFSET(DNN!$Y$9:$AC$9,EZ$9,0)) + OFFSET(DNN!$X$9,EZ$9,0)</f>
        <v>0.43031618918982212</v>
      </c>
      <c r="FA63" s="97">
        <f ca="1">SUMPRODUCT($ET63:$EX63,OFFSET(DNN!$Y$9:$AC$9,FA$9,0)) + OFFSET(DNN!$X$9,FA$9,0)</f>
        <v>-1.2643439935754107E-5</v>
      </c>
      <c r="FB63" s="97">
        <f ca="1">SUMPRODUCT($ET63:$EX63,OFFSET(DNN!$Y$9:$AC$9,FB$9,0)) + OFFSET(DNN!$X$9,FB$9,0)</f>
        <v>1.5239793458415756E-2</v>
      </c>
      <c r="FC63" s="97">
        <f ca="1">SUMPRODUCT($ET63:$EX63,OFFSET(DNN!$Y$9:$AC$9,FC$9,0)) + OFFSET(DNN!$X$9,FC$9,0)</f>
        <v>-8.8749521084055777E-4</v>
      </c>
      <c r="FD63" s="97">
        <f ca="1">SUMPRODUCT($ET63:$EX63,OFFSET(DNN!$Y$9:$AC$9,FD$9,0)) + OFFSET(DNN!$X$9,FD$9,0)</f>
        <v>-4.235816470721872E-4</v>
      </c>
      <c r="FE63" s="97">
        <f ca="1">SUMPRODUCT($ET63:$EX63,OFFSET(DNN!$Y$9:$AC$9,FE$9,0)) + OFFSET(DNN!$X$9,FE$9,0)</f>
        <v>-1.574182761064886E-5</v>
      </c>
      <c r="FF63" s="97">
        <f ca="1">SUMPRODUCT($ET63:$EX63,OFFSET(DNN!$Y$9:$AC$9,FF$9,0)) + OFFSET(DNN!$X$9,FF$9,0)</f>
        <v>-1.3491460223194656E-3</v>
      </c>
      <c r="FG63" s="97">
        <f ca="1">SUMPRODUCT($ET63:$EX63,OFFSET(DNN!$Y$9:$AC$9,FG$9,0)) + OFFSET(DNN!$X$9,FG$9,0)</f>
        <v>-6.2604808096248285E-2</v>
      </c>
      <c r="FH63" s="97">
        <f ca="1">SUMPRODUCT($ET63:$EX63,OFFSET(DNN!$Y$9:$AC$9,FH$9,0)) + OFFSET(DNN!$X$9,FH$9,0)</f>
        <v>8.6810016937029894E-4</v>
      </c>
      <c r="FI63" s="108">
        <f ca="1">SUMPRODUCT($ET63:$EX63,OFFSET(DNN!$Y$9:$AC$9,FI$9,0)) + OFFSET(DNN!$X$9,FI$9,0)</f>
        <v>-1.3182687612562751</v>
      </c>
      <c r="FJ63" s="98">
        <f ca="1">SUMPRODUCT($ET63:$EX63,OFFSET(DNN!$Y$9:$AC$9,FJ$9,0)) + OFFSET(DNN!$X$9,FJ$9,0)</f>
        <v>-2.2535161745939301E-5</v>
      </c>
      <c r="FL63" s="415">
        <f t="shared" ca="1" si="98"/>
        <v>0.43031618918982212</v>
      </c>
      <c r="FM63" s="130">
        <f t="shared" ca="1" si="99"/>
        <v>1</v>
      </c>
      <c r="FN63" s="131">
        <f t="shared" ca="1" si="100"/>
        <v>0.65029522127322903</v>
      </c>
      <c r="FO63" s="131">
        <f t="shared" ca="1" si="101"/>
        <v>0.66028983545318687</v>
      </c>
      <c r="FP63" s="131">
        <f t="shared" ca="1" si="102"/>
        <v>0.64972655813153501</v>
      </c>
      <c r="FQ63" s="131">
        <f t="shared" ca="1" si="103"/>
        <v>0.65002804502111444</v>
      </c>
      <c r="FR63" s="131">
        <f t="shared" ca="1" si="104"/>
        <v>0.65029320640965171</v>
      </c>
      <c r="FS63" s="131">
        <f t="shared" ca="1" si="105"/>
        <v>0.64942668056342145</v>
      </c>
      <c r="FT63" s="131">
        <f t="shared" ca="1" si="106"/>
        <v>0.61083952513994022</v>
      </c>
      <c r="FU63" s="132">
        <f t="shared" ca="1" si="107"/>
        <v>0.6508682169276182</v>
      </c>
      <c r="FV63" s="131">
        <f t="shared" ca="1" si="108"/>
        <v>0.17402001625314881</v>
      </c>
      <c r="FW63" s="83">
        <f t="shared" ca="1" si="109"/>
        <v>-2.2535161742124597E-5</v>
      </c>
    </row>
    <row r="64" spans="1:179">
      <c r="A64" s="19">
        <f t="shared" si="117"/>
        <v>54</v>
      </c>
      <c r="B64" s="1">
        <f t="shared" ca="1" si="111"/>
        <v>0</v>
      </c>
      <c r="C64" s="20">
        <f t="shared" ca="1" si="112"/>
        <v>54</v>
      </c>
      <c r="D64" s="19" t="str">
        <f t="shared" ca="1" si="113"/>
        <v>〇×〇×〇×--〇</v>
      </c>
      <c r="E64" s="7">
        <f t="shared" ca="1" si="77"/>
        <v>9</v>
      </c>
      <c r="F64" s="7">
        <f t="shared" ca="1" si="78"/>
        <v>1</v>
      </c>
      <c r="G64" s="1" t="str">
        <f t="shared" ref="G64:G127" ca="1" si="139">AE64</f>
        <v>〇×〇×〇×--〇</v>
      </c>
      <c r="H64" s="20" t="b">
        <f t="shared" ref="H64:H127" ca="1" si="140">AP64</f>
        <v>1</v>
      </c>
      <c r="I64" s="22">
        <f t="shared" ca="1" si="114"/>
        <v>-1</v>
      </c>
      <c r="J64" s="1" t="b">
        <f ca="1">(1&lt;COUNTIF(D$10:D64,D64))</f>
        <v>1</v>
      </c>
      <c r="K64" s="1" t="b">
        <f t="shared" ref="K64:K127" ca="1" si="141">OR(H64=TRUE,J64=FALSE)</f>
        <v>1</v>
      </c>
      <c r="L64" s="7">
        <f ca="1">MATCH(TRUE,K64:K$1048576,FALSE)-1</f>
        <v>0</v>
      </c>
      <c r="M64" s="24" t="str">
        <f t="shared" ref="M64:M127" ca="1" si="142">D64&amp;"_"&amp;IF(J64=FALSE, "X", E64)</f>
        <v>〇×〇×〇×--〇_9</v>
      </c>
      <c r="N64" s="25">
        <f t="shared" ca="1" si="82"/>
        <v>-2.2535161742124597E-5</v>
      </c>
      <c r="O64" s="26">
        <f t="shared" ca="1" si="83"/>
        <v>-1</v>
      </c>
      <c r="P64" s="27">
        <f t="shared" ca="1" si="84"/>
        <v>-1</v>
      </c>
      <c r="R64" s="41" t="str">
        <f ca="1">VLOOKUP(S64,cvt!$B$2:$C$4,2,FALSE)&amp;VLOOKUP(T64,cvt!$B$2:$C$4,2,FALSE)&amp;VLOOKUP(U64,cvt!$B$2:$C$4,2,FALSE)
&amp;VLOOKUP(V64,cvt!$B$2:$C$4,2,FALSE)&amp;VLOOKUP(W64,cvt!$B$2:$C$4,2,FALSE)&amp;VLOOKUP(X64,cvt!$B$2:$C$4,2,FALSE)
&amp;VLOOKUP(Y64,cvt!$B$2:$C$4,2,FALSE)&amp;VLOOKUP(Z64,cvt!$B$2:$C$4,2,FALSE)&amp;VLOOKUP(AA64,cvt!$B$2:$C$4,2,FALSE)</f>
        <v>〇×〇×〇×--〇</v>
      </c>
      <c r="S64" s="7">
        <f ca="1">VLOOKUP(MID($D64,S$9+1,1), cvt!$A$2:$B$4,2, FALSE)</f>
        <v>1</v>
      </c>
      <c r="T64" s="7">
        <f ca="1">VLOOKUP(MID($D64,T$9+1,1), cvt!$A$2:$B$4,2, FALSE)</f>
        <v>-1</v>
      </c>
      <c r="U64" s="7">
        <f ca="1">VLOOKUP(MID($D64,U$9+1,1), cvt!$A$2:$B$4,2, FALSE)</f>
        <v>1</v>
      </c>
      <c r="V64" s="17">
        <f ca="1">VLOOKUP(MID($D64,V$9+1,1), cvt!$A$2:$B$4,2, FALSE)</f>
        <v>-1</v>
      </c>
      <c r="W64" s="7">
        <f ca="1">VLOOKUP(MID($D64,W$9+1,1), cvt!$A$2:$B$4,2, FALSE)</f>
        <v>1</v>
      </c>
      <c r="X64" s="18">
        <f ca="1">VLOOKUP(MID($D64,X$9+1,1), cvt!$A$2:$B$4,2, FALSE)</f>
        <v>-1</v>
      </c>
      <c r="Y64" s="7">
        <f ca="1">VLOOKUP(MID($D64,Y$9+1,1), cvt!$A$2:$B$4,2, FALSE)</f>
        <v>0</v>
      </c>
      <c r="Z64" s="7">
        <f ca="1">VLOOKUP(MID($D64,Z$9+1,1), cvt!$A$2:$B$4,2, FALSE)</f>
        <v>0</v>
      </c>
      <c r="AA64" s="42">
        <f ca="1">VLOOKUP(MID($D64,AA$9+1,1), cvt!$A$2:$B$4,2, FALSE)</f>
        <v>1</v>
      </c>
      <c r="AB64" s="7">
        <f t="shared" ca="1" si="85"/>
        <v>1</v>
      </c>
      <c r="AC64" s="50" t="b">
        <f t="shared" ca="1" si="86"/>
        <v>1</v>
      </c>
      <c r="AE64" s="19" t="str">
        <f ca="1">VLOOKUP(AF64,cvt!$B$2:$C$4,2,FALSE)&amp;VLOOKUP(AG64,cvt!$B$2:$C$4,2,FALSE)&amp;VLOOKUP(AH64,cvt!$B$2:$C$4,2,FALSE)
&amp;VLOOKUP(AI64,cvt!$B$2:$C$4,2,FALSE)&amp;VLOOKUP(AJ64,cvt!$B$2:$C$4,2,FALSE)&amp;VLOOKUP(AK64,cvt!$B$2:$C$4,2,FALSE)
&amp;VLOOKUP(AL64,cvt!$B$2:$C$4,2,FALSE)&amp;VLOOKUP(AM64,cvt!$B$2:$C$4,2,FALSE)&amp;VLOOKUP(AN64,cvt!$B$2:$C$4,2,FALSE)</f>
        <v>〇×〇×〇×--〇</v>
      </c>
      <c r="AF64" s="17">
        <f t="shared" ref="AF64:AF127" ca="1" si="143">IF($E64=AF$9, $I64,S64)</f>
        <v>1</v>
      </c>
      <c r="AG64" s="7">
        <f t="shared" ref="AG64:AG127" ca="1" si="144">IF($E64=AG$9, $I64,T64)</f>
        <v>-1</v>
      </c>
      <c r="AH64" s="7">
        <f t="shared" ref="AH64:AH127" ca="1" si="145">IF($E64=AH$9, $I64,U64)</f>
        <v>1</v>
      </c>
      <c r="AI64" s="17">
        <f t="shared" ref="AI64:AI127" ca="1" si="146">IF($E64=AI$9, $I64,V64)</f>
        <v>-1</v>
      </c>
      <c r="AJ64" s="7">
        <f t="shared" ref="AJ64:AJ127" ca="1" si="147">IF($E64=AJ$9, $I64,W64)</f>
        <v>1</v>
      </c>
      <c r="AK64" s="18">
        <f t="shared" ref="AK64:AK127" ca="1" si="148">IF($E64=AK$9, $I64,X64)</f>
        <v>-1</v>
      </c>
      <c r="AL64" s="7">
        <f t="shared" ref="AL64:AL127" ca="1" si="149">IF($E64=AL$9, $I64,Y64)</f>
        <v>0</v>
      </c>
      <c r="AM64" s="7">
        <f t="shared" ref="AM64:AM127" ca="1" si="150">IF($E64=AM$9, $I64,Z64)</f>
        <v>0</v>
      </c>
      <c r="AN64" s="18">
        <f t="shared" ref="AN64:AN127" ca="1" si="151">IF($E64=AN$9, $I64,AA64)</f>
        <v>1</v>
      </c>
      <c r="AO64" s="7">
        <f t="shared" ca="1" si="115"/>
        <v>1</v>
      </c>
      <c r="AP64" s="50" t="b">
        <f t="shared" ref="AP64:AP127" ca="1" si="152">OR(AO64&lt;&gt;0,COUNTIF(AF64:AN64,0)=0)</f>
        <v>1</v>
      </c>
      <c r="AS64" s="22">
        <f t="shared" ca="1" si="88"/>
        <v>0</v>
      </c>
      <c r="AT64" s="7">
        <f t="shared" ca="1" si="23"/>
        <v>0</v>
      </c>
      <c r="AU64" s="7">
        <f t="shared" ca="1" si="24"/>
        <v>0</v>
      </c>
      <c r="AV64" s="7">
        <f t="shared" ca="1" si="25"/>
        <v>0</v>
      </c>
      <c r="AW64" s="7">
        <f t="shared" ca="1" si="26"/>
        <v>0</v>
      </c>
      <c r="AX64" s="7">
        <f t="shared" ca="1" si="27"/>
        <v>0</v>
      </c>
      <c r="AY64" s="7">
        <f t="shared" ca="1" si="28"/>
        <v>0</v>
      </c>
      <c r="AZ64" s="7">
        <f t="shared" ca="1" si="29"/>
        <v>0</v>
      </c>
      <c r="BA64" s="18">
        <f t="shared" ca="1" si="30"/>
        <v>0</v>
      </c>
      <c r="BB64" s="295">
        <f t="shared" ca="1" si="89"/>
        <v>1</v>
      </c>
      <c r="BD64" s="132"/>
      <c r="BE64" s="297">
        <f t="shared" ca="1" si="90"/>
        <v>1</v>
      </c>
      <c r="BF64" s="298">
        <f t="shared" ca="1" si="31"/>
        <v>0.65029522127322903</v>
      </c>
      <c r="BG64" s="298">
        <f t="shared" ca="1" si="32"/>
        <v>0.66028983545318687</v>
      </c>
      <c r="BH64" s="318">
        <f t="shared" ca="1" si="33"/>
        <v>0.64972655813153501</v>
      </c>
      <c r="BI64" s="298">
        <f t="shared" ca="1" si="34"/>
        <v>0.65002804502111444</v>
      </c>
      <c r="BJ64" s="299">
        <f t="shared" ca="1" si="35"/>
        <v>0.65029320640965171</v>
      </c>
      <c r="BK64" s="298">
        <f t="shared" ca="1" si="36"/>
        <v>0.64942668056342145</v>
      </c>
      <c r="BL64" s="298">
        <f t="shared" ca="1" si="37"/>
        <v>0.61083952513994022</v>
      </c>
      <c r="BM64" s="299">
        <f t="shared" ca="1" si="38"/>
        <v>0.6508682169276182</v>
      </c>
      <c r="BN64" s="295">
        <f t="shared" ca="1" si="39"/>
        <v>0.17402001625314881</v>
      </c>
      <c r="BO64" s="248">
        <f t="shared" ca="1" si="91"/>
        <v>-2.2535161742124597E-5</v>
      </c>
      <c r="BQ64" s="304">
        <f t="shared" ca="1" si="92"/>
        <v>0.42412001625314877</v>
      </c>
      <c r="BR64" s="297">
        <f t="shared" ca="1" si="93"/>
        <v>0</v>
      </c>
      <c r="BS64" s="298">
        <f t="shared" ca="1" si="40"/>
        <v>0</v>
      </c>
      <c r="BT64" s="298">
        <f t="shared" ca="1" si="41"/>
        <v>0</v>
      </c>
      <c r="BU64" s="318">
        <f t="shared" ca="1" si="42"/>
        <v>0</v>
      </c>
      <c r="BV64" s="298">
        <f t="shared" ca="1" si="43"/>
        <v>0</v>
      </c>
      <c r="BW64" s="299">
        <f t="shared" ca="1" si="44"/>
        <v>0</v>
      </c>
      <c r="BX64" s="298">
        <f t="shared" ca="1" si="45"/>
        <v>0</v>
      </c>
      <c r="BY64" s="298">
        <f t="shared" ca="1" si="46"/>
        <v>0</v>
      </c>
      <c r="BZ64" s="298">
        <f t="shared" ca="1" si="47"/>
        <v>0</v>
      </c>
      <c r="CA64" s="315">
        <f t="shared" ca="1" si="48"/>
        <v>0.42412001625314877</v>
      </c>
      <c r="CC64" s="52"/>
      <c r="CD64" s="306">
        <f t="shared" ca="1" si="94"/>
        <v>0</v>
      </c>
      <c r="CE64" s="15">
        <f t="shared" ca="1" si="49"/>
        <v>0</v>
      </c>
      <c r="CF64" s="15">
        <f t="shared" ca="1" si="50"/>
        <v>0</v>
      </c>
      <c r="CG64" s="286">
        <f t="shared" ca="1" si="51"/>
        <v>0</v>
      </c>
      <c r="CH64" s="15">
        <f t="shared" ca="1" si="52"/>
        <v>0</v>
      </c>
      <c r="CI64" s="288">
        <f t="shared" ca="1" si="53"/>
        <v>0</v>
      </c>
      <c r="CJ64" s="15">
        <f t="shared" ca="1" si="54"/>
        <v>0</v>
      </c>
      <c r="CK64" s="15">
        <f t="shared" ca="1" si="55"/>
        <v>0</v>
      </c>
      <c r="CL64" s="15">
        <f t="shared" ca="1" si="56"/>
        <v>0</v>
      </c>
      <c r="CM64" s="313">
        <f t="shared" ca="1" si="57"/>
        <v>1</v>
      </c>
      <c r="CO64" s="320">
        <f t="shared" ca="1" si="95"/>
        <v>53</v>
      </c>
      <c r="CP64" s="22">
        <f ca="1">COUNTIFS($C$10:$C63,"&lt;"&amp;$C64,$M$10:$M63,$D64&amp;"_"&amp;CP$9)</f>
        <v>0</v>
      </c>
      <c r="CQ64" s="7">
        <f ca="1">COUNTIFS($C$10:$C63,"&lt;"&amp;$C64,$M$10:$M63,$D64&amp;"_"&amp;CQ$9)</f>
        <v>0</v>
      </c>
      <c r="CR64" s="7">
        <f ca="1">COUNTIFS($C$10:$C63,"&lt;"&amp;$C64,$M$10:$M63,$D64&amp;"_"&amp;CR$9)</f>
        <v>0</v>
      </c>
      <c r="CS64" s="17">
        <f ca="1">COUNTIFS($C$10:$C63,"&lt;"&amp;$C64,$M$10:$M63,$D64&amp;"_"&amp;CS$9)</f>
        <v>0</v>
      </c>
      <c r="CT64" s="7">
        <f ca="1">COUNTIFS($C$10:$C63,"&lt;"&amp;$C64,$M$10:$M63,$D64&amp;"_"&amp;CT$9)</f>
        <v>0</v>
      </c>
      <c r="CU64" s="18">
        <f ca="1">COUNTIFS($C$10:$C63,"&lt;"&amp;$C64,$M$10:$M63,$D64&amp;"_"&amp;CU$9)</f>
        <v>0</v>
      </c>
      <c r="CV64" s="7">
        <f ca="1">COUNTIFS($C$10:$C63,"&lt;"&amp;$C64,$M$10:$M63,$D64&amp;"_"&amp;CV$9)</f>
        <v>0</v>
      </c>
      <c r="CW64" s="7">
        <f ca="1">COUNTIFS($C$10:$C63,"&lt;"&amp;$C64,$M$10:$M63,$D64&amp;"_"&amp;CW$9)</f>
        <v>0</v>
      </c>
      <c r="CX64" s="7">
        <f ca="1">COUNTIFS($C$10:$C63,"&lt;"&amp;$C64,$M$10:$M63,$D64&amp;"_"&amp;CX$9)</f>
        <v>0</v>
      </c>
      <c r="CY64" s="221">
        <f ca="1">COUNTIFS($C$10:$C63,"&lt;"&amp;$C64,$M$10:$M63,$D64&amp;"_"&amp;CY$9)</f>
        <v>53</v>
      </c>
      <c r="DA64" s="20"/>
      <c r="DB64" s="308">
        <f ca="1">IF(CP64=0,0,SUMIFS($P$10:$P63, $C$10:$C63,"&lt;"&amp;$C64, $M$10:$M63,$D64&amp;"_"&amp;DB$9)/CP64)</f>
        <v>0</v>
      </c>
      <c r="DC64" s="263">
        <f ca="1">IF(CQ64=0,0,SUMIFS($P$10:$P63, $C$10:$C63,"&lt;"&amp;$C64, $M$10:$M63,$D64&amp;"_"&amp;DC$9)/CQ64)</f>
        <v>0</v>
      </c>
      <c r="DD64" s="263">
        <f ca="1">IF(CR64=0,0,SUMIFS($P$10:$P63, $C$10:$C63,"&lt;"&amp;$C64, $M$10:$M63,$D64&amp;"_"&amp;DD$9)/CR64)</f>
        <v>0</v>
      </c>
      <c r="DE64" s="262">
        <f ca="1">IF(CS64=0,0,SUMIFS($P$10:$P63, $C$10:$C63,"&lt;"&amp;$C64, $M$10:$M63,$D64&amp;"_"&amp;DE$9)/CS64)</f>
        <v>0</v>
      </c>
      <c r="DF64" s="263">
        <f ca="1">IF(CT64=0,0,SUMIFS($P$10:$P63, $C$10:$C63,"&lt;"&amp;$C64, $M$10:$M63,$D64&amp;"_"&amp;DF$9)/CT64)</f>
        <v>0</v>
      </c>
      <c r="DG64" s="310">
        <f ca="1">IF(CU64=0,0,SUMIFS($P$10:$P63, $C$10:$C63,"&lt;"&amp;$C64, $M$10:$M63,$D64&amp;"_"&amp;DG$9)/CU64)</f>
        <v>0</v>
      </c>
      <c r="DH64" s="263">
        <f ca="1">IF(CV64=0,0,SUMIFS($P$10:$P63, $C$10:$C63,"&lt;"&amp;$C64, $M$10:$M63,$D64&amp;"_"&amp;DH$9)/CV64)</f>
        <v>0</v>
      </c>
      <c r="DI64" s="263">
        <f ca="1">IF(CW64=0,0,SUMIFS($P$10:$P63, $C$10:$C63,"&lt;"&amp;$C64, $M$10:$M63,$D64&amp;"_"&amp;DI$9)/CW64)</f>
        <v>0</v>
      </c>
      <c r="DJ64" s="264">
        <f ca="1">IF(CX64=0,0,SUMIFS($P$10:$P63, $C$10:$C63,"&lt;"&amp;$C64, $M$10:$M63,$D64&amp;"_"&amp;DJ$9)/CX64)</f>
        <v>0</v>
      </c>
      <c r="DK64" s="264">
        <f ca="1">IF(CY64=0,0,SUMIFS($P$10:$P63, $C$10:$C63,"&lt;"&amp;$C64, $M$10:$M63,$D64&amp;"_"&amp;DK$9)/CY64)</f>
        <v>-1</v>
      </c>
      <c r="DM64" s="104"/>
      <c r="DN64" s="306">
        <f t="shared" ca="1" si="96"/>
        <v>-9999</v>
      </c>
      <c r="DO64" s="15">
        <f t="shared" ca="1" si="58"/>
        <v>-9999</v>
      </c>
      <c r="DP64" s="15">
        <f t="shared" ca="1" si="59"/>
        <v>-9999</v>
      </c>
      <c r="DQ64" s="15">
        <f t="shared" ca="1" si="60"/>
        <v>-9999</v>
      </c>
      <c r="DR64" s="15">
        <f t="shared" ca="1" si="61"/>
        <v>-9999</v>
      </c>
      <c r="DS64" s="15">
        <f t="shared" ca="1" si="62"/>
        <v>-9999</v>
      </c>
      <c r="DT64" s="15">
        <f t="shared" ca="1" si="63"/>
        <v>-9999</v>
      </c>
      <c r="DU64" s="15">
        <f t="shared" ca="1" si="64"/>
        <v>-9999</v>
      </c>
      <c r="DV64" s="52">
        <f t="shared" ca="1" si="65"/>
        <v>-9999</v>
      </c>
      <c r="DW64" s="313">
        <f t="shared" ca="1" si="66"/>
        <v>-0.86518315019850889</v>
      </c>
      <c r="DX64" s="52"/>
      <c r="DY64" s="402">
        <f t="shared" ca="1" si="97"/>
        <v>9</v>
      </c>
      <c r="ED64" s="19">
        <f t="shared" ca="1" si="129"/>
        <v>-1</v>
      </c>
      <c r="EE64" s="1">
        <f t="shared" ca="1" si="130"/>
        <v>1</v>
      </c>
      <c r="EF64" s="1">
        <f t="shared" ca="1" si="131"/>
        <v>-1</v>
      </c>
      <c r="EG64" s="2">
        <f t="shared" ca="1" si="132"/>
        <v>1</v>
      </c>
      <c r="EH64" s="1">
        <f t="shared" ca="1" si="133"/>
        <v>-1</v>
      </c>
      <c r="EI64" s="3">
        <f t="shared" ca="1" si="134"/>
        <v>1</v>
      </c>
      <c r="EJ64" s="1">
        <f t="shared" ca="1" si="135"/>
        <v>0</v>
      </c>
      <c r="EK64" s="1">
        <f t="shared" ca="1" si="136"/>
        <v>0</v>
      </c>
      <c r="EL64" s="20">
        <f t="shared" ca="1" si="137"/>
        <v>-1</v>
      </c>
      <c r="EN64" s="86">
        <f ca="1">MAX(0, SUMPRODUCT($ED64:$EL64,OFFSET(DNN!$E$9:$M$9,EN$9,0)) + OFFSET(DNN!$D$9,EN$9,0))</f>
        <v>0</v>
      </c>
      <c r="EO64" s="84">
        <f ca="1">MAX(0, SUMPRODUCT($ED64:$EL64,OFFSET(DNN!$E$9:$M$9,EO$9,0)) + OFFSET(DNN!$D$9,EO$9,0))</f>
        <v>7.2346022384755949E-3</v>
      </c>
      <c r="EP64" s="84">
        <f ca="1">MAX(0, SUMPRODUCT($ED64:$EL64,OFFSET(DNN!$E$9:$M$9,EP$9,0)) + OFFSET(DNN!$D$9,EP$9,0))</f>
        <v>3.6951849750035152E-3</v>
      </c>
      <c r="EQ64" s="84">
        <f ca="1">MAX(0, SUMPRODUCT($ED64:$EL64,OFFSET(DNN!$E$9:$M$9,EQ$9,0)) + OFFSET(DNN!$D$9,EQ$9,0))</f>
        <v>0</v>
      </c>
      <c r="ER64" s="85">
        <f ca="1">MAX(0, SUMPRODUCT($ED64:$EL64,OFFSET(DNN!$E$9:$M$9,ER$9,0)) + OFFSET(DNN!$D$9,ER$9,0))</f>
        <v>0</v>
      </c>
      <c r="ET64" s="86">
        <f ca="1">MAX(0, SUMPRODUCT($EN64:$ER64,OFFSET(DNN!$Q$9:$U$9,ET$9,0)) + OFFSET(DNN!$P$9,ET$9,0))</f>
        <v>4.3954959453478351E-4</v>
      </c>
      <c r="EU64" s="84">
        <f ca="1">MAX(0, SUMPRODUCT($EN64:$ER64,OFFSET(DNN!$Q$9:$U$9,EU$9,0)) + OFFSET(DNN!$P$9,EU$9,0))</f>
        <v>0</v>
      </c>
      <c r="EV64" s="84">
        <f ca="1">MAX(0, SUMPRODUCT($EN64:$ER64,OFFSET(DNN!$Q$9:$U$9,EV$9,0)) + OFFSET(DNN!$P$9,EV$9,0))</f>
        <v>1.2810123361902579E-3</v>
      </c>
      <c r="EW64" s="84">
        <f ca="1">MAX(0, SUMPRODUCT($EN64:$ER64,OFFSET(DNN!$Q$9:$U$9,EW$9,0)) + OFFSET(DNN!$P$9,EW$9,0))</f>
        <v>7.8382123007882457E-4</v>
      </c>
      <c r="EX64" s="85">
        <f ca="1">MAX(0, SUMPRODUCT($EN64:$ER64,OFFSET(DNN!$Q$9:$U$9,EX$9,0)) + OFFSET(DNN!$P$9,EX$9,0))</f>
        <v>0</v>
      </c>
      <c r="EZ64" s="111">
        <f ca="1">SUMPRODUCT($ET64:$EX64,OFFSET(DNN!$Y$9:$AC$9,EZ$9,0)) + OFFSET(DNN!$X$9,EZ$9,0)</f>
        <v>0.43031618918982212</v>
      </c>
      <c r="FA64" s="97">
        <f ca="1">SUMPRODUCT($ET64:$EX64,OFFSET(DNN!$Y$9:$AC$9,FA$9,0)) + OFFSET(DNN!$X$9,FA$9,0)</f>
        <v>-1.2643439935754107E-5</v>
      </c>
      <c r="FB64" s="97">
        <f ca="1">SUMPRODUCT($ET64:$EX64,OFFSET(DNN!$Y$9:$AC$9,FB$9,0)) + OFFSET(DNN!$X$9,FB$9,0)</f>
        <v>1.5239793458415756E-2</v>
      </c>
      <c r="FC64" s="97">
        <f ca="1">SUMPRODUCT($ET64:$EX64,OFFSET(DNN!$Y$9:$AC$9,FC$9,0)) + OFFSET(DNN!$X$9,FC$9,0)</f>
        <v>-8.8749521084055777E-4</v>
      </c>
      <c r="FD64" s="97">
        <f ca="1">SUMPRODUCT($ET64:$EX64,OFFSET(DNN!$Y$9:$AC$9,FD$9,0)) + OFFSET(DNN!$X$9,FD$9,0)</f>
        <v>-4.235816470721872E-4</v>
      </c>
      <c r="FE64" s="97">
        <f ca="1">SUMPRODUCT($ET64:$EX64,OFFSET(DNN!$Y$9:$AC$9,FE$9,0)) + OFFSET(DNN!$X$9,FE$9,0)</f>
        <v>-1.574182761064886E-5</v>
      </c>
      <c r="FF64" s="97">
        <f ca="1">SUMPRODUCT($ET64:$EX64,OFFSET(DNN!$Y$9:$AC$9,FF$9,0)) + OFFSET(DNN!$X$9,FF$9,0)</f>
        <v>-1.3491460223194656E-3</v>
      </c>
      <c r="FG64" s="97">
        <f ca="1">SUMPRODUCT($ET64:$EX64,OFFSET(DNN!$Y$9:$AC$9,FG$9,0)) + OFFSET(DNN!$X$9,FG$9,0)</f>
        <v>-6.2604808096248285E-2</v>
      </c>
      <c r="FH64" s="97">
        <f ca="1">SUMPRODUCT($ET64:$EX64,OFFSET(DNN!$Y$9:$AC$9,FH$9,0)) + OFFSET(DNN!$X$9,FH$9,0)</f>
        <v>8.6810016937029894E-4</v>
      </c>
      <c r="FI64" s="108">
        <f ca="1">SUMPRODUCT($ET64:$EX64,OFFSET(DNN!$Y$9:$AC$9,FI$9,0)) + OFFSET(DNN!$X$9,FI$9,0)</f>
        <v>-1.3182687612562751</v>
      </c>
      <c r="FJ64" s="98">
        <f ca="1">SUMPRODUCT($ET64:$EX64,OFFSET(DNN!$Y$9:$AC$9,FJ$9,0)) + OFFSET(DNN!$X$9,FJ$9,0)</f>
        <v>-2.2535161745939301E-5</v>
      </c>
      <c r="FL64" s="415">
        <f t="shared" ca="1" si="98"/>
        <v>0.43031618918982212</v>
      </c>
      <c r="FM64" s="130">
        <f t="shared" ca="1" si="99"/>
        <v>1</v>
      </c>
      <c r="FN64" s="131">
        <f t="shared" ca="1" si="100"/>
        <v>0.65029522127322903</v>
      </c>
      <c r="FO64" s="131">
        <f t="shared" ca="1" si="101"/>
        <v>0.66028983545318687</v>
      </c>
      <c r="FP64" s="131">
        <f t="shared" ca="1" si="102"/>
        <v>0.64972655813153501</v>
      </c>
      <c r="FQ64" s="131">
        <f t="shared" ca="1" si="103"/>
        <v>0.65002804502111444</v>
      </c>
      <c r="FR64" s="131">
        <f t="shared" ca="1" si="104"/>
        <v>0.65029320640965171</v>
      </c>
      <c r="FS64" s="131">
        <f t="shared" ca="1" si="105"/>
        <v>0.64942668056342145</v>
      </c>
      <c r="FT64" s="131">
        <f t="shared" ca="1" si="106"/>
        <v>0.61083952513994022</v>
      </c>
      <c r="FU64" s="132">
        <f t="shared" ca="1" si="107"/>
        <v>0.6508682169276182</v>
      </c>
      <c r="FV64" s="131">
        <f t="shared" ca="1" si="108"/>
        <v>0.17402001625314881</v>
      </c>
      <c r="FW64" s="83">
        <f t="shared" ca="1" si="109"/>
        <v>-2.2535161742124597E-5</v>
      </c>
    </row>
    <row r="65" spans="1:179">
      <c r="A65" s="19">
        <f t="shared" si="117"/>
        <v>55</v>
      </c>
      <c r="B65" s="1">
        <f t="shared" ca="1" si="111"/>
        <v>0</v>
      </c>
      <c r="C65" s="20">
        <f t="shared" ca="1" si="112"/>
        <v>55</v>
      </c>
      <c r="D65" s="19" t="str">
        <f t="shared" ca="1" si="113"/>
        <v>〇×〇×〇×--〇</v>
      </c>
      <c r="E65" s="7">
        <f t="shared" ca="1" si="77"/>
        <v>9</v>
      </c>
      <c r="F65" s="7">
        <f t="shared" ca="1" si="78"/>
        <v>1</v>
      </c>
      <c r="G65" s="1" t="str">
        <f t="shared" ca="1" si="139"/>
        <v>〇×〇×〇×--〇</v>
      </c>
      <c r="H65" s="20" t="b">
        <f t="shared" ca="1" si="140"/>
        <v>1</v>
      </c>
      <c r="I65" s="22">
        <f t="shared" ca="1" si="114"/>
        <v>-1</v>
      </c>
      <c r="J65" s="1" t="b">
        <f ca="1">(1&lt;COUNTIF(D$10:D65,D65))</f>
        <v>1</v>
      </c>
      <c r="K65" s="1" t="b">
        <f t="shared" ca="1" si="141"/>
        <v>1</v>
      </c>
      <c r="L65" s="7">
        <f ca="1">MATCH(TRUE,K65:K$1048576,FALSE)-1</f>
        <v>0</v>
      </c>
      <c r="M65" s="24" t="str">
        <f t="shared" ca="1" si="142"/>
        <v>〇×〇×〇×--〇_9</v>
      </c>
      <c r="N65" s="25">
        <f t="shared" ca="1" si="82"/>
        <v>-2.2535161742124597E-5</v>
      </c>
      <c r="O65" s="26">
        <f t="shared" ca="1" si="83"/>
        <v>-1</v>
      </c>
      <c r="P65" s="27">
        <f t="shared" ca="1" si="84"/>
        <v>-1</v>
      </c>
      <c r="R65" s="41" t="str">
        <f ca="1">VLOOKUP(S65,cvt!$B$2:$C$4,2,FALSE)&amp;VLOOKUP(T65,cvt!$B$2:$C$4,2,FALSE)&amp;VLOOKUP(U65,cvt!$B$2:$C$4,2,FALSE)
&amp;VLOOKUP(V65,cvt!$B$2:$C$4,2,FALSE)&amp;VLOOKUP(W65,cvt!$B$2:$C$4,2,FALSE)&amp;VLOOKUP(X65,cvt!$B$2:$C$4,2,FALSE)
&amp;VLOOKUP(Y65,cvt!$B$2:$C$4,2,FALSE)&amp;VLOOKUP(Z65,cvt!$B$2:$C$4,2,FALSE)&amp;VLOOKUP(AA65,cvt!$B$2:$C$4,2,FALSE)</f>
        <v>〇×〇×〇×--〇</v>
      </c>
      <c r="S65" s="7">
        <f ca="1">VLOOKUP(MID($D65,S$9+1,1), cvt!$A$2:$B$4,2, FALSE)</f>
        <v>1</v>
      </c>
      <c r="T65" s="7">
        <f ca="1">VLOOKUP(MID($D65,T$9+1,1), cvt!$A$2:$B$4,2, FALSE)</f>
        <v>-1</v>
      </c>
      <c r="U65" s="7">
        <f ca="1">VLOOKUP(MID($D65,U$9+1,1), cvt!$A$2:$B$4,2, FALSE)</f>
        <v>1</v>
      </c>
      <c r="V65" s="17">
        <f ca="1">VLOOKUP(MID($D65,V$9+1,1), cvt!$A$2:$B$4,2, FALSE)</f>
        <v>-1</v>
      </c>
      <c r="W65" s="7">
        <f ca="1">VLOOKUP(MID($D65,W$9+1,1), cvt!$A$2:$B$4,2, FALSE)</f>
        <v>1</v>
      </c>
      <c r="X65" s="18">
        <f ca="1">VLOOKUP(MID($D65,X$9+1,1), cvt!$A$2:$B$4,2, FALSE)</f>
        <v>-1</v>
      </c>
      <c r="Y65" s="7">
        <f ca="1">VLOOKUP(MID($D65,Y$9+1,1), cvt!$A$2:$B$4,2, FALSE)</f>
        <v>0</v>
      </c>
      <c r="Z65" s="7">
        <f ca="1">VLOOKUP(MID($D65,Z$9+1,1), cvt!$A$2:$B$4,2, FALSE)</f>
        <v>0</v>
      </c>
      <c r="AA65" s="42">
        <f ca="1">VLOOKUP(MID($D65,AA$9+1,1), cvt!$A$2:$B$4,2, FALSE)</f>
        <v>1</v>
      </c>
      <c r="AB65" s="7">
        <f t="shared" ca="1" si="85"/>
        <v>1</v>
      </c>
      <c r="AC65" s="50" t="b">
        <f t="shared" ca="1" si="86"/>
        <v>1</v>
      </c>
      <c r="AE65" s="19" t="str">
        <f ca="1">VLOOKUP(AF65,cvt!$B$2:$C$4,2,FALSE)&amp;VLOOKUP(AG65,cvt!$B$2:$C$4,2,FALSE)&amp;VLOOKUP(AH65,cvt!$B$2:$C$4,2,FALSE)
&amp;VLOOKUP(AI65,cvt!$B$2:$C$4,2,FALSE)&amp;VLOOKUP(AJ65,cvt!$B$2:$C$4,2,FALSE)&amp;VLOOKUP(AK65,cvt!$B$2:$C$4,2,FALSE)
&amp;VLOOKUP(AL65,cvt!$B$2:$C$4,2,FALSE)&amp;VLOOKUP(AM65,cvt!$B$2:$C$4,2,FALSE)&amp;VLOOKUP(AN65,cvt!$B$2:$C$4,2,FALSE)</f>
        <v>〇×〇×〇×--〇</v>
      </c>
      <c r="AF65" s="17">
        <f t="shared" ca="1" si="143"/>
        <v>1</v>
      </c>
      <c r="AG65" s="7">
        <f t="shared" ca="1" si="144"/>
        <v>-1</v>
      </c>
      <c r="AH65" s="7">
        <f t="shared" ca="1" si="145"/>
        <v>1</v>
      </c>
      <c r="AI65" s="17">
        <f t="shared" ca="1" si="146"/>
        <v>-1</v>
      </c>
      <c r="AJ65" s="7">
        <f t="shared" ca="1" si="147"/>
        <v>1</v>
      </c>
      <c r="AK65" s="18">
        <f t="shared" ca="1" si="148"/>
        <v>-1</v>
      </c>
      <c r="AL65" s="7">
        <f t="shared" ca="1" si="149"/>
        <v>0</v>
      </c>
      <c r="AM65" s="7">
        <f t="shared" ca="1" si="150"/>
        <v>0</v>
      </c>
      <c r="AN65" s="18">
        <f t="shared" ca="1" si="151"/>
        <v>1</v>
      </c>
      <c r="AO65" s="7">
        <f t="shared" ca="1" si="115"/>
        <v>1</v>
      </c>
      <c r="AP65" s="50" t="b">
        <f t="shared" ca="1" si="152"/>
        <v>1</v>
      </c>
      <c r="AS65" s="22">
        <f t="shared" ca="1" si="88"/>
        <v>0</v>
      </c>
      <c r="AT65" s="7">
        <f t="shared" ca="1" si="23"/>
        <v>0</v>
      </c>
      <c r="AU65" s="7">
        <f t="shared" ca="1" si="24"/>
        <v>0</v>
      </c>
      <c r="AV65" s="7">
        <f t="shared" ca="1" si="25"/>
        <v>0</v>
      </c>
      <c r="AW65" s="7">
        <f t="shared" ca="1" si="26"/>
        <v>0</v>
      </c>
      <c r="AX65" s="7">
        <f t="shared" ca="1" si="27"/>
        <v>0</v>
      </c>
      <c r="AY65" s="7">
        <f t="shared" ca="1" si="28"/>
        <v>0</v>
      </c>
      <c r="AZ65" s="7">
        <f t="shared" ca="1" si="29"/>
        <v>0</v>
      </c>
      <c r="BA65" s="18">
        <f t="shared" ca="1" si="30"/>
        <v>0</v>
      </c>
      <c r="BB65" s="295">
        <f t="shared" ca="1" si="89"/>
        <v>1</v>
      </c>
      <c r="BD65" s="132"/>
      <c r="BE65" s="297">
        <f t="shared" ca="1" si="90"/>
        <v>1</v>
      </c>
      <c r="BF65" s="298">
        <f t="shared" ca="1" si="31"/>
        <v>0.65029522127322903</v>
      </c>
      <c r="BG65" s="298">
        <f t="shared" ca="1" si="32"/>
        <v>0.66028983545318687</v>
      </c>
      <c r="BH65" s="318">
        <f t="shared" ca="1" si="33"/>
        <v>0.64972655813153501</v>
      </c>
      <c r="BI65" s="298">
        <f t="shared" ca="1" si="34"/>
        <v>0.65002804502111444</v>
      </c>
      <c r="BJ65" s="299">
        <f t="shared" ca="1" si="35"/>
        <v>0.65029320640965171</v>
      </c>
      <c r="BK65" s="298">
        <f t="shared" ca="1" si="36"/>
        <v>0.64942668056342145</v>
      </c>
      <c r="BL65" s="298">
        <f t="shared" ca="1" si="37"/>
        <v>0.61083952513994022</v>
      </c>
      <c r="BM65" s="299">
        <f t="shared" ca="1" si="38"/>
        <v>0.6508682169276182</v>
      </c>
      <c r="BN65" s="295">
        <f t="shared" ca="1" si="39"/>
        <v>0.17402001625314881</v>
      </c>
      <c r="BO65" s="248">
        <f t="shared" ca="1" si="91"/>
        <v>-2.2535161742124597E-5</v>
      </c>
      <c r="BQ65" s="304">
        <f t="shared" ca="1" si="92"/>
        <v>0.42412001625314877</v>
      </c>
      <c r="BR65" s="297">
        <f t="shared" ca="1" si="93"/>
        <v>0</v>
      </c>
      <c r="BS65" s="298">
        <f t="shared" ca="1" si="40"/>
        <v>0</v>
      </c>
      <c r="BT65" s="298">
        <f t="shared" ca="1" si="41"/>
        <v>0</v>
      </c>
      <c r="BU65" s="318">
        <f t="shared" ca="1" si="42"/>
        <v>0</v>
      </c>
      <c r="BV65" s="298">
        <f t="shared" ca="1" si="43"/>
        <v>0</v>
      </c>
      <c r="BW65" s="299">
        <f t="shared" ca="1" si="44"/>
        <v>0</v>
      </c>
      <c r="BX65" s="298">
        <f t="shared" ca="1" si="45"/>
        <v>0</v>
      </c>
      <c r="BY65" s="298">
        <f t="shared" ca="1" si="46"/>
        <v>0</v>
      </c>
      <c r="BZ65" s="298">
        <f t="shared" ca="1" si="47"/>
        <v>0</v>
      </c>
      <c r="CA65" s="315">
        <f t="shared" ca="1" si="48"/>
        <v>0.42412001625314877</v>
      </c>
      <c r="CC65" s="52"/>
      <c r="CD65" s="306">
        <f t="shared" ca="1" si="94"/>
        <v>0</v>
      </c>
      <c r="CE65" s="15">
        <f t="shared" ca="1" si="49"/>
        <v>0</v>
      </c>
      <c r="CF65" s="15">
        <f t="shared" ca="1" si="50"/>
        <v>0</v>
      </c>
      <c r="CG65" s="286">
        <f t="shared" ca="1" si="51"/>
        <v>0</v>
      </c>
      <c r="CH65" s="15">
        <f t="shared" ca="1" si="52"/>
        <v>0</v>
      </c>
      <c r="CI65" s="288">
        <f t="shared" ca="1" si="53"/>
        <v>0</v>
      </c>
      <c r="CJ65" s="15">
        <f t="shared" ca="1" si="54"/>
        <v>0</v>
      </c>
      <c r="CK65" s="15">
        <f t="shared" ca="1" si="55"/>
        <v>0</v>
      </c>
      <c r="CL65" s="15">
        <f t="shared" ca="1" si="56"/>
        <v>0</v>
      </c>
      <c r="CM65" s="313">
        <f t="shared" ca="1" si="57"/>
        <v>1</v>
      </c>
      <c r="CO65" s="320">
        <f t="shared" ca="1" si="95"/>
        <v>54</v>
      </c>
      <c r="CP65" s="22">
        <f ca="1">COUNTIFS($C$10:$C64,"&lt;"&amp;$C65,$M$10:$M64,$D65&amp;"_"&amp;CP$9)</f>
        <v>0</v>
      </c>
      <c r="CQ65" s="7">
        <f ca="1">COUNTIFS($C$10:$C64,"&lt;"&amp;$C65,$M$10:$M64,$D65&amp;"_"&amp;CQ$9)</f>
        <v>0</v>
      </c>
      <c r="CR65" s="7">
        <f ca="1">COUNTIFS($C$10:$C64,"&lt;"&amp;$C65,$M$10:$M64,$D65&amp;"_"&amp;CR$9)</f>
        <v>0</v>
      </c>
      <c r="CS65" s="17">
        <f ca="1">COUNTIFS($C$10:$C64,"&lt;"&amp;$C65,$M$10:$M64,$D65&amp;"_"&amp;CS$9)</f>
        <v>0</v>
      </c>
      <c r="CT65" s="7">
        <f ca="1">COUNTIFS($C$10:$C64,"&lt;"&amp;$C65,$M$10:$M64,$D65&amp;"_"&amp;CT$9)</f>
        <v>0</v>
      </c>
      <c r="CU65" s="18">
        <f ca="1">COUNTIFS($C$10:$C64,"&lt;"&amp;$C65,$M$10:$M64,$D65&amp;"_"&amp;CU$9)</f>
        <v>0</v>
      </c>
      <c r="CV65" s="7">
        <f ca="1">COUNTIFS($C$10:$C64,"&lt;"&amp;$C65,$M$10:$M64,$D65&amp;"_"&amp;CV$9)</f>
        <v>0</v>
      </c>
      <c r="CW65" s="7">
        <f ca="1">COUNTIFS($C$10:$C64,"&lt;"&amp;$C65,$M$10:$M64,$D65&amp;"_"&amp;CW$9)</f>
        <v>0</v>
      </c>
      <c r="CX65" s="7">
        <f ca="1">COUNTIFS($C$10:$C64,"&lt;"&amp;$C65,$M$10:$M64,$D65&amp;"_"&amp;CX$9)</f>
        <v>0</v>
      </c>
      <c r="CY65" s="221">
        <f ca="1">COUNTIFS($C$10:$C64,"&lt;"&amp;$C65,$M$10:$M64,$D65&amp;"_"&amp;CY$9)</f>
        <v>54</v>
      </c>
      <c r="DA65" s="20"/>
      <c r="DB65" s="308">
        <f ca="1">IF(CP65=0,0,SUMIFS($P$10:$P64, $C$10:$C64,"&lt;"&amp;$C65, $M$10:$M64,$D65&amp;"_"&amp;DB$9)/CP65)</f>
        <v>0</v>
      </c>
      <c r="DC65" s="263">
        <f ca="1">IF(CQ65=0,0,SUMIFS($P$10:$P64, $C$10:$C64,"&lt;"&amp;$C65, $M$10:$M64,$D65&amp;"_"&amp;DC$9)/CQ65)</f>
        <v>0</v>
      </c>
      <c r="DD65" s="263">
        <f ca="1">IF(CR65=0,0,SUMIFS($P$10:$P64, $C$10:$C64,"&lt;"&amp;$C65, $M$10:$M64,$D65&amp;"_"&amp;DD$9)/CR65)</f>
        <v>0</v>
      </c>
      <c r="DE65" s="262">
        <f ca="1">IF(CS65=0,0,SUMIFS($P$10:$P64, $C$10:$C64,"&lt;"&amp;$C65, $M$10:$M64,$D65&amp;"_"&amp;DE$9)/CS65)</f>
        <v>0</v>
      </c>
      <c r="DF65" s="263">
        <f ca="1">IF(CT65=0,0,SUMIFS($P$10:$P64, $C$10:$C64,"&lt;"&amp;$C65, $M$10:$M64,$D65&amp;"_"&amp;DF$9)/CT65)</f>
        <v>0</v>
      </c>
      <c r="DG65" s="310">
        <f ca="1">IF(CU65=0,0,SUMIFS($P$10:$P64, $C$10:$C64,"&lt;"&amp;$C65, $M$10:$M64,$D65&amp;"_"&amp;DG$9)/CU65)</f>
        <v>0</v>
      </c>
      <c r="DH65" s="263">
        <f ca="1">IF(CV65=0,0,SUMIFS($P$10:$P64, $C$10:$C64,"&lt;"&amp;$C65, $M$10:$M64,$D65&amp;"_"&amp;DH$9)/CV65)</f>
        <v>0</v>
      </c>
      <c r="DI65" s="263">
        <f ca="1">IF(CW65=0,0,SUMIFS($P$10:$P64, $C$10:$C64,"&lt;"&amp;$C65, $M$10:$M64,$D65&amp;"_"&amp;DI$9)/CW65)</f>
        <v>0</v>
      </c>
      <c r="DJ65" s="264">
        <f ca="1">IF(CX65=0,0,SUMIFS($P$10:$P64, $C$10:$C64,"&lt;"&amp;$C65, $M$10:$M64,$D65&amp;"_"&amp;DJ$9)/CX65)</f>
        <v>0</v>
      </c>
      <c r="DK65" s="264">
        <f ca="1">IF(CY65=0,0,SUMIFS($P$10:$P64, $C$10:$C64,"&lt;"&amp;$C65, $M$10:$M64,$D65&amp;"_"&amp;DK$9)/CY65)</f>
        <v>-1</v>
      </c>
      <c r="DM65" s="104"/>
      <c r="DN65" s="306">
        <f t="shared" ca="1" si="96"/>
        <v>-9999</v>
      </c>
      <c r="DO65" s="15">
        <f t="shared" ca="1" si="58"/>
        <v>-9999</v>
      </c>
      <c r="DP65" s="15">
        <f t="shared" ca="1" si="59"/>
        <v>-9999</v>
      </c>
      <c r="DQ65" s="15">
        <f t="shared" ca="1" si="60"/>
        <v>-9999</v>
      </c>
      <c r="DR65" s="15">
        <f t="shared" ca="1" si="61"/>
        <v>-9999</v>
      </c>
      <c r="DS65" s="15">
        <f t="shared" ca="1" si="62"/>
        <v>-9999</v>
      </c>
      <c r="DT65" s="15">
        <f t="shared" ca="1" si="63"/>
        <v>-9999</v>
      </c>
      <c r="DU65" s="15">
        <f t="shared" ca="1" si="64"/>
        <v>-9999</v>
      </c>
      <c r="DV65" s="52">
        <f t="shared" ca="1" si="65"/>
        <v>-9999</v>
      </c>
      <c r="DW65" s="313">
        <f t="shared" ca="1" si="66"/>
        <v>-0.86639146857546301</v>
      </c>
      <c r="DX65" s="52"/>
      <c r="DY65" s="402">
        <f t="shared" ca="1" si="97"/>
        <v>9</v>
      </c>
      <c r="ED65" s="19">
        <f t="shared" ca="1" si="129"/>
        <v>-1</v>
      </c>
      <c r="EE65" s="1">
        <f t="shared" ca="1" si="130"/>
        <v>1</v>
      </c>
      <c r="EF65" s="1">
        <f t="shared" ca="1" si="131"/>
        <v>-1</v>
      </c>
      <c r="EG65" s="2">
        <f t="shared" ca="1" si="132"/>
        <v>1</v>
      </c>
      <c r="EH65" s="1">
        <f t="shared" ca="1" si="133"/>
        <v>-1</v>
      </c>
      <c r="EI65" s="3">
        <f t="shared" ca="1" si="134"/>
        <v>1</v>
      </c>
      <c r="EJ65" s="1">
        <f t="shared" ca="1" si="135"/>
        <v>0</v>
      </c>
      <c r="EK65" s="1">
        <f t="shared" ca="1" si="136"/>
        <v>0</v>
      </c>
      <c r="EL65" s="20">
        <f t="shared" ca="1" si="137"/>
        <v>-1</v>
      </c>
      <c r="EN65" s="86">
        <f ca="1">MAX(0, SUMPRODUCT($ED65:$EL65,OFFSET(DNN!$E$9:$M$9,EN$9,0)) + OFFSET(DNN!$D$9,EN$9,0))</f>
        <v>0</v>
      </c>
      <c r="EO65" s="84">
        <f ca="1">MAX(0, SUMPRODUCT($ED65:$EL65,OFFSET(DNN!$E$9:$M$9,EO$9,0)) + OFFSET(DNN!$D$9,EO$9,0))</f>
        <v>7.2346022384755949E-3</v>
      </c>
      <c r="EP65" s="84">
        <f ca="1">MAX(0, SUMPRODUCT($ED65:$EL65,OFFSET(DNN!$E$9:$M$9,EP$9,0)) + OFFSET(DNN!$D$9,EP$9,0))</f>
        <v>3.6951849750035152E-3</v>
      </c>
      <c r="EQ65" s="84">
        <f ca="1">MAX(0, SUMPRODUCT($ED65:$EL65,OFFSET(DNN!$E$9:$M$9,EQ$9,0)) + OFFSET(DNN!$D$9,EQ$9,0))</f>
        <v>0</v>
      </c>
      <c r="ER65" s="85">
        <f ca="1">MAX(0, SUMPRODUCT($ED65:$EL65,OFFSET(DNN!$E$9:$M$9,ER$9,0)) + OFFSET(DNN!$D$9,ER$9,0))</f>
        <v>0</v>
      </c>
      <c r="ET65" s="86">
        <f ca="1">MAX(0, SUMPRODUCT($EN65:$ER65,OFFSET(DNN!$Q$9:$U$9,ET$9,0)) + OFFSET(DNN!$P$9,ET$9,0))</f>
        <v>4.3954959453478351E-4</v>
      </c>
      <c r="EU65" s="84">
        <f ca="1">MAX(0, SUMPRODUCT($EN65:$ER65,OFFSET(DNN!$Q$9:$U$9,EU$9,0)) + OFFSET(DNN!$P$9,EU$9,0))</f>
        <v>0</v>
      </c>
      <c r="EV65" s="84">
        <f ca="1">MAX(0, SUMPRODUCT($EN65:$ER65,OFFSET(DNN!$Q$9:$U$9,EV$9,0)) + OFFSET(DNN!$P$9,EV$9,0))</f>
        <v>1.2810123361902579E-3</v>
      </c>
      <c r="EW65" s="84">
        <f ca="1">MAX(0, SUMPRODUCT($EN65:$ER65,OFFSET(DNN!$Q$9:$U$9,EW$9,0)) + OFFSET(DNN!$P$9,EW$9,0))</f>
        <v>7.8382123007882457E-4</v>
      </c>
      <c r="EX65" s="85">
        <f ca="1">MAX(0, SUMPRODUCT($EN65:$ER65,OFFSET(DNN!$Q$9:$U$9,EX$9,0)) + OFFSET(DNN!$P$9,EX$9,0))</f>
        <v>0</v>
      </c>
      <c r="EZ65" s="111">
        <f ca="1">SUMPRODUCT($ET65:$EX65,OFFSET(DNN!$Y$9:$AC$9,EZ$9,0)) + OFFSET(DNN!$X$9,EZ$9,0)</f>
        <v>0.43031618918982212</v>
      </c>
      <c r="FA65" s="97">
        <f ca="1">SUMPRODUCT($ET65:$EX65,OFFSET(DNN!$Y$9:$AC$9,FA$9,0)) + OFFSET(DNN!$X$9,FA$9,0)</f>
        <v>-1.2643439935754107E-5</v>
      </c>
      <c r="FB65" s="97">
        <f ca="1">SUMPRODUCT($ET65:$EX65,OFFSET(DNN!$Y$9:$AC$9,FB$9,0)) + OFFSET(DNN!$X$9,FB$9,0)</f>
        <v>1.5239793458415756E-2</v>
      </c>
      <c r="FC65" s="97">
        <f ca="1">SUMPRODUCT($ET65:$EX65,OFFSET(DNN!$Y$9:$AC$9,FC$9,0)) + OFFSET(DNN!$X$9,FC$9,0)</f>
        <v>-8.8749521084055777E-4</v>
      </c>
      <c r="FD65" s="97">
        <f ca="1">SUMPRODUCT($ET65:$EX65,OFFSET(DNN!$Y$9:$AC$9,FD$9,0)) + OFFSET(DNN!$X$9,FD$9,0)</f>
        <v>-4.235816470721872E-4</v>
      </c>
      <c r="FE65" s="97">
        <f ca="1">SUMPRODUCT($ET65:$EX65,OFFSET(DNN!$Y$9:$AC$9,FE$9,0)) + OFFSET(DNN!$X$9,FE$9,0)</f>
        <v>-1.574182761064886E-5</v>
      </c>
      <c r="FF65" s="97">
        <f ca="1">SUMPRODUCT($ET65:$EX65,OFFSET(DNN!$Y$9:$AC$9,FF$9,0)) + OFFSET(DNN!$X$9,FF$9,0)</f>
        <v>-1.3491460223194656E-3</v>
      </c>
      <c r="FG65" s="97">
        <f ca="1">SUMPRODUCT($ET65:$EX65,OFFSET(DNN!$Y$9:$AC$9,FG$9,0)) + OFFSET(DNN!$X$9,FG$9,0)</f>
        <v>-6.2604808096248285E-2</v>
      </c>
      <c r="FH65" s="97">
        <f ca="1">SUMPRODUCT($ET65:$EX65,OFFSET(DNN!$Y$9:$AC$9,FH$9,0)) + OFFSET(DNN!$X$9,FH$9,0)</f>
        <v>8.6810016937029894E-4</v>
      </c>
      <c r="FI65" s="108">
        <f ca="1">SUMPRODUCT($ET65:$EX65,OFFSET(DNN!$Y$9:$AC$9,FI$9,0)) + OFFSET(DNN!$X$9,FI$9,0)</f>
        <v>-1.3182687612562751</v>
      </c>
      <c r="FJ65" s="98">
        <f ca="1">SUMPRODUCT($ET65:$EX65,OFFSET(DNN!$Y$9:$AC$9,FJ$9,0)) + OFFSET(DNN!$X$9,FJ$9,0)</f>
        <v>-2.2535161745939301E-5</v>
      </c>
      <c r="FL65" s="415">
        <f t="shared" ca="1" si="98"/>
        <v>0.43031618918982212</v>
      </c>
      <c r="FM65" s="130">
        <f t="shared" ca="1" si="99"/>
        <v>1</v>
      </c>
      <c r="FN65" s="131">
        <f t="shared" ca="1" si="100"/>
        <v>0.65029522127322903</v>
      </c>
      <c r="FO65" s="131">
        <f t="shared" ca="1" si="101"/>
        <v>0.66028983545318687</v>
      </c>
      <c r="FP65" s="131">
        <f t="shared" ca="1" si="102"/>
        <v>0.64972655813153501</v>
      </c>
      <c r="FQ65" s="131">
        <f t="shared" ca="1" si="103"/>
        <v>0.65002804502111444</v>
      </c>
      <c r="FR65" s="131">
        <f t="shared" ca="1" si="104"/>
        <v>0.65029320640965171</v>
      </c>
      <c r="FS65" s="131">
        <f t="shared" ca="1" si="105"/>
        <v>0.64942668056342145</v>
      </c>
      <c r="FT65" s="131">
        <f t="shared" ca="1" si="106"/>
        <v>0.61083952513994022</v>
      </c>
      <c r="FU65" s="132">
        <f t="shared" ca="1" si="107"/>
        <v>0.6508682169276182</v>
      </c>
      <c r="FV65" s="131">
        <f t="shared" ca="1" si="108"/>
        <v>0.17402001625314881</v>
      </c>
      <c r="FW65" s="83">
        <f t="shared" ca="1" si="109"/>
        <v>-2.2535161742124597E-5</v>
      </c>
    </row>
    <row r="66" spans="1:179">
      <c r="A66" s="19">
        <f t="shared" si="117"/>
        <v>56</v>
      </c>
      <c r="B66" s="1">
        <f t="shared" ca="1" si="111"/>
        <v>0</v>
      </c>
      <c r="C66" s="20">
        <f t="shared" ca="1" si="112"/>
        <v>56</v>
      </c>
      <c r="D66" s="19" t="str">
        <f t="shared" ca="1" si="113"/>
        <v>〇×〇×〇×--〇</v>
      </c>
      <c r="E66" s="7">
        <f t="shared" ca="1" si="77"/>
        <v>9</v>
      </c>
      <c r="F66" s="7">
        <f t="shared" ca="1" si="78"/>
        <v>1</v>
      </c>
      <c r="G66" s="1" t="str">
        <f t="shared" ca="1" si="139"/>
        <v>〇×〇×〇×--〇</v>
      </c>
      <c r="H66" s="20" t="b">
        <f t="shared" ca="1" si="140"/>
        <v>1</v>
      </c>
      <c r="I66" s="22">
        <f t="shared" ca="1" si="114"/>
        <v>-1</v>
      </c>
      <c r="J66" s="1" t="b">
        <f ca="1">(1&lt;COUNTIF(D$10:D66,D66))</f>
        <v>1</v>
      </c>
      <c r="K66" s="1" t="b">
        <f t="shared" ca="1" si="141"/>
        <v>1</v>
      </c>
      <c r="L66" s="7">
        <f ca="1">MATCH(TRUE,K66:K$1048576,FALSE)-1</f>
        <v>0</v>
      </c>
      <c r="M66" s="24" t="str">
        <f t="shared" ca="1" si="142"/>
        <v>〇×〇×〇×--〇_9</v>
      </c>
      <c r="N66" s="25">
        <f t="shared" ca="1" si="82"/>
        <v>-2.2535161742124597E-5</v>
      </c>
      <c r="O66" s="26">
        <f t="shared" ca="1" si="83"/>
        <v>-1</v>
      </c>
      <c r="P66" s="27">
        <f t="shared" ca="1" si="84"/>
        <v>-1</v>
      </c>
      <c r="R66" s="41" t="str">
        <f ca="1">VLOOKUP(S66,cvt!$B$2:$C$4,2,FALSE)&amp;VLOOKUP(T66,cvt!$B$2:$C$4,2,FALSE)&amp;VLOOKUP(U66,cvt!$B$2:$C$4,2,FALSE)
&amp;VLOOKUP(V66,cvt!$B$2:$C$4,2,FALSE)&amp;VLOOKUP(W66,cvt!$B$2:$C$4,2,FALSE)&amp;VLOOKUP(X66,cvt!$B$2:$C$4,2,FALSE)
&amp;VLOOKUP(Y66,cvt!$B$2:$C$4,2,FALSE)&amp;VLOOKUP(Z66,cvt!$B$2:$C$4,2,FALSE)&amp;VLOOKUP(AA66,cvt!$B$2:$C$4,2,FALSE)</f>
        <v>〇×〇×〇×--〇</v>
      </c>
      <c r="S66" s="7">
        <f ca="1">VLOOKUP(MID($D66,S$9+1,1), cvt!$A$2:$B$4,2, FALSE)</f>
        <v>1</v>
      </c>
      <c r="T66" s="7">
        <f ca="1">VLOOKUP(MID($D66,T$9+1,1), cvt!$A$2:$B$4,2, FALSE)</f>
        <v>-1</v>
      </c>
      <c r="U66" s="7">
        <f ca="1">VLOOKUP(MID($D66,U$9+1,1), cvt!$A$2:$B$4,2, FALSE)</f>
        <v>1</v>
      </c>
      <c r="V66" s="17">
        <f ca="1">VLOOKUP(MID($D66,V$9+1,1), cvt!$A$2:$B$4,2, FALSE)</f>
        <v>-1</v>
      </c>
      <c r="W66" s="7">
        <f ca="1">VLOOKUP(MID($D66,W$9+1,1), cvt!$A$2:$B$4,2, FALSE)</f>
        <v>1</v>
      </c>
      <c r="X66" s="18">
        <f ca="1">VLOOKUP(MID($D66,X$9+1,1), cvt!$A$2:$B$4,2, FALSE)</f>
        <v>-1</v>
      </c>
      <c r="Y66" s="7">
        <f ca="1">VLOOKUP(MID($D66,Y$9+1,1), cvt!$A$2:$B$4,2, FALSE)</f>
        <v>0</v>
      </c>
      <c r="Z66" s="7">
        <f ca="1">VLOOKUP(MID($D66,Z$9+1,1), cvt!$A$2:$B$4,2, FALSE)</f>
        <v>0</v>
      </c>
      <c r="AA66" s="42">
        <f ca="1">VLOOKUP(MID($D66,AA$9+1,1), cvt!$A$2:$B$4,2, FALSE)</f>
        <v>1</v>
      </c>
      <c r="AB66" s="7">
        <f t="shared" ca="1" si="85"/>
        <v>1</v>
      </c>
      <c r="AC66" s="50" t="b">
        <f t="shared" ca="1" si="86"/>
        <v>1</v>
      </c>
      <c r="AE66" s="19" t="str">
        <f ca="1">VLOOKUP(AF66,cvt!$B$2:$C$4,2,FALSE)&amp;VLOOKUP(AG66,cvt!$B$2:$C$4,2,FALSE)&amp;VLOOKUP(AH66,cvt!$B$2:$C$4,2,FALSE)
&amp;VLOOKUP(AI66,cvt!$B$2:$C$4,2,FALSE)&amp;VLOOKUP(AJ66,cvt!$B$2:$C$4,2,FALSE)&amp;VLOOKUP(AK66,cvt!$B$2:$C$4,2,FALSE)
&amp;VLOOKUP(AL66,cvt!$B$2:$C$4,2,FALSE)&amp;VLOOKUP(AM66,cvt!$B$2:$C$4,2,FALSE)&amp;VLOOKUP(AN66,cvt!$B$2:$C$4,2,FALSE)</f>
        <v>〇×〇×〇×--〇</v>
      </c>
      <c r="AF66" s="17">
        <f t="shared" ca="1" si="143"/>
        <v>1</v>
      </c>
      <c r="AG66" s="7">
        <f t="shared" ca="1" si="144"/>
        <v>-1</v>
      </c>
      <c r="AH66" s="7">
        <f t="shared" ca="1" si="145"/>
        <v>1</v>
      </c>
      <c r="AI66" s="17">
        <f t="shared" ca="1" si="146"/>
        <v>-1</v>
      </c>
      <c r="AJ66" s="7">
        <f t="shared" ca="1" si="147"/>
        <v>1</v>
      </c>
      <c r="AK66" s="18">
        <f t="shared" ca="1" si="148"/>
        <v>-1</v>
      </c>
      <c r="AL66" s="7">
        <f t="shared" ca="1" si="149"/>
        <v>0</v>
      </c>
      <c r="AM66" s="7">
        <f t="shared" ca="1" si="150"/>
        <v>0</v>
      </c>
      <c r="AN66" s="18">
        <f t="shared" ca="1" si="151"/>
        <v>1</v>
      </c>
      <c r="AO66" s="7">
        <f t="shared" ca="1" si="115"/>
        <v>1</v>
      </c>
      <c r="AP66" s="50" t="b">
        <f t="shared" ca="1" si="152"/>
        <v>1</v>
      </c>
      <c r="AS66" s="22">
        <f t="shared" ca="1" si="88"/>
        <v>0</v>
      </c>
      <c r="AT66" s="7">
        <f t="shared" ca="1" si="23"/>
        <v>0</v>
      </c>
      <c r="AU66" s="7">
        <f t="shared" ca="1" si="24"/>
        <v>0</v>
      </c>
      <c r="AV66" s="7">
        <f t="shared" ca="1" si="25"/>
        <v>0</v>
      </c>
      <c r="AW66" s="7">
        <f t="shared" ca="1" si="26"/>
        <v>0</v>
      </c>
      <c r="AX66" s="7">
        <f t="shared" ca="1" si="27"/>
        <v>0</v>
      </c>
      <c r="AY66" s="7">
        <f t="shared" ca="1" si="28"/>
        <v>0</v>
      </c>
      <c r="AZ66" s="7">
        <f t="shared" ca="1" si="29"/>
        <v>0</v>
      </c>
      <c r="BA66" s="18">
        <f t="shared" ca="1" si="30"/>
        <v>0</v>
      </c>
      <c r="BB66" s="295">
        <f t="shared" ca="1" si="89"/>
        <v>1</v>
      </c>
      <c r="BD66" s="132"/>
      <c r="BE66" s="297">
        <f t="shared" ca="1" si="90"/>
        <v>1</v>
      </c>
      <c r="BF66" s="298">
        <f t="shared" ca="1" si="31"/>
        <v>0.65029522127322903</v>
      </c>
      <c r="BG66" s="298">
        <f t="shared" ca="1" si="32"/>
        <v>0.66028983545318687</v>
      </c>
      <c r="BH66" s="318">
        <f t="shared" ca="1" si="33"/>
        <v>0.64972655813153501</v>
      </c>
      <c r="BI66" s="298">
        <f t="shared" ca="1" si="34"/>
        <v>0.65002804502111444</v>
      </c>
      <c r="BJ66" s="299">
        <f t="shared" ca="1" si="35"/>
        <v>0.65029320640965171</v>
      </c>
      <c r="BK66" s="298">
        <f t="shared" ca="1" si="36"/>
        <v>0.64942668056342145</v>
      </c>
      <c r="BL66" s="298">
        <f t="shared" ca="1" si="37"/>
        <v>0.61083952513994022</v>
      </c>
      <c r="BM66" s="299">
        <f t="shared" ca="1" si="38"/>
        <v>0.6508682169276182</v>
      </c>
      <c r="BN66" s="295">
        <f t="shared" ca="1" si="39"/>
        <v>0.17402001625314881</v>
      </c>
      <c r="BO66" s="248">
        <f t="shared" ca="1" si="91"/>
        <v>-2.2535161742124597E-5</v>
      </c>
      <c r="BQ66" s="304">
        <f t="shared" ca="1" si="92"/>
        <v>0.42412001625314877</v>
      </c>
      <c r="BR66" s="297">
        <f t="shared" ca="1" si="93"/>
        <v>0</v>
      </c>
      <c r="BS66" s="298">
        <f t="shared" ca="1" si="40"/>
        <v>0</v>
      </c>
      <c r="BT66" s="298">
        <f t="shared" ca="1" si="41"/>
        <v>0</v>
      </c>
      <c r="BU66" s="318">
        <f t="shared" ca="1" si="42"/>
        <v>0</v>
      </c>
      <c r="BV66" s="298">
        <f t="shared" ca="1" si="43"/>
        <v>0</v>
      </c>
      <c r="BW66" s="299">
        <f t="shared" ca="1" si="44"/>
        <v>0</v>
      </c>
      <c r="BX66" s="298">
        <f t="shared" ca="1" si="45"/>
        <v>0</v>
      </c>
      <c r="BY66" s="298">
        <f t="shared" ca="1" si="46"/>
        <v>0</v>
      </c>
      <c r="BZ66" s="298">
        <f t="shared" ca="1" si="47"/>
        <v>0</v>
      </c>
      <c r="CA66" s="315">
        <f t="shared" ca="1" si="48"/>
        <v>0.42412001625314877</v>
      </c>
      <c r="CC66" s="52"/>
      <c r="CD66" s="306">
        <f t="shared" ca="1" si="94"/>
        <v>0</v>
      </c>
      <c r="CE66" s="15">
        <f t="shared" ca="1" si="49"/>
        <v>0</v>
      </c>
      <c r="CF66" s="15">
        <f t="shared" ca="1" si="50"/>
        <v>0</v>
      </c>
      <c r="CG66" s="286">
        <f t="shared" ca="1" si="51"/>
        <v>0</v>
      </c>
      <c r="CH66" s="15">
        <f t="shared" ca="1" si="52"/>
        <v>0</v>
      </c>
      <c r="CI66" s="288">
        <f t="shared" ca="1" si="53"/>
        <v>0</v>
      </c>
      <c r="CJ66" s="15">
        <f t="shared" ca="1" si="54"/>
        <v>0</v>
      </c>
      <c r="CK66" s="15">
        <f t="shared" ca="1" si="55"/>
        <v>0</v>
      </c>
      <c r="CL66" s="15">
        <f t="shared" ca="1" si="56"/>
        <v>0</v>
      </c>
      <c r="CM66" s="313">
        <f t="shared" ca="1" si="57"/>
        <v>1</v>
      </c>
      <c r="CO66" s="320">
        <f t="shared" ca="1" si="95"/>
        <v>55</v>
      </c>
      <c r="CP66" s="22">
        <f ca="1">COUNTIFS($C$10:$C65,"&lt;"&amp;$C66,$M$10:$M65,$D66&amp;"_"&amp;CP$9)</f>
        <v>0</v>
      </c>
      <c r="CQ66" s="7">
        <f ca="1">COUNTIFS($C$10:$C65,"&lt;"&amp;$C66,$M$10:$M65,$D66&amp;"_"&amp;CQ$9)</f>
        <v>0</v>
      </c>
      <c r="CR66" s="7">
        <f ca="1">COUNTIFS($C$10:$C65,"&lt;"&amp;$C66,$M$10:$M65,$D66&amp;"_"&amp;CR$9)</f>
        <v>0</v>
      </c>
      <c r="CS66" s="17">
        <f ca="1">COUNTIFS($C$10:$C65,"&lt;"&amp;$C66,$M$10:$M65,$D66&amp;"_"&amp;CS$9)</f>
        <v>0</v>
      </c>
      <c r="CT66" s="7">
        <f ca="1">COUNTIFS($C$10:$C65,"&lt;"&amp;$C66,$M$10:$M65,$D66&amp;"_"&amp;CT$9)</f>
        <v>0</v>
      </c>
      <c r="CU66" s="18">
        <f ca="1">COUNTIFS($C$10:$C65,"&lt;"&amp;$C66,$M$10:$M65,$D66&amp;"_"&amp;CU$9)</f>
        <v>0</v>
      </c>
      <c r="CV66" s="7">
        <f ca="1">COUNTIFS($C$10:$C65,"&lt;"&amp;$C66,$M$10:$M65,$D66&amp;"_"&amp;CV$9)</f>
        <v>0</v>
      </c>
      <c r="CW66" s="7">
        <f ca="1">COUNTIFS($C$10:$C65,"&lt;"&amp;$C66,$M$10:$M65,$D66&amp;"_"&amp;CW$9)</f>
        <v>0</v>
      </c>
      <c r="CX66" s="7">
        <f ca="1">COUNTIFS($C$10:$C65,"&lt;"&amp;$C66,$M$10:$M65,$D66&amp;"_"&amp;CX$9)</f>
        <v>0</v>
      </c>
      <c r="CY66" s="221">
        <f ca="1">COUNTIFS($C$10:$C65,"&lt;"&amp;$C66,$M$10:$M65,$D66&amp;"_"&amp;CY$9)</f>
        <v>55</v>
      </c>
      <c r="DA66" s="20"/>
      <c r="DB66" s="308">
        <f ca="1">IF(CP66=0,0,SUMIFS($P$10:$P65, $C$10:$C65,"&lt;"&amp;$C66, $M$10:$M65,$D66&amp;"_"&amp;DB$9)/CP66)</f>
        <v>0</v>
      </c>
      <c r="DC66" s="263">
        <f ca="1">IF(CQ66=0,0,SUMIFS($P$10:$P65, $C$10:$C65,"&lt;"&amp;$C66, $M$10:$M65,$D66&amp;"_"&amp;DC$9)/CQ66)</f>
        <v>0</v>
      </c>
      <c r="DD66" s="263">
        <f ca="1">IF(CR66=0,0,SUMIFS($P$10:$P65, $C$10:$C65,"&lt;"&amp;$C66, $M$10:$M65,$D66&amp;"_"&amp;DD$9)/CR66)</f>
        <v>0</v>
      </c>
      <c r="DE66" s="262">
        <f ca="1">IF(CS66=0,0,SUMIFS($P$10:$P65, $C$10:$C65,"&lt;"&amp;$C66, $M$10:$M65,$D66&amp;"_"&amp;DE$9)/CS66)</f>
        <v>0</v>
      </c>
      <c r="DF66" s="263">
        <f ca="1">IF(CT66=0,0,SUMIFS($P$10:$P65, $C$10:$C65,"&lt;"&amp;$C66, $M$10:$M65,$D66&amp;"_"&amp;DF$9)/CT66)</f>
        <v>0</v>
      </c>
      <c r="DG66" s="310">
        <f ca="1">IF(CU66=0,0,SUMIFS($P$10:$P65, $C$10:$C65,"&lt;"&amp;$C66, $M$10:$M65,$D66&amp;"_"&amp;DG$9)/CU66)</f>
        <v>0</v>
      </c>
      <c r="DH66" s="263">
        <f ca="1">IF(CV66=0,0,SUMIFS($P$10:$P65, $C$10:$C65,"&lt;"&amp;$C66, $M$10:$M65,$D66&amp;"_"&amp;DH$9)/CV66)</f>
        <v>0</v>
      </c>
      <c r="DI66" s="263">
        <f ca="1">IF(CW66=0,0,SUMIFS($P$10:$P65, $C$10:$C65,"&lt;"&amp;$C66, $M$10:$M65,$D66&amp;"_"&amp;DI$9)/CW66)</f>
        <v>0</v>
      </c>
      <c r="DJ66" s="264">
        <f ca="1">IF(CX66=0,0,SUMIFS($P$10:$P65, $C$10:$C65,"&lt;"&amp;$C66, $M$10:$M65,$D66&amp;"_"&amp;DJ$9)/CX66)</f>
        <v>0</v>
      </c>
      <c r="DK66" s="264">
        <f ca="1">IF(CY66=0,0,SUMIFS($P$10:$P65, $C$10:$C65,"&lt;"&amp;$C66, $M$10:$M65,$D66&amp;"_"&amp;DK$9)/CY66)</f>
        <v>-1</v>
      </c>
      <c r="DM66" s="104"/>
      <c r="DN66" s="306">
        <f t="shared" ca="1" si="96"/>
        <v>-9999</v>
      </c>
      <c r="DO66" s="15">
        <f t="shared" ca="1" si="58"/>
        <v>-9999</v>
      </c>
      <c r="DP66" s="15">
        <f t="shared" ca="1" si="59"/>
        <v>-9999</v>
      </c>
      <c r="DQ66" s="15">
        <f t="shared" ca="1" si="60"/>
        <v>-9999</v>
      </c>
      <c r="DR66" s="15">
        <f t="shared" ca="1" si="61"/>
        <v>-9999</v>
      </c>
      <c r="DS66" s="15">
        <f t="shared" ca="1" si="62"/>
        <v>-9999</v>
      </c>
      <c r="DT66" s="15">
        <f t="shared" ca="1" si="63"/>
        <v>-9999</v>
      </c>
      <c r="DU66" s="15">
        <f t="shared" ca="1" si="64"/>
        <v>-9999</v>
      </c>
      <c r="DV66" s="52">
        <f t="shared" ca="1" si="65"/>
        <v>-9999</v>
      </c>
      <c r="DW66" s="313">
        <f t="shared" ca="1" si="66"/>
        <v>-0.86756788415900599</v>
      </c>
      <c r="DX66" s="52"/>
      <c r="DY66" s="402">
        <f t="shared" ca="1" si="97"/>
        <v>9</v>
      </c>
      <c r="ED66" s="19">
        <f t="shared" ca="1" si="129"/>
        <v>-1</v>
      </c>
      <c r="EE66" s="1">
        <f t="shared" ca="1" si="130"/>
        <v>1</v>
      </c>
      <c r="EF66" s="1">
        <f t="shared" ca="1" si="131"/>
        <v>-1</v>
      </c>
      <c r="EG66" s="2">
        <f t="shared" ca="1" si="132"/>
        <v>1</v>
      </c>
      <c r="EH66" s="1">
        <f t="shared" ca="1" si="133"/>
        <v>-1</v>
      </c>
      <c r="EI66" s="3">
        <f t="shared" ca="1" si="134"/>
        <v>1</v>
      </c>
      <c r="EJ66" s="1">
        <f t="shared" ca="1" si="135"/>
        <v>0</v>
      </c>
      <c r="EK66" s="1">
        <f t="shared" ca="1" si="136"/>
        <v>0</v>
      </c>
      <c r="EL66" s="20">
        <f t="shared" ca="1" si="137"/>
        <v>-1</v>
      </c>
      <c r="EN66" s="86">
        <f ca="1">MAX(0, SUMPRODUCT($ED66:$EL66,OFFSET(DNN!$E$9:$M$9,EN$9,0)) + OFFSET(DNN!$D$9,EN$9,0))</f>
        <v>0</v>
      </c>
      <c r="EO66" s="84">
        <f ca="1">MAX(0, SUMPRODUCT($ED66:$EL66,OFFSET(DNN!$E$9:$M$9,EO$9,0)) + OFFSET(DNN!$D$9,EO$9,0))</f>
        <v>7.2346022384755949E-3</v>
      </c>
      <c r="EP66" s="84">
        <f ca="1">MAX(0, SUMPRODUCT($ED66:$EL66,OFFSET(DNN!$E$9:$M$9,EP$9,0)) + OFFSET(DNN!$D$9,EP$9,0))</f>
        <v>3.6951849750035152E-3</v>
      </c>
      <c r="EQ66" s="84">
        <f ca="1">MAX(0, SUMPRODUCT($ED66:$EL66,OFFSET(DNN!$E$9:$M$9,EQ$9,0)) + OFFSET(DNN!$D$9,EQ$9,0))</f>
        <v>0</v>
      </c>
      <c r="ER66" s="85">
        <f ca="1">MAX(0, SUMPRODUCT($ED66:$EL66,OFFSET(DNN!$E$9:$M$9,ER$9,0)) + OFFSET(DNN!$D$9,ER$9,0))</f>
        <v>0</v>
      </c>
      <c r="ET66" s="86">
        <f ca="1">MAX(0, SUMPRODUCT($EN66:$ER66,OFFSET(DNN!$Q$9:$U$9,ET$9,0)) + OFFSET(DNN!$P$9,ET$9,0))</f>
        <v>4.3954959453478351E-4</v>
      </c>
      <c r="EU66" s="84">
        <f ca="1">MAX(0, SUMPRODUCT($EN66:$ER66,OFFSET(DNN!$Q$9:$U$9,EU$9,0)) + OFFSET(DNN!$P$9,EU$9,0))</f>
        <v>0</v>
      </c>
      <c r="EV66" s="84">
        <f ca="1">MAX(0, SUMPRODUCT($EN66:$ER66,OFFSET(DNN!$Q$9:$U$9,EV$9,0)) + OFFSET(DNN!$P$9,EV$9,0))</f>
        <v>1.2810123361902579E-3</v>
      </c>
      <c r="EW66" s="84">
        <f ca="1">MAX(0, SUMPRODUCT($EN66:$ER66,OFFSET(DNN!$Q$9:$U$9,EW$9,0)) + OFFSET(DNN!$P$9,EW$9,0))</f>
        <v>7.8382123007882457E-4</v>
      </c>
      <c r="EX66" s="85">
        <f ca="1">MAX(0, SUMPRODUCT($EN66:$ER66,OFFSET(DNN!$Q$9:$U$9,EX$9,0)) + OFFSET(DNN!$P$9,EX$9,0))</f>
        <v>0</v>
      </c>
      <c r="EZ66" s="111">
        <f ca="1">SUMPRODUCT($ET66:$EX66,OFFSET(DNN!$Y$9:$AC$9,EZ$9,0)) + OFFSET(DNN!$X$9,EZ$9,0)</f>
        <v>0.43031618918982212</v>
      </c>
      <c r="FA66" s="97">
        <f ca="1">SUMPRODUCT($ET66:$EX66,OFFSET(DNN!$Y$9:$AC$9,FA$9,0)) + OFFSET(DNN!$X$9,FA$9,0)</f>
        <v>-1.2643439935754107E-5</v>
      </c>
      <c r="FB66" s="97">
        <f ca="1">SUMPRODUCT($ET66:$EX66,OFFSET(DNN!$Y$9:$AC$9,FB$9,0)) + OFFSET(DNN!$X$9,FB$9,0)</f>
        <v>1.5239793458415756E-2</v>
      </c>
      <c r="FC66" s="97">
        <f ca="1">SUMPRODUCT($ET66:$EX66,OFFSET(DNN!$Y$9:$AC$9,FC$9,0)) + OFFSET(DNN!$X$9,FC$9,0)</f>
        <v>-8.8749521084055777E-4</v>
      </c>
      <c r="FD66" s="97">
        <f ca="1">SUMPRODUCT($ET66:$EX66,OFFSET(DNN!$Y$9:$AC$9,FD$9,0)) + OFFSET(DNN!$X$9,FD$9,0)</f>
        <v>-4.235816470721872E-4</v>
      </c>
      <c r="FE66" s="97">
        <f ca="1">SUMPRODUCT($ET66:$EX66,OFFSET(DNN!$Y$9:$AC$9,FE$9,0)) + OFFSET(DNN!$X$9,FE$9,0)</f>
        <v>-1.574182761064886E-5</v>
      </c>
      <c r="FF66" s="97">
        <f ca="1">SUMPRODUCT($ET66:$EX66,OFFSET(DNN!$Y$9:$AC$9,FF$9,0)) + OFFSET(DNN!$X$9,FF$9,0)</f>
        <v>-1.3491460223194656E-3</v>
      </c>
      <c r="FG66" s="97">
        <f ca="1">SUMPRODUCT($ET66:$EX66,OFFSET(DNN!$Y$9:$AC$9,FG$9,0)) + OFFSET(DNN!$X$9,FG$9,0)</f>
        <v>-6.2604808096248285E-2</v>
      </c>
      <c r="FH66" s="97">
        <f ca="1">SUMPRODUCT($ET66:$EX66,OFFSET(DNN!$Y$9:$AC$9,FH$9,0)) + OFFSET(DNN!$X$9,FH$9,0)</f>
        <v>8.6810016937029894E-4</v>
      </c>
      <c r="FI66" s="108">
        <f ca="1">SUMPRODUCT($ET66:$EX66,OFFSET(DNN!$Y$9:$AC$9,FI$9,0)) + OFFSET(DNN!$X$9,FI$9,0)</f>
        <v>-1.3182687612562751</v>
      </c>
      <c r="FJ66" s="98">
        <f ca="1">SUMPRODUCT($ET66:$EX66,OFFSET(DNN!$Y$9:$AC$9,FJ$9,0)) + OFFSET(DNN!$X$9,FJ$9,0)</f>
        <v>-2.2535161745939301E-5</v>
      </c>
      <c r="FL66" s="415">
        <f t="shared" ca="1" si="98"/>
        <v>0.43031618918982212</v>
      </c>
      <c r="FM66" s="130">
        <f t="shared" ca="1" si="99"/>
        <v>1</v>
      </c>
      <c r="FN66" s="131">
        <f t="shared" ca="1" si="100"/>
        <v>0.65029522127322903</v>
      </c>
      <c r="FO66" s="131">
        <f t="shared" ca="1" si="101"/>
        <v>0.66028983545318687</v>
      </c>
      <c r="FP66" s="131">
        <f t="shared" ca="1" si="102"/>
        <v>0.64972655813153501</v>
      </c>
      <c r="FQ66" s="131">
        <f t="shared" ca="1" si="103"/>
        <v>0.65002804502111444</v>
      </c>
      <c r="FR66" s="131">
        <f t="shared" ca="1" si="104"/>
        <v>0.65029320640965171</v>
      </c>
      <c r="FS66" s="131">
        <f t="shared" ca="1" si="105"/>
        <v>0.64942668056342145</v>
      </c>
      <c r="FT66" s="131">
        <f t="shared" ca="1" si="106"/>
        <v>0.61083952513994022</v>
      </c>
      <c r="FU66" s="132">
        <f t="shared" ca="1" si="107"/>
        <v>0.6508682169276182</v>
      </c>
      <c r="FV66" s="131">
        <f t="shared" ca="1" si="108"/>
        <v>0.17402001625314881</v>
      </c>
      <c r="FW66" s="83">
        <f t="shared" ca="1" si="109"/>
        <v>-2.2535161742124597E-5</v>
      </c>
    </row>
    <row r="67" spans="1:179">
      <c r="A67" s="19">
        <f t="shared" si="117"/>
        <v>57</v>
      </c>
      <c r="B67" s="1">
        <f t="shared" ca="1" si="111"/>
        <v>0</v>
      </c>
      <c r="C67" s="20">
        <f t="shared" ca="1" si="112"/>
        <v>57</v>
      </c>
      <c r="D67" s="19" t="str">
        <f t="shared" ca="1" si="113"/>
        <v>〇×〇×〇×--〇</v>
      </c>
      <c r="E67" s="7">
        <f t="shared" ca="1" si="77"/>
        <v>9</v>
      </c>
      <c r="F67" s="7">
        <f t="shared" ca="1" si="78"/>
        <v>1</v>
      </c>
      <c r="G67" s="1" t="str">
        <f t="shared" ca="1" si="139"/>
        <v>〇×〇×〇×--〇</v>
      </c>
      <c r="H67" s="20" t="b">
        <f t="shared" ca="1" si="140"/>
        <v>1</v>
      </c>
      <c r="I67" s="22">
        <f t="shared" ca="1" si="114"/>
        <v>-1</v>
      </c>
      <c r="J67" s="1" t="b">
        <f ca="1">(1&lt;COUNTIF(D$10:D67,D67))</f>
        <v>1</v>
      </c>
      <c r="K67" s="1" t="b">
        <f t="shared" ca="1" si="141"/>
        <v>1</v>
      </c>
      <c r="L67" s="7">
        <f ca="1">MATCH(TRUE,K67:K$1048576,FALSE)-1</f>
        <v>0</v>
      </c>
      <c r="M67" s="24" t="str">
        <f t="shared" ca="1" si="142"/>
        <v>〇×〇×〇×--〇_9</v>
      </c>
      <c r="N67" s="25">
        <f t="shared" ca="1" si="82"/>
        <v>-2.2535161742124597E-5</v>
      </c>
      <c r="O67" s="26">
        <f t="shared" ca="1" si="83"/>
        <v>-1</v>
      </c>
      <c r="P67" s="27">
        <f t="shared" ca="1" si="84"/>
        <v>-1</v>
      </c>
      <c r="R67" s="41" t="str">
        <f ca="1">VLOOKUP(S67,cvt!$B$2:$C$4,2,FALSE)&amp;VLOOKUP(T67,cvt!$B$2:$C$4,2,FALSE)&amp;VLOOKUP(U67,cvt!$B$2:$C$4,2,FALSE)
&amp;VLOOKUP(V67,cvt!$B$2:$C$4,2,FALSE)&amp;VLOOKUP(W67,cvt!$B$2:$C$4,2,FALSE)&amp;VLOOKUP(X67,cvt!$B$2:$C$4,2,FALSE)
&amp;VLOOKUP(Y67,cvt!$B$2:$C$4,2,FALSE)&amp;VLOOKUP(Z67,cvt!$B$2:$C$4,2,FALSE)&amp;VLOOKUP(AA67,cvt!$B$2:$C$4,2,FALSE)</f>
        <v>〇×〇×〇×--〇</v>
      </c>
      <c r="S67" s="7">
        <f ca="1">VLOOKUP(MID($D67,S$9+1,1), cvt!$A$2:$B$4,2, FALSE)</f>
        <v>1</v>
      </c>
      <c r="T67" s="7">
        <f ca="1">VLOOKUP(MID($D67,T$9+1,1), cvt!$A$2:$B$4,2, FALSE)</f>
        <v>-1</v>
      </c>
      <c r="U67" s="7">
        <f ca="1">VLOOKUP(MID($D67,U$9+1,1), cvt!$A$2:$B$4,2, FALSE)</f>
        <v>1</v>
      </c>
      <c r="V67" s="17">
        <f ca="1">VLOOKUP(MID($D67,V$9+1,1), cvt!$A$2:$B$4,2, FALSE)</f>
        <v>-1</v>
      </c>
      <c r="W67" s="7">
        <f ca="1">VLOOKUP(MID($D67,W$9+1,1), cvt!$A$2:$B$4,2, FALSE)</f>
        <v>1</v>
      </c>
      <c r="X67" s="18">
        <f ca="1">VLOOKUP(MID($D67,X$9+1,1), cvt!$A$2:$B$4,2, FALSE)</f>
        <v>-1</v>
      </c>
      <c r="Y67" s="7">
        <f ca="1">VLOOKUP(MID($D67,Y$9+1,1), cvt!$A$2:$B$4,2, FALSE)</f>
        <v>0</v>
      </c>
      <c r="Z67" s="7">
        <f ca="1">VLOOKUP(MID($D67,Z$9+1,1), cvt!$A$2:$B$4,2, FALSE)</f>
        <v>0</v>
      </c>
      <c r="AA67" s="42">
        <f ca="1">VLOOKUP(MID($D67,AA$9+1,1), cvt!$A$2:$B$4,2, FALSE)</f>
        <v>1</v>
      </c>
      <c r="AB67" s="7">
        <f t="shared" ca="1" si="85"/>
        <v>1</v>
      </c>
      <c r="AC67" s="50" t="b">
        <f t="shared" ca="1" si="86"/>
        <v>1</v>
      </c>
      <c r="AE67" s="19" t="str">
        <f ca="1">VLOOKUP(AF67,cvt!$B$2:$C$4,2,FALSE)&amp;VLOOKUP(AG67,cvt!$B$2:$C$4,2,FALSE)&amp;VLOOKUP(AH67,cvt!$B$2:$C$4,2,FALSE)
&amp;VLOOKUP(AI67,cvt!$B$2:$C$4,2,FALSE)&amp;VLOOKUP(AJ67,cvt!$B$2:$C$4,2,FALSE)&amp;VLOOKUP(AK67,cvt!$B$2:$C$4,2,FALSE)
&amp;VLOOKUP(AL67,cvt!$B$2:$C$4,2,FALSE)&amp;VLOOKUP(AM67,cvt!$B$2:$C$4,2,FALSE)&amp;VLOOKUP(AN67,cvt!$B$2:$C$4,2,FALSE)</f>
        <v>〇×〇×〇×--〇</v>
      </c>
      <c r="AF67" s="17">
        <f t="shared" ca="1" si="143"/>
        <v>1</v>
      </c>
      <c r="AG67" s="7">
        <f t="shared" ca="1" si="144"/>
        <v>-1</v>
      </c>
      <c r="AH67" s="7">
        <f t="shared" ca="1" si="145"/>
        <v>1</v>
      </c>
      <c r="AI67" s="17">
        <f t="shared" ca="1" si="146"/>
        <v>-1</v>
      </c>
      <c r="AJ67" s="7">
        <f t="shared" ca="1" si="147"/>
        <v>1</v>
      </c>
      <c r="AK67" s="18">
        <f t="shared" ca="1" si="148"/>
        <v>-1</v>
      </c>
      <c r="AL67" s="7">
        <f t="shared" ca="1" si="149"/>
        <v>0</v>
      </c>
      <c r="AM67" s="7">
        <f t="shared" ca="1" si="150"/>
        <v>0</v>
      </c>
      <c r="AN67" s="18">
        <f t="shared" ca="1" si="151"/>
        <v>1</v>
      </c>
      <c r="AO67" s="7">
        <f t="shared" ca="1" si="115"/>
        <v>1</v>
      </c>
      <c r="AP67" s="50" t="b">
        <f t="shared" ca="1" si="152"/>
        <v>1</v>
      </c>
      <c r="AS67" s="22">
        <f t="shared" ca="1" si="88"/>
        <v>0</v>
      </c>
      <c r="AT67" s="7">
        <f t="shared" ca="1" si="23"/>
        <v>0</v>
      </c>
      <c r="AU67" s="7">
        <f t="shared" ca="1" si="24"/>
        <v>0</v>
      </c>
      <c r="AV67" s="7">
        <f t="shared" ca="1" si="25"/>
        <v>0</v>
      </c>
      <c r="AW67" s="7">
        <f t="shared" ca="1" si="26"/>
        <v>0</v>
      </c>
      <c r="AX67" s="7">
        <f t="shared" ca="1" si="27"/>
        <v>0</v>
      </c>
      <c r="AY67" s="7">
        <f t="shared" ca="1" si="28"/>
        <v>0</v>
      </c>
      <c r="AZ67" s="7">
        <f t="shared" ca="1" si="29"/>
        <v>0</v>
      </c>
      <c r="BA67" s="18">
        <f t="shared" ca="1" si="30"/>
        <v>0</v>
      </c>
      <c r="BB67" s="295">
        <f t="shared" ca="1" si="89"/>
        <v>1</v>
      </c>
      <c r="BD67" s="132"/>
      <c r="BE67" s="297">
        <f t="shared" ca="1" si="90"/>
        <v>1</v>
      </c>
      <c r="BF67" s="298">
        <f t="shared" ca="1" si="31"/>
        <v>0.65029522127322903</v>
      </c>
      <c r="BG67" s="298">
        <f t="shared" ca="1" si="32"/>
        <v>0.66028983545318687</v>
      </c>
      <c r="BH67" s="318">
        <f t="shared" ca="1" si="33"/>
        <v>0.64972655813153501</v>
      </c>
      <c r="BI67" s="298">
        <f t="shared" ca="1" si="34"/>
        <v>0.65002804502111444</v>
      </c>
      <c r="BJ67" s="299">
        <f t="shared" ca="1" si="35"/>
        <v>0.65029320640965171</v>
      </c>
      <c r="BK67" s="298">
        <f t="shared" ca="1" si="36"/>
        <v>0.64942668056342145</v>
      </c>
      <c r="BL67" s="298">
        <f t="shared" ca="1" si="37"/>
        <v>0.61083952513994022</v>
      </c>
      <c r="BM67" s="299">
        <f t="shared" ca="1" si="38"/>
        <v>0.6508682169276182</v>
      </c>
      <c r="BN67" s="295">
        <f t="shared" ca="1" si="39"/>
        <v>0.17402001625314881</v>
      </c>
      <c r="BO67" s="248">
        <f t="shared" ca="1" si="91"/>
        <v>-2.2535161742124597E-5</v>
      </c>
      <c r="BQ67" s="304">
        <f t="shared" ca="1" si="92"/>
        <v>0.42412001625314877</v>
      </c>
      <c r="BR67" s="297">
        <f t="shared" ca="1" si="93"/>
        <v>0</v>
      </c>
      <c r="BS67" s="298">
        <f t="shared" ca="1" si="40"/>
        <v>0</v>
      </c>
      <c r="BT67" s="298">
        <f t="shared" ca="1" si="41"/>
        <v>0</v>
      </c>
      <c r="BU67" s="318">
        <f t="shared" ca="1" si="42"/>
        <v>0</v>
      </c>
      <c r="BV67" s="298">
        <f t="shared" ca="1" si="43"/>
        <v>0</v>
      </c>
      <c r="BW67" s="299">
        <f t="shared" ca="1" si="44"/>
        <v>0</v>
      </c>
      <c r="BX67" s="298">
        <f t="shared" ca="1" si="45"/>
        <v>0</v>
      </c>
      <c r="BY67" s="298">
        <f t="shared" ca="1" si="46"/>
        <v>0</v>
      </c>
      <c r="BZ67" s="298">
        <f t="shared" ca="1" si="47"/>
        <v>0</v>
      </c>
      <c r="CA67" s="315">
        <f t="shared" ca="1" si="48"/>
        <v>0.42412001625314877</v>
      </c>
      <c r="CC67" s="52"/>
      <c r="CD67" s="306">
        <f t="shared" ca="1" si="94"/>
        <v>0</v>
      </c>
      <c r="CE67" s="15">
        <f t="shared" ca="1" si="49"/>
        <v>0</v>
      </c>
      <c r="CF67" s="15">
        <f t="shared" ca="1" si="50"/>
        <v>0</v>
      </c>
      <c r="CG67" s="286">
        <f t="shared" ca="1" si="51"/>
        <v>0</v>
      </c>
      <c r="CH67" s="15">
        <f t="shared" ca="1" si="52"/>
        <v>0</v>
      </c>
      <c r="CI67" s="288">
        <f t="shared" ca="1" si="53"/>
        <v>0</v>
      </c>
      <c r="CJ67" s="15">
        <f t="shared" ca="1" si="54"/>
        <v>0</v>
      </c>
      <c r="CK67" s="15">
        <f t="shared" ca="1" si="55"/>
        <v>0</v>
      </c>
      <c r="CL67" s="15">
        <f t="shared" ca="1" si="56"/>
        <v>0</v>
      </c>
      <c r="CM67" s="313">
        <f t="shared" ca="1" si="57"/>
        <v>1</v>
      </c>
      <c r="CO67" s="320">
        <f t="shared" ca="1" si="95"/>
        <v>56</v>
      </c>
      <c r="CP67" s="22">
        <f ca="1">COUNTIFS($C$10:$C66,"&lt;"&amp;$C67,$M$10:$M66,$D67&amp;"_"&amp;CP$9)</f>
        <v>0</v>
      </c>
      <c r="CQ67" s="7">
        <f ca="1">COUNTIFS($C$10:$C66,"&lt;"&amp;$C67,$M$10:$M66,$D67&amp;"_"&amp;CQ$9)</f>
        <v>0</v>
      </c>
      <c r="CR67" s="7">
        <f ca="1">COUNTIFS($C$10:$C66,"&lt;"&amp;$C67,$M$10:$M66,$D67&amp;"_"&amp;CR$9)</f>
        <v>0</v>
      </c>
      <c r="CS67" s="17">
        <f ca="1">COUNTIFS($C$10:$C66,"&lt;"&amp;$C67,$M$10:$M66,$D67&amp;"_"&amp;CS$9)</f>
        <v>0</v>
      </c>
      <c r="CT67" s="7">
        <f ca="1">COUNTIFS($C$10:$C66,"&lt;"&amp;$C67,$M$10:$M66,$D67&amp;"_"&amp;CT$9)</f>
        <v>0</v>
      </c>
      <c r="CU67" s="18">
        <f ca="1">COUNTIFS($C$10:$C66,"&lt;"&amp;$C67,$M$10:$M66,$D67&amp;"_"&amp;CU$9)</f>
        <v>0</v>
      </c>
      <c r="CV67" s="7">
        <f ca="1">COUNTIFS($C$10:$C66,"&lt;"&amp;$C67,$M$10:$M66,$D67&amp;"_"&amp;CV$9)</f>
        <v>0</v>
      </c>
      <c r="CW67" s="7">
        <f ca="1">COUNTIFS($C$10:$C66,"&lt;"&amp;$C67,$M$10:$M66,$D67&amp;"_"&amp;CW$9)</f>
        <v>0</v>
      </c>
      <c r="CX67" s="7">
        <f ca="1">COUNTIFS($C$10:$C66,"&lt;"&amp;$C67,$M$10:$M66,$D67&amp;"_"&amp;CX$9)</f>
        <v>0</v>
      </c>
      <c r="CY67" s="221">
        <f ca="1">COUNTIFS($C$10:$C66,"&lt;"&amp;$C67,$M$10:$M66,$D67&amp;"_"&amp;CY$9)</f>
        <v>56</v>
      </c>
      <c r="DA67" s="20"/>
      <c r="DB67" s="308">
        <f ca="1">IF(CP67=0,0,SUMIFS($P$10:$P66, $C$10:$C66,"&lt;"&amp;$C67, $M$10:$M66,$D67&amp;"_"&amp;DB$9)/CP67)</f>
        <v>0</v>
      </c>
      <c r="DC67" s="263">
        <f ca="1">IF(CQ67=0,0,SUMIFS($P$10:$P66, $C$10:$C66,"&lt;"&amp;$C67, $M$10:$M66,$D67&amp;"_"&amp;DC$9)/CQ67)</f>
        <v>0</v>
      </c>
      <c r="DD67" s="263">
        <f ca="1">IF(CR67=0,0,SUMIFS($P$10:$P66, $C$10:$C66,"&lt;"&amp;$C67, $M$10:$M66,$D67&amp;"_"&amp;DD$9)/CR67)</f>
        <v>0</v>
      </c>
      <c r="DE67" s="262">
        <f ca="1">IF(CS67=0,0,SUMIFS($P$10:$P66, $C$10:$C66,"&lt;"&amp;$C67, $M$10:$M66,$D67&amp;"_"&amp;DE$9)/CS67)</f>
        <v>0</v>
      </c>
      <c r="DF67" s="263">
        <f ca="1">IF(CT67=0,0,SUMIFS($P$10:$P66, $C$10:$C66,"&lt;"&amp;$C67, $M$10:$M66,$D67&amp;"_"&amp;DF$9)/CT67)</f>
        <v>0</v>
      </c>
      <c r="DG67" s="310">
        <f ca="1">IF(CU67=0,0,SUMIFS($P$10:$P66, $C$10:$C66,"&lt;"&amp;$C67, $M$10:$M66,$D67&amp;"_"&amp;DG$9)/CU67)</f>
        <v>0</v>
      </c>
      <c r="DH67" s="263">
        <f ca="1">IF(CV67=0,0,SUMIFS($P$10:$P66, $C$10:$C66,"&lt;"&amp;$C67, $M$10:$M66,$D67&amp;"_"&amp;DH$9)/CV67)</f>
        <v>0</v>
      </c>
      <c r="DI67" s="263">
        <f ca="1">IF(CW67=0,0,SUMIFS($P$10:$P66, $C$10:$C66,"&lt;"&amp;$C67, $M$10:$M66,$D67&amp;"_"&amp;DI$9)/CW67)</f>
        <v>0</v>
      </c>
      <c r="DJ67" s="264">
        <f ca="1">IF(CX67=0,0,SUMIFS($P$10:$P66, $C$10:$C66,"&lt;"&amp;$C67, $M$10:$M66,$D67&amp;"_"&amp;DJ$9)/CX67)</f>
        <v>0</v>
      </c>
      <c r="DK67" s="264">
        <f ca="1">IF(CY67=0,0,SUMIFS($P$10:$P66, $C$10:$C66,"&lt;"&amp;$C67, $M$10:$M66,$D67&amp;"_"&amp;DK$9)/CY67)</f>
        <v>-1</v>
      </c>
      <c r="DM67" s="104"/>
      <c r="DN67" s="306">
        <f t="shared" ca="1" si="96"/>
        <v>-9999</v>
      </c>
      <c r="DO67" s="15">
        <f t="shared" ca="1" si="58"/>
        <v>-9999</v>
      </c>
      <c r="DP67" s="15">
        <f t="shared" ca="1" si="59"/>
        <v>-9999</v>
      </c>
      <c r="DQ67" s="15">
        <f t="shared" ca="1" si="60"/>
        <v>-9999</v>
      </c>
      <c r="DR67" s="15">
        <f t="shared" ca="1" si="61"/>
        <v>-9999</v>
      </c>
      <c r="DS67" s="15">
        <f t="shared" ca="1" si="62"/>
        <v>-9999</v>
      </c>
      <c r="DT67" s="15">
        <f t="shared" ca="1" si="63"/>
        <v>-9999</v>
      </c>
      <c r="DU67" s="15">
        <f t="shared" ca="1" si="64"/>
        <v>-9999</v>
      </c>
      <c r="DV67" s="52">
        <f t="shared" ca="1" si="65"/>
        <v>-9999</v>
      </c>
      <c r="DW67" s="313">
        <f t="shared" ca="1" si="66"/>
        <v>-0.86871377590266874</v>
      </c>
      <c r="DX67" s="52"/>
      <c r="DY67" s="402">
        <f t="shared" ca="1" si="97"/>
        <v>9</v>
      </c>
      <c r="ED67" s="19">
        <f t="shared" ca="1" si="129"/>
        <v>-1</v>
      </c>
      <c r="EE67" s="1">
        <f t="shared" ca="1" si="130"/>
        <v>1</v>
      </c>
      <c r="EF67" s="1">
        <f t="shared" ca="1" si="131"/>
        <v>-1</v>
      </c>
      <c r="EG67" s="2">
        <f t="shared" ca="1" si="132"/>
        <v>1</v>
      </c>
      <c r="EH67" s="1">
        <f t="shared" ca="1" si="133"/>
        <v>-1</v>
      </c>
      <c r="EI67" s="3">
        <f t="shared" ca="1" si="134"/>
        <v>1</v>
      </c>
      <c r="EJ67" s="1">
        <f t="shared" ca="1" si="135"/>
        <v>0</v>
      </c>
      <c r="EK67" s="1">
        <f t="shared" ca="1" si="136"/>
        <v>0</v>
      </c>
      <c r="EL67" s="20">
        <f t="shared" ca="1" si="137"/>
        <v>-1</v>
      </c>
      <c r="EN67" s="86">
        <f ca="1">MAX(0, SUMPRODUCT($ED67:$EL67,OFFSET(DNN!$E$9:$M$9,EN$9,0)) + OFFSET(DNN!$D$9,EN$9,0))</f>
        <v>0</v>
      </c>
      <c r="EO67" s="84">
        <f ca="1">MAX(0, SUMPRODUCT($ED67:$EL67,OFFSET(DNN!$E$9:$M$9,EO$9,0)) + OFFSET(DNN!$D$9,EO$9,0))</f>
        <v>7.2346022384755949E-3</v>
      </c>
      <c r="EP67" s="84">
        <f ca="1">MAX(0, SUMPRODUCT($ED67:$EL67,OFFSET(DNN!$E$9:$M$9,EP$9,0)) + OFFSET(DNN!$D$9,EP$9,0))</f>
        <v>3.6951849750035152E-3</v>
      </c>
      <c r="EQ67" s="84">
        <f ca="1">MAX(0, SUMPRODUCT($ED67:$EL67,OFFSET(DNN!$E$9:$M$9,EQ$9,0)) + OFFSET(DNN!$D$9,EQ$9,0))</f>
        <v>0</v>
      </c>
      <c r="ER67" s="85">
        <f ca="1">MAX(0, SUMPRODUCT($ED67:$EL67,OFFSET(DNN!$E$9:$M$9,ER$9,0)) + OFFSET(DNN!$D$9,ER$9,0))</f>
        <v>0</v>
      </c>
      <c r="ET67" s="86">
        <f ca="1">MAX(0, SUMPRODUCT($EN67:$ER67,OFFSET(DNN!$Q$9:$U$9,ET$9,0)) + OFFSET(DNN!$P$9,ET$9,0))</f>
        <v>4.3954959453478351E-4</v>
      </c>
      <c r="EU67" s="84">
        <f ca="1">MAX(0, SUMPRODUCT($EN67:$ER67,OFFSET(DNN!$Q$9:$U$9,EU$9,0)) + OFFSET(DNN!$P$9,EU$9,0))</f>
        <v>0</v>
      </c>
      <c r="EV67" s="84">
        <f ca="1">MAX(0, SUMPRODUCT($EN67:$ER67,OFFSET(DNN!$Q$9:$U$9,EV$9,0)) + OFFSET(DNN!$P$9,EV$9,0))</f>
        <v>1.2810123361902579E-3</v>
      </c>
      <c r="EW67" s="84">
        <f ca="1">MAX(0, SUMPRODUCT($EN67:$ER67,OFFSET(DNN!$Q$9:$U$9,EW$9,0)) + OFFSET(DNN!$P$9,EW$9,0))</f>
        <v>7.8382123007882457E-4</v>
      </c>
      <c r="EX67" s="85">
        <f ca="1">MAX(0, SUMPRODUCT($EN67:$ER67,OFFSET(DNN!$Q$9:$U$9,EX$9,0)) + OFFSET(DNN!$P$9,EX$9,0))</f>
        <v>0</v>
      </c>
      <c r="EZ67" s="111">
        <f ca="1">SUMPRODUCT($ET67:$EX67,OFFSET(DNN!$Y$9:$AC$9,EZ$9,0)) + OFFSET(DNN!$X$9,EZ$9,0)</f>
        <v>0.43031618918982212</v>
      </c>
      <c r="FA67" s="97">
        <f ca="1">SUMPRODUCT($ET67:$EX67,OFFSET(DNN!$Y$9:$AC$9,FA$9,0)) + OFFSET(DNN!$X$9,FA$9,0)</f>
        <v>-1.2643439935754107E-5</v>
      </c>
      <c r="FB67" s="97">
        <f ca="1">SUMPRODUCT($ET67:$EX67,OFFSET(DNN!$Y$9:$AC$9,FB$9,0)) + OFFSET(DNN!$X$9,FB$9,0)</f>
        <v>1.5239793458415756E-2</v>
      </c>
      <c r="FC67" s="97">
        <f ca="1">SUMPRODUCT($ET67:$EX67,OFFSET(DNN!$Y$9:$AC$9,FC$9,0)) + OFFSET(DNN!$X$9,FC$9,0)</f>
        <v>-8.8749521084055777E-4</v>
      </c>
      <c r="FD67" s="97">
        <f ca="1">SUMPRODUCT($ET67:$EX67,OFFSET(DNN!$Y$9:$AC$9,FD$9,0)) + OFFSET(DNN!$X$9,FD$9,0)</f>
        <v>-4.235816470721872E-4</v>
      </c>
      <c r="FE67" s="97">
        <f ca="1">SUMPRODUCT($ET67:$EX67,OFFSET(DNN!$Y$9:$AC$9,FE$9,0)) + OFFSET(DNN!$X$9,FE$9,0)</f>
        <v>-1.574182761064886E-5</v>
      </c>
      <c r="FF67" s="97">
        <f ca="1">SUMPRODUCT($ET67:$EX67,OFFSET(DNN!$Y$9:$AC$9,FF$9,0)) + OFFSET(DNN!$X$9,FF$9,0)</f>
        <v>-1.3491460223194656E-3</v>
      </c>
      <c r="FG67" s="97">
        <f ca="1">SUMPRODUCT($ET67:$EX67,OFFSET(DNN!$Y$9:$AC$9,FG$9,0)) + OFFSET(DNN!$X$9,FG$9,0)</f>
        <v>-6.2604808096248285E-2</v>
      </c>
      <c r="FH67" s="97">
        <f ca="1">SUMPRODUCT($ET67:$EX67,OFFSET(DNN!$Y$9:$AC$9,FH$9,0)) + OFFSET(DNN!$X$9,FH$9,0)</f>
        <v>8.6810016937029894E-4</v>
      </c>
      <c r="FI67" s="108">
        <f ca="1">SUMPRODUCT($ET67:$EX67,OFFSET(DNN!$Y$9:$AC$9,FI$9,0)) + OFFSET(DNN!$X$9,FI$9,0)</f>
        <v>-1.3182687612562751</v>
      </c>
      <c r="FJ67" s="98">
        <f ca="1">SUMPRODUCT($ET67:$EX67,OFFSET(DNN!$Y$9:$AC$9,FJ$9,0)) + OFFSET(DNN!$X$9,FJ$9,0)</f>
        <v>-2.2535161745939301E-5</v>
      </c>
      <c r="FL67" s="415">
        <f t="shared" ca="1" si="98"/>
        <v>0.43031618918982212</v>
      </c>
      <c r="FM67" s="130">
        <f t="shared" ca="1" si="99"/>
        <v>1</v>
      </c>
      <c r="FN67" s="131">
        <f t="shared" ca="1" si="100"/>
        <v>0.65029522127322903</v>
      </c>
      <c r="FO67" s="131">
        <f t="shared" ca="1" si="101"/>
        <v>0.66028983545318687</v>
      </c>
      <c r="FP67" s="131">
        <f t="shared" ca="1" si="102"/>
        <v>0.64972655813153501</v>
      </c>
      <c r="FQ67" s="131">
        <f t="shared" ca="1" si="103"/>
        <v>0.65002804502111444</v>
      </c>
      <c r="FR67" s="131">
        <f t="shared" ca="1" si="104"/>
        <v>0.65029320640965171</v>
      </c>
      <c r="FS67" s="131">
        <f t="shared" ca="1" si="105"/>
        <v>0.64942668056342145</v>
      </c>
      <c r="FT67" s="131">
        <f t="shared" ca="1" si="106"/>
        <v>0.61083952513994022</v>
      </c>
      <c r="FU67" s="132">
        <f t="shared" ca="1" si="107"/>
        <v>0.6508682169276182</v>
      </c>
      <c r="FV67" s="131">
        <f t="shared" ca="1" si="108"/>
        <v>0.17402001625314881</v>
      </c>
      <c r="FW67" s="83">
        <f t="shared" ca="1" si="109"/>
        <v>-2.2535161742124597E-5</v>
      </c>
    </row>
    <row r="68" spans="1:179">
      <c r="A68" s="19">
        <f t="shared" si="117"/>
        <v>58</v>
      </c>
      <c r="B68" s="1">
        <f t="shared" ca="1" si="111"/>
        <v>0</v>
      </c>
      <c r="C68" s="20">
        <f t="shared" ca="1" si="112"/>
        <v>58</v>
      </c>
      <c r="D68" s="19" t="str">
        <f t="shared" ca="1" si="113"/>
        <v>〇×〇×〇×--〇</v>
      </c>
      <c r="E68" s="7">
        <f t="shared" ca="1" si="77"/>
        <v>9</v>
      </c>
      <c r="F68" s="7">
        <f t="shared" ca="1" si="78"/>
        <v>1</v>
      </c>
      <c r="G68" s="1" t="str">
        <f t="shared" ca="1" si="139"/>
        <v>〇×〇×〇×--〇</v>
      </c>
      <c r="H68" s="20" t="b">
        <f t="shared" ca="1" si="140"/>
        <v>1</v>
      </c>
      <c r="I68" s="22">
        <f t="shared" ca="1" si="114"/>
        <v>-1</v>
      </c>
      <c r="J68" s="1" t="b">
        <f ca="1">(1&lt;COUNTIF(D$10:D68,D68))</f>
        <v>1</v>
      </c>
      <c r="K68" s="1" t="b">
        <f t="shared" ca="1" si="141"/>
        <v>1</v>
      </c>
      <c r="L68" s="7">
        <f ca="1">MATCH(TRUE,K68:K$1048576,FALSE)-1</f>
        <v>0</v>
      </c>
      <c r="M68" s="24" t="str">
        <f t="shared" ca="1" si="142"/>
        <v>〇×〇×〇×--〇_9</v>
      </c>
      <c r="N68" s="25">
        <f t="shared" ca="1" si="82"/>
        <v>-2.2535161742124597E-5</v>
      </c>
      <c r="O68" s="26">
        <f t="shared" ca="1" si="83"/>
        <v>-1</v>
      </c>
      <c r="P68" s="27">
        <f t="shared" ca="1" si="84"/>
        <v>-1</v>
      </c>
      <c r="R68" s="41" t="str">
        <f ca="1">VLOOKUP(S68,cvt!$B$2:$C$4,2,FALSE)&amp;VLOOKUP(T68,cvt!$B$2:$C$4,2,FALSE)&amp;VLOOKUP(U68,cvt!$B$2:$C$4,2,FALSE)
&amp;VLOOKUP(V68,cvt!$B$2:$C$4,2,FALSE)&amp;VLOOKUP(W68,cvt!$B$2:$C$4,2,FALSE)&amp;VLOOKUP(X68,cvt!$B$2:$C$4,2,FALSE)
&amp;VLOOKUP(Y68,cvt!$B$2:$C$4,2,FALSE)&amp;VLOOKUP(Z68,cvt!$B$2:$C$4,2,FALSE)&amp;VLOOKUP(AA68,cvt!$B$2:$C$4,2,FALSE)</f>
        <v>〇×〇×〇×--〇</v>
      </c>
      <c r="S68" s="7">
        <f ca="1">VLOOKUP(MID($D68,S$9+1,1), cvt!$A$2:$B$4,2, FALSE)</f>
        <v>1</v>
      </c>
      <c r="T68" s="7">
        <f ca="1">VLOOKUP(MID($D68,T$9+1,1), cvt!$A$2:$B$4,2, FALSE)</f>
        <v>-1</v>
      </c>
      <c r="U68" s="7">
        <f ca="1">VLOOKUP(MID($D68,U$9+1,1), cvt!$A$2:$B$4,2, FALSE)</f>
        <v>1</v>
      </c>
      <c r="V68" s="17">
        <f ca="1">VLOOKUP(MID($D68,V$9+1,1), cvt!$A$2:$B$4,2, FALSE)</f>
        <v>-1</v>
      </c>
      <c r="W68" s="7">
        <f ca="1">VLOOKUP(MID($D68,W$9+1,1), cvt!$A$2:$B$4,2, FALSE)</f>
        <v>1</v>
      </c>
      <c r="X68" s="18">
        <f ca="1">VLOOKUP(MID($D68,X$9+1,1), cvt!$A$2:$B$4,2, FALSE)</f>
        <v>-1</v>
      </c>
      <c r="Y68" s="7">
        <f ca="1">VLOOKUP(MID($D68,Y$9+1,1), cvt!$A$2:$B$4,2, FALSE)</f>
        <v>0</v>
      </c>
      <c r="Z68" s="7">
        <f ca="1">VLOOKUP(MID($D68,Z$9+1,1), cvt!$A$2:$B$4,2, FALSE)</f>
        <v>0</v>
      </c>
      <c r="AA68" s="42">
        <f ca="1">VLOOKUP(MID($D68,AA$9+1,1), cvt!$A$2:$B$4,2, FALSE)</f>
        <v>1</v>
      </c>
      <c r="AB68" s="7">
        <f t="shared" ca="1" si="85"/>
        <v>1</v>
      </c>
      <c r="AC68" s="50" t="b">
        <f t="shared" ca="1" si="86"/>
        <v>1</v>
      </c>
      <c r="AE68" s="19" t="str">
        <f ca="1">VLOOKUP(AF68,cvt!$B$2:$C$4,2,FALSE)&amp;VLOOKUP(AG68,cvt!$B$2:$C$4,2,FALSE)&amp;VLOOKUP(AH68,cvt!$B$2:$C$4,2,FALSE)
&amp;VLOOKUP(AI68,cvt!$B$2:$C$4,2,FALSE)&amp;VLOOKUP(AJ68,cvt!$B$2:$C$4,2,FALSE)&amp;VLOOKUP(AK68,cvt!$B$2:$C$4,2,FALSE)
&amp;VLOOKUP(AL68,cvt!$B$2:$C$4,2,FALSE)&amp;VLOOKUP(AM68,cvt!$B$2:$C$4,2,FALSE)&amp;VLOOKUP(AN68,cvt!$B$2:$C$4,2,FALSE)</f>
        <v>〇×〇×〇×--〇</v>
      </c>
      <c r="AF68" s="17">
        <f t="shared" ca="1" si="143"/>
        <v>1</v>
      </c>
      <c r="AG68" s="7">
        <f t="shared" ca="1" si="144"/>
        <v>-1</v>
      </c>
      <c r="AH68" s="7">
        <f t="shared" ca="1" si="145"/>
        <v>1</v>
      </c>
      <c r="AI68" s="17">
        <f t="shared" ca="1" si="146"/>
        <v>-1</v>
      </c>
      <c r="AJ68" s="7">
        <f t="shared" ca="1" si="147"/>
        <v>1</v>
      </c>
      <c r="AK68" s="18">
        <f t="shared" ca="1" si="148"/>
        <v>-1</v>
      </c>
      <c r="AL68" s="7">
        <f t="shared" ca="1" si="149"/>
        <v>0</v>
      </c>
      <c r="AM68" s="7">
        <f t="shared" ca="1" si="150"/>
        <v>0</v>
      </c>
      <c r="AN68" s="18">
        <f t="shared" ca="1" si="151"/>
        <v>1</v>
      </c>
      <c r="AO68" s="7">
        <f t="shared" ca="1" si="115"/>
        <v>1</v>
      </c>
      <c r="AP68" s="50" t="b">
        <f t="shared" ca="1" si="152"/>
        <v>1</v>
      </c>
      <c r="AS68" s="22">
        <f t="shared" ca="1" si="88"/>
        <v>0</v>
      </c>
      <c r="AT68" s="7">
        <f t="shared" ca="1" si="23"/>
        <v>0</v>
      </c>
      <c r="AU68" s="7">
        <f t="shared" ca="1" si="24"/>
        <v>0</v>
      </c>
      <c r="AV68" s="7">
        <f t="shared" ca="1" si="25"/>
        <v>0</v>
      </c>
      <c r="AW68" s="7">
        <f t="shared" ca="1" si="26"/>
        <v>0</v>
      </c>
      <c r="AX68" s="7">
        <f t="shared" ca="1" si="27"/>
        <v>0</v>
      </c>
      <c r="AY68" s="7">
        <f t="shared" ca="1" si="28"/>
        <v>0</v>
      </c>
      <c r="AZ68" s="7">
        <f t="shared" ca="1" si="29"/>
        <v>0</v>
      </c>
      <c r="BA68" s="18">
        <f t="shared" ca="1" si="30"/>
        <v>0</v>
      </c>
      <c r="BB68" s="295">
        <f t="shared" ca="1" si="89"/>
        <v>1</v>
      </c>
      <c r="BD68" s="132"/>
      <c r="BE68" s="297">
        <f t="shared" ca="1" si="90"/>
        <v>1</v>
      </c>
      <c r="BF68" s="298">
        <f t="shared" ca="1" si="31"/>
        <v>0.65029522127322903</v>
      </c>
      <c r="BG68" s="298">
        <f t="shared" ca="1" si="32"/>
        <v>0.66028983545318687</v>
      </c>
      <c r="BH68" s="318">
        <f t="shared" ca="1" si="33"/>
        <v>0.64972655813153501</v>
      </c>
      <c r="BI68" s="298">
        <f t="shared" ca="1" si="34"/>
        <v>0.65002804502111444</v>
      </c>
      <c r="BJ68" s="299">
        <f t="shared" ca="1" si="35"/>
        <v>0.65029320640965171</v>
      </c>
      <c r="BK68" s="298">
        <f t="shared" ca="1" si="36"/>
        <v>0.64942668056342145</v>
      </c>
      <c r="BL68" s="298">
        <f t="shared" ca="1" si="37"/>
        <v>0.61083952513994022</v>
      </c>
      <c r="BM68" s="299">
        <f t="shared" ca="1" si="38"/>
        <v>0.6508682169276182</v>
      </c>
      <c r="BN68" s="295">
        <f t="shared" ca="1" si="39"/>
        <v>0.17402001625314881</v>
      </c>
      <c r="BO68" s="248">
        <f t="shared" ca="1" si="91"/>
        <v>-2.2535161742124597E-5</v>
      </c>
      <c r="BQ68" s="304">
        <f t="shared" ca="1" si="92"/>
        <v>0.42412001625314877</v>
      </c>
      <c r="BR68" s="297">
        <f t="shared" ca="1" si="93"/>
        <v>0</v>
      </c>
      <c r="BS68" s="298">
        <f t="shared" ca="1" si="40"/>
        <v>0</v>
      </c>
      <c r="BT68" s="298">
        <f t="shared" ca="1" si="41"/>
        <v>0</v>
      </c>
      <c r="BU68" s="318">
        <f t="shared" ca="1" si="42"/>
        <v>0</v>
      </c>
      <c r="BV68" s="298">
        <f t="shared" ca="1" si="43"/>
        <v>0</v>
      </c>
      <c r="BW68" s="299">
        <f t="shared" ca="1" si="44"/>
        <v>0</v>
      </c>
      <c r="BX68" s="298">
        <f t="shared" ca="1" si="45"/>
        <v>0</v>
      </c>
      <c r="BY68" s="298">
        <f t="shared" ca="1" si="46"/>
        <v>0</v>
      </c>
      <c r="BZ68" s="298">
        <f t="shared" ca="1" si="47"/>
        <v>0</v>
      </c>
      <c r="CA68" s="315">
        <f t="shared" ca="1" si="48"/>
        <v>0.42412001625314877</v>
      </c>
      <c r="CC68" s="52"/>
      <c r="CD68" s="306">
        <f t="shared" ca="1" si="94"/>
        <v>0</v>
      </c>
      <c r="CE68" s="15">
        <f t="shared" ca="1" si="49"/>
        <v>0</v>
      </c>
      <c r="CF68" s="15">
        <f t="shared" ca="1" si="50"/>
        <v>0</v>
      </c>
      <c r="CG68" s="286">
        <f t="shared" ca="1" si="51"/>
        <v>0</v>
      </c>
      <c r="CH68" s="15">
        <f t="shared" ca="1" si="52"/>
        <v>0</v>
      </c>
      <c r="CI68" s="288">
        <f t="shared" ca="1" si="53"/>
        <v>0</v>
      </c>
      <c r="CJ68" s="15">
        <f t="shared" ca="1" si="54"/>
        <v>0</v>
      </c>
      <c r="CK68" s="15">
        <f t="shared" ca="1" si="55"/>
        <v>0</v>
      </c>
      <c r="CL68" s="15">
        <f t="shared" ca="1" si="56"/>
        <v>0</v>
      </c>
      <c r="CM68" s="313">
        <f t="shared" ca="1" si="57"/>
        <v>1</v>
      </c>
      <c r="CO68" s="320">
        <f t="shared" ca="1" si="95"/>
        <v>57</v>
      </c>
      <c r="CP68" s="22">
        <f ca="1">COUNTIFS($C$10:$C67,"&lt;"&amp;$C68,$M$10:$M67,$D68&amp;"_"&amp;CP$9)</f>
        <v>0</v>
      </c>
      <c r="CQ68" s="7">
        <f ca="1">COUNTIFS($C$10:$C67,"&lt;"&amp;$C68,$M$10:$M67,$D68&amp;"_"&amp;CQ$9)</f>
        <v>0</v>
      </c>
      <c r="CR68" s="7">
        <f ca="1">COUNTIFS($C$10:$C67,"&lt;"&amp;$C68,$M$10:$M67,$D68&amp;"_"&amp;CR$9)</f>
        <v>0</v>
      </c>
      <c r="CS68" s="17">
        <f ca="1">COUNTIFS($C$10:$C67,"&lt;"&amp;$C68,$M$10:$M67,$D68&amp;"_"&amp;CS$9)</f>
        <v>0</v>
      </c>
      <c r="CT68" s="7">
        <f ca="1">COUNTIFS($C$10:$C67,"&lt;"&amp;$C68,$M$10:$M67,$D68&amp;"_"&amp;CT$9)</f>
        <v>0</v>
      </c>
      <c r="CU68" s="18">
        <f ca="1">COUNTIFS($C$10:$C67,"&lt;"&amp;$C68,$M$10:$M67,$D68&amp;"_"&amp;CU$9)</f>
        <v>0</v>
      </c>
      <c r="CV68" s="7">
        <f ca="1">COUNTIFS($C$10:$C67,"&lt;"&amp;$C68,$M$10:$M67,$D68&amp;"_"&amp;CV$9)</f>
        <v>0</v>
      </c>
      <c r="CW68" s="7">
        <f ca="1">COUNTIFS($C$10:$C67,"&lt;"&amp;$C68,$M$10:$M67,$D68&amp;"_"&amp;CW$9)</f>
        <v>0</v>
      </c>
      <c r="CX68" s="7">
        <f ca="1">COUNTIFS($C$10:$C67,"&lt;"&amp;$C68,$M$10:$M67,$D68&amp;"_"&amp;CX$9)</f>
        <v>0</v>
      </c>
      <c r="CY68" s="221">
        <f ca="1">COUNTIFS($C$10:$C67,"&lt;"&amp;$C68,$M$10:$M67,$D68&amp;"_"&amp;CY$9)</f>
        <v>57</v>
      </c>
      <c r="DA68" s="20"/>
      <c r="DB68" s="308">
        <f ca="1">IF(CP68=0,0,SUMIFS($P$10:$P67, $C$10:$C67,"&lt;"&amp;$C68, $M$10:$M67,$D68&amp;"_"&amp;DB$9)/CP68)</f>
        <v>0</v>
      </c>
      <c r="DC68" s="263">
        <f ca="1">IF(CQ68=0,0,SUMIFS($P$10:$P67, $C$10:$C67,"&lt;"&amp;$C68, $M$10:$M67,$D68&amp;"_"&amp;DC$9)/CQ68)</f>
        <v>0</v>
      </c>
      <c r="DD68" s="263">
        <f ca="1">IF(CR68=0,0,SUMIFS($P$10:$P67, $C$10:$C67,"&lt;"&amp;$C68, $M$10:$M67,$D68&amp;"_"&amp;DD$9)/CR68)</f>
        <v>0</v>
      </c>
      <c r="DE68" s="262">
        <f ca="1">IF(CS68=0,0,SUMIFS($P$10:$P67, $C$10:$C67,"&lt;"&amp;$C68, $M$10:$M67,$D68&amp;"_"&amp;DE$9)/CS68)</f>
        <v>0</v>
      </c>
      <c r="DF68" s="263">
        <f ca="1">IF(CT68=0,0,SUMIFS($P$10:$P67, $C$10:$C67,"&lt;"&amp;$C68, $M$10:$M67,$D68&amp;"_"&amp;DF$9)/CT68)</f>
        <v>0</v>
      </c>
      <c r="DG68" s="310">
        <f ca="1">IF(CU68=0,0,SUMIFS($P$10:$P67, $C$10:$C67,"&lt;"&amp;$C68, $M$10:$M67,$D68&amp;"_"&amp;DG$9)/CU68)</f>
        <v>0</v>
      </c>
      <c r="DH68" s="263">
        <f ca="1">IF(CV68=0,0,SUMIFS($P$10:$P67, $C$10:$C67,"&lt;"&amp;$C68, $M$10:$M67,$D68&amp;"_"&amp;DH$9)/CV68)</f>
        <v>0</v>
      </c>
      <c r="DI68" s="263">
        <f ca="1">IF(CW68=0,0,SUMIFS($P$10:$P67, $C$10:$C67,"&lt;"&amp;$C68, $M$10:$M67,$D68&amp;"_"&amp;DI$9)/CW68)</f>
        <v>0</v>
      </c>
      <c r="DJ68" s="264">
        <f ca="1">IF(CX68=0,0,SUMIFS($P$10:$P67, $C$10:$C67,"&lt;"&amp;$C68, $M$10:$M67,$D68&amp;"_"&amp;DJ$9)/CX68)</f>
        <v>0</v>
      </c>
      <c r="DK68" s="264">
        <f ca="1">IF(CY68=0,0,SUMIFS($P$10:$P67, $C$10:$C67,"&lt;"&amp;$C68, $M$10:$M67,$D68&amp;"_"&amp;DK$9)/CY68)</f>
        <v>-1</v>
      </c>
      <c r="DM68" s="104"/>
      <c r="DN68" s="306">
        <f t="shared" ca="1" si="96"/>
        <v>-9999</v>
      </c>
      <c r="DO68" s="15">
        <f t="shared" ca="1" si="58"/>
        <v>-9999</v>
      </c>
      <c r="DP68" s="15">
        <f t="shared" ca="1" si="59"/>
        <v>-9999</v>
      </c>
      <c r="DQ68" s="15">
        <f t="shared" ca="1" si="60"/>
        <v>-9999</v>
      </c>
      <c r="DR68" s="15">
        <f t="shared" ca="1" si="61"/>
        <v>-9999</v>
      </c>
      <c r="DS68" s="15">
        <f t="shared" ca="1" si="62"/>
        <v>-9999</v>
      </c>
      <c r="DT68" s="15">
        <f t="shared" ca="1" si="63"/>
        <v>-9999</v>
      </c>
      <c r="DU68" s="15">
        <f t="shared" ca="1" si="64"/>
        <v>-9999</v>
      </c>
      <c r="DV68" s="52">
        <f t="shared" ca="1" si="65"/>
        <v>-9999</v>
      </c>
      <c r="DW68" s="313">
        <f t="shared" ca="1" si="66"/>
        <v>-0.86983044077119398</v>
      </c>
      <c r="DX68" s="52"/>
      <c r="DY68" s="402">
        <f t="shared" ca="1" si="97"/>
        <v>9</v>
      </c>
      <c r="ED68" s="19">
        <f t="shared" ca="1" si="129"/>
        <v>-1</v>
      </c>
      <c r="EE68" s="1">
        <f t="shared" ca="1" si="130"/>
        <v>1</v>
      </c>
      <c r="EF68" s="1">
        <f t="shared" ca="1" si="131"/>
        <v>-1</v>
      </c>
      <c r="EG68" s="2">
        <f t="shared" ca="1" si="132"/>
        <v>1</v>
      </c>
      <c r="EH68" s="1">
        <f t="shared" ca="1" si="133"/>
        <v>-1</v>
      </c>
      <c r="EI68" s="3">
        <f t="shared" ca="1" si="134"/>
        <v>1</v>
      </c>
      <c r="EJ68" s="1">
        <f t="shared" ca="1" si="135"/>
        <v>0</v>
      </c>
      <c r="EK68" s="1">
        <f t="shared" ca="1" si="136"/>
        <v>0</v>
      </c>
      <c r="EL68" s="20">
        <f t="shared" ca="1" si="137"/>
        <v>-1</v>
      </c>
      <c r="EN68" s="86">
        <f ca="1">MAX(0, SUMPRODUCT($ED68:$EL68,OFFSET(DNN!$E$9:$M$9,EN$9,0)) + OFFSET(DNN!$D$9,EN$9,0))</f>
        <v>0</v>
      </c>
      <c r="EO68" s="84">
        <f ca="1">MAX(0, SUMPRODUCT($ED68:$EL68,OFFSET(DNN!$E$9:$M$9,EO$9,0)) + OFFSET(DNN!$D$9,EO$9,0))</f>
        <v>7.2346022384755949E-3</v>
      </c>
      <c r="EP68" s="84">
        <f ca="1">MAX(0, SUMPRODUCT($ED68:$EL68,OFFSET(DNN!$E$9:$M$9,EP$9,0)) + OFFSET(DNN!$D$9,EP$9,0))</f>
        <v>3.6951849750035152E-3</v>
      </c>
      <c r="EQ68" s="84">
        <f ca="1">MAX(0, SUMPRODUCT($ED68:$EL68,OFFSET(DNN!$E$9:$M$9,EQ$9,0)) + OFFSET(DNN!$D$9,EQ$9,0))</f>
        <v>0</v>
      </c>
      <c r="ER68" s="85">
        <f ca="1">MAX(0, SUMPRODUCT($ED68:$EL68,OFFSET(DNN!$E$9:$M$9,ER$9,0)) + OFFSET(DNN!$D$9,ER$9,0))</f>
        <v>0</v>
      </c>
      <c r="ET68" s="86">
        <f ca="1">MAX(0, SUMPRODUCT($EN68:$ER68,OFFSET(DNN!$Q$9:$U$9,ET$9,0)) + OFFSET(DNN!$P$9,ET$9,0))</f>
        <v>4.3954959453478351E-4</v>
      </c>
      <c r="EU68" s="84">
        <f ca="1">MAX(0, SUMPRODUCT($EN68:$ER68,OFFSET(DNN!$Q$9:$U$9,EU$9,0)) + OFFSET(DNN!$P$9,EU$9,0))</f>
        <v>0</v>
      </c>
      <c r="EV68" s="84">
        <f ca="1">MAX(0, SUMPRODUCT($EN68:$ER68,OFFSET(DNN!$Q$9:$U$9,EV$9,0)) + OFFSET(DNN!$P$9,EV$9,0))</f>
        <v>1.2810123361902579E-3</v>
      </c>
      <c r="EW68" s="84">
        <f ca="1">MAX(0, SUMPRODUCT($EN68:$ER68,OFFSET(DNN!$Q$9:$U$9,EW$9,0)) + OFFSET(DNN!$P$9,EW$9,0))</f>
        <v>7.8382123007882457E-4</v>
      </c>
      <c r="EX68" s="85">
        <f ca="1">MAX(0, SUMPRODUCT($EN68:$ER68,OFFSET(DNN!$Q$9:$U$9,EX$9,0)) + OFFSET(DNN!$P$9,EX$9,0))</f>
        <v>0</v>
      </c>
      <c r="EZ68" s="111">
        <f ca="1">SUMPRODUCT($ET68:$EX68,OFFSET(DNN!$Y$9:$AC$9,EZ$9,0)) + OFFSET(DNN!$X$9,EZ$9,0)</f>
        <v>0.43031618918982212</v>
      </c>
      <c r="FA68" s="97">
        <f ca="1">SUMPRODUCT($ET68:$EX68,OFFSET(DNN!$Y$9:$AC$9,FA$9,0)) + OFFSET(DNN!$X$9,FA$9,0)</f>
        <v>-1.2643439935754107E-5</v>
      </c>
      <c r="FB68" s="97">
        <f ca="1">SUMPRODUCT($ET68:$EX68,OFFSET(DNN!$Y$9:$AC$9,FB$9,0)) + OFFSET(DNN!$X$9,FB$9,0)</f>
        <v>1.5239793458415756E-2</v>
      </c>
      <c r="FC68" s="97">
        <f ca="1">SUMPRODUCT($ET68:$EX68,OFFSET(DNN!$Y$9:$AC$9,FC$9,0)) + OFFSET(DNN!$X$9,FC$9,0)</f>
        <v>-8.8749521084055777E-4</v>
      </c>
      <c r="FD68" s="97">
        <f ca="1">SUMPRODUCT($ET68:$EX68,OFFSET(DNN!$Y$9:$AC$9,FD$9,0)) + OFFSET(DNN!$X$9,FD$9,0)</f>
        <v>-4.235816470721872E-4</v>
      </c>
      <c r="FE68" s="97">
        <f ca="1">SUMPRODUCT($ET68:$EX68,OFFSET(DNN!$Y$9:$AC$9,FE$9,0)) + OFFSET(DNN!$X$9,FE$9,0)</f>
        <v>-1.574182761064886E-5</v>
      </c>
      <c r="FF68" s="97">
        <f ca="1">SUMPRODUCT($ET68:$EX68,OFFSET(DNN!$Y$9:$AC$9,FF$9,0)) + OFFSET(DNN!$X$9,FF$9,0)</f>
        <v>-1.3491460223194656E-3</v>
      </c>
      <c r="FG68" s="97">
        <f ca="1">SUMPRODUCT($ET68:$EX68,OFFSET(DNN!$Y$9:$AC$9,FG$9,0)) + OFFSET(DNN!$X$9,FG$9,0)</f>
        <v>-6.2604808096248285E-2</v>
      </c>
      <c r="FH68" s="97">
        <f ca="1">SUMPRODUCT($ET68:$EX68,OFFSET(DNN!$Y$9:$AC$9,FH$9,0)) + OFFSET(DNN!$X$9,FH$9,0)</f>
        <v>8.6810016937029894E-4</v>
      </c>
      <c r="FI68" s="108">
        <f ca="1">SUMPRODUCT($ET68:$EX68,OFFSET(DNN!$Y$9:$AC$9,FI$9,0)) + OFFSET(DNN!$X$9,FI$9,0)</f>
        <v>-1.3182687612562751</v>
      </c>
      <c r="FJ68" s="98">
        <f ca="1">SUMPRODUCT($ET68:$EX68,OFFSET(DNN!$Y$9:$AC$9,FJ$9,0)) + OFFSET(DNN!$X$9,FJ$9,0)</f>
        <v>-2.2535161745939301E-5</v>
      </c>
      <c r="FL68" s="415">
        <f t="shared" ca="1" si="98"/>
        <v>0.43031618918982212</v>
      </c>
      <c r="FM68" s="130">
        <f t="shared" ca="1" si="99"/>
        <v>1</v>
      </c>
      <c r="FN68" s="131">
        <f t="shared" ca="1" si="100"/>
        <v>0.65029522127322903</v>
      </c>
      <c r="FO68" s="131">
        <f t="shared" ca="1" si="101"/>
        <v>0.66028983545318687</v>
      </c>
      <c r="FP68" s="131">
        <f t="shared" ca="1" si="102"/>
        <v>0.64972655813153501</v>
      </c>
      <c r="FQ68" s="131">
        <f t="shared" ca="1" si="103"/>
        <v>0.65002804502111444</v>
      </c>
      <c r="FR68" s="131">
        <f t="shared" ca="1" si="104"/>
        <v>0.65029320640965171</v>
      </c>
      <c r="FS68" s="131">
        <f t="shared" ca="1" si="105"/>
        <v>0.64942668056342145</v>
      </c>
      <c r="FT68" s="131">
        <f t="shared" ca="1" si="106"/>
        <v>0.61083952513994022</v>
      </c>
      <c r="FU68" s="132">
        <f t="shared" ca="1" si="107"/>
        <v>0.6508682169276182</v>
      </c>
      <c r="FV68" s="131">
        <f t="shared" ca="1" si="108"/>
        <v>0.17402001625314881</v>
      </c>
      <c r="FW68" s="83">
        <f t="shared" ca="1" si="109"/>
        <v>-2.2535161742124597E-5</v>
      </c>
    </row>
    <row r="69" spans="1:179">
      <c r="A69" s="19">
        <f t="shared" si="117"/>
        <v>59</v>
      </c>
      <c r="B69" s="1">
        <f t="shared" ca="1" si="111"/>
        <v>0</v>
      </c>
      <c r="C69" s="20">
        <f t="shared" ca="1" si="112"/>
        <v>59</v>
      </c>
      <c r="D69" s="19" t="str">
        <f t="shared" ca="1" si="113"/>
        <v>〇×〇×〇×--〇</v>
      </c>
      <c r="E69" s="7">
        <f t="shared" ca="1" si="77"/>
        <v>9</v>
      </c>
      <c r="F69" s="7">
        <f t="shared" ca="1" si="78"/>
        <v>1</v>
      </c>
      <c r="G69" s="1" t="str">
        <f t="shared" ca="1" si="139"/>
        <v>〇×〇×〇×--〇</v>
      </c>
      <c r="H69" s="20" t="b">
        <f t="shared" ca="1" si="140"/>
        <v>1</v>
      </c>
      <c r="I69" s="22">
        <f t="shared" ca="1" si="114"/>
        <v>-1</v>
      </c>
      <c r="J69" s="1" t="b">
        <f ca="1">(1&lt;COUNTIF(D$10:D69,D69))</f>
        <v>1</v>
      </c>
      <c r="K69" s="1" t="b">
        <f t="shared" ca="1" si="141"/>
        <v>1</v>
      </c>
      <c r="L69" s="7">
        <f ca="1">MATCH(TRUE,K69:K$1048576,FALSE)-1</f>
        <v>0</v>
      </c>
      <c r="M69" s="24" t="str">
        <f t="shared" ca="1" si="142"/>
        <v>〇×〇×〇×--〇_9</v>
      </c>
      <c r="N69" s="25">
        <f t="shared" ca="1" si="82"/>
        <v>-2.2535161742124597E-5</v>
      </c>
      <c r="O69" s="26">
        <f t="shared" ca="1" si="83"/>
        <v>-1</v>
      </c>
      <c r="P69" s="27">
        <f t="shared" ca="1" si="84"/>
        <v>-1</v>
      </c>
      <c r="R69" s="41" t="str">
        <f ca="1">VLOOKUP(S69,cvt!$B$2:$C$4,2,FALSE)&amp;VLOOKUP(T69,cvt!$B$2:$C$4,2,FALSE)&amp;VLOOKUP(U69,cvt!$B$2:$C$4,2,FALSE)
&amp;VLOOKUP(V69,cvt!$B$2:$C$4,2,FALSE)&amp;VLOOKUP(W69,cvt!$B$2:$C$4,2,FALSE)&amp;VLOOKUP(X69,cvt!$B$2:$C$4,2,FALSE)
&amp;VLOOKUP(Y69,cvt!$B$2:$C$4,2,FALSE)&amp;VLOOKUP(Z69,cvt!$B$2:$C$4,2,FALSE)&amp;VLOOKUP(AA69,cvt!$B$2:$C$4,2,FALSE)</f>
        <v>〇×〇×〇×--〇</v>
      </c>
      <c r="S69" s="7">
        <f ca="1">VLOOKUP(MID($D69,S$9+1,1), cvt!$A$2:$B$4,2, FALSE)</f>
        <v>1</v>
      </c>
      <c r="T69" s="7">
        <f ca="1">VLOOKUP(MID($D69,T$9+1,1), cvt!$A$2:$B$4,2, FALSE)</f>
        <v>-1</v>
      </c>
      <c r="U69" s="7">
        <f ca="1">VLOOKUP(MID($D69,U$9+1,1), cvt!$A$2:$B$4,2, FALSE)</f>
        <v>1</v>
      </c>
      <c r="V69" s="17">
        <f ca="1">VLOOKUP(MID($D69,V$9+1,1), cvt!$A$2:$B$4,2, FALSE)</f>
        <v>-1</v>
      </c>
      <c r="W69" s="7">
        <f ca="1">VLOOKUP(MID($D69,W$9+1,1), cvt!$A$2:$B$4,2, FALSE)</f>
        <v>1</v>
      </c>
      <c r="X69" s="18">
        <f ca="1">VLOOKUP(MID($D69,X$9+1,1), cvt!$A$2:$B$4,2, FALSE)</f>
        <v>-1</v>
      </c>
      <c r="Y69" s="7">
        <f ca="1">VLOOKUP(MID($D69,Y$9+1,1), cvt!$A$2:$B$4,2, FALSE)</f>
        <v>0</v>
      </c>
      <c r="Z69" s="7">
        <f ca="1">VLOOKUP(MID($D69,Z$9+1,1), cvt!$A$2:$B$4,2, FALSE)</f>
        <v>0</v>
      </c>
      <c r="AA69" s="42">
        <f ca="1">VLOOKUP(MID($D69,AA$9+1,1), cvt!$A$2:$B$4,2, FALSE)</f>
        <v>1</v>
      </c>
      <c r="AB69" s="7">
        <f t="shared" ca="1" si="85"/>
        <v>1</v>
      </c>
      <c r="AC69" s="50" t="b">
        <f t="shared" ca="1" si="86"/>
        <v>1</v>
      </c>
      <c r="AE69" s="19" t="str">
        <f ca="1">VLOOKUP(AF69,cvt!$B$2:$C$4,2,FALSE)&amp;VLOOKUP(AG69,cvt!$B$2:$C$4,2,FALSE)&amp;VLOOKUP(AH69,cvt!$B$2:$C$4,2,FALSE)
&amp;VLOOKUP(AI69,cvt!$B$2:$C$4,2,FALSE)&amp;VLOOKUP(AJ69,cvt!$B$2:$C$4,2,FALSE)&amp;VLOOKUP(AK69,cvt!$B$2:$C$4,2,FALSE)
&amp;VLOOKUP(AL69,cvt!$B$2:$C$4,2,FALSE)&amp;VLOOKUP(AM69,cvt!$B$2:$C$4,2,FALSE)&amp;VLOOKUP(AN69,cvt!$B$2:$C$4,2,FALSE)</f>
        <v>〇×〇×〇×--〇</v>
      </c>
      <c r="AF69" s="17">
        <f t="shared" ca="1" si="143"/>
        <v>1</v>
      </c>
      <c r="AG69" s="7">
        <f t="shared" ca="1" si="144"/>
        <v>-1</v>
      </c>
      <c r="AH69" s="7">
        <f t="shared" ca="1" si="145"/>
        <v>1</v>
      </c>
      <c r="AI69" s="17">
        <f t="shared" ca="1" si="146"/>
        <v>-1</v>
      </c>
      <c r="AJ69" s="7">
        <f t="shared" ca="1" si="147"/>
        <v>1</v>
      </c>
      <c r="AK69" s="18">
        <f t="shared" ca="1" si="148"/>
        <v>-1</v>
      </c>
      <c r="AL69" s="7">
        <f t="shared" ca="1" si="149"/>
        <v>0</v>
      </c>
      <c r="AM69" s="7">
        <f t="shared" ca="1" si="150"/>
        <v>0</v>
      </c>
      <c r="AN69" s="18">
        <f t="shared" ca="1" si="151"/>
        <v>1</v>
      </c>
      <c r="AO69" s="7">
        <f t="shared" ca="1" si="115"/>
        <v>1</v>
      </c>
      <c r="AP69" s="50" t="b">
        <f t="shared" ca="1" si="152"/>
        <v>1</v>
      </c>
      <c r="AS69" s="22">
        <f t="shared" ca="1" si="88"/>
        <v>0</v>
      </c>
      <c r="AT69" s="7">
        <f t="shared" ca="1" si="23"/>
        <v>0</v>
      </c>
      <c r="AU69" s="7">
        <f t="shared" ca="1" si="24"/>
        <v>0</v>
      </c>
      <c r="AV69" s="7">
        <f t="shared" ca="1" si="25"/>
        <v>0</v>
      </c>
      <c r="AW69" s="7">
        <f t="shared" ca="1" si="26"/>
        <v>0</v>
      </c>
      <c r="AX69" s="7">
        <f t="shared" ca="1" si="27"/>
        <v>0</v>
      </c>
      <c r="AY69" s="7">
        <f t="shared" ca="1" si="28"/>
        <v>0</v>
      </c>
      <c r="AZ69" s="7">
        <f t="shared" ca="1" si="29"/>
        <v>0</v>
      </c>
      <c r="BA69" s="18">
        <f t="shared" ca="1" si="30"/>
        <v>0</v>
      </c>
      <c r="BB69" s="295">
        <f t="shared" ca="1" si="89"/>
        <v>1</v>
      </c>
      <c r="BD69" s="132"/>
      <c r="BE69" s="297">
        <f t="shared" ca="1" si="90"/>
        <v>1</v>
      </c>
      <c r="BF69" s="298">
        <f t="shared" ca="1" si="31"/>
        <v>0.65029522127322903</v>
      </c>
      <c r="BG69" s="298">
        <f t="shared" ca="1" si="32"/>
        <v>0.66028983545318687</v>
      </c>
      <c r="BH69" s="318">
        <f t="shared" ca="1" si="33"/>
        <v>0.64972655813153501</v>
      </c>
      <c r="BI69" s="298">
        <f t="shared" ca="1" si="34"/>
        <v>0.65002804502111444</v>
      </c>
      <c r="BJ69" s="299">
        <f t="shared" ca="1" si="35"/>
        <v>0.65029320640965171</v>
      </c>
      <c r="BK69" s="298">
        <f t="shared" ca="1" si="36"/>
        <v>0.64942668056342145</v>
      </c>
      <c r="BL69" s="298">
        <f t="shared" ca="1" si="37"/>
        <v>0.61083952513994022</v>
      </c>
      <c r="BM69" s="299">
        <f t="shared" ca="1" si="38"/>
        <v>0.6508682169276182</v>
      </c>
      <c r="BN69" s="295">
        <f t="shared" ca="1" si="39"/>
        <v>0.17402001625314881</v>
      </c>
      <c r="BO69" s="248">
        <f t="shared" ca="1" si="91"/>
        <v>-2.2535161742124597E-5</v>
      </c>
      <c r="BQ69" s="304">
        <f t="shared" ca="1" si="92"/>
        <v>0.42412001625314877</v>
      </c>
      <c r="BR69" s="297">
        <f t="shared" ca="1" si="93"/>
        <v>0</v>
      </c>
      <c r="BS69" s="298">
        <f t="shared" ca="1" si="40"/>
        <v>0</v>
      </c>
      <c r="BT69" s="298">
        <f t="shared" ca="1" si="41"/>
        <v>0</v>
      </c>
      <c r="BU69" s="318">
        <f t="shared" ca="1" si="42"/>
        <v>0</v>
      </c>
      <c r="BV69" s="298">
        <f t="shared" ca="1" si="43"/>
        <v>0</v>
      </c>
      <c r="BW69" s="299">
        <f t="shared" ca="1" si="44"/>
        <v>0</v>
      </c>
      <c r="BX69" s="298">
        <f t="shared" ca="1" si="45"/>
        <v>0</v>
      </c>
      <c r="BY69" s="298">
        <f t="shared" ca="1" si="46"/>
        <v>0</v>
      </c>
      <c r="BZ69" s="298">
        <f t="shared" ca="1" si="47"/>
        <v>0</v>
      </c>
      <c r="CA69" s="315">
        <f t="shared" ca="1" si="48"/>
        <v>0.42412001625314877</v>
      </c>
      <c r="CC69" s="52"/>
      <c r="CD69" s="306">
        <f t="shared" ca="1" si="94"/>
        <v>0</v>
      </c>
      <c r="CE69" s="15">
        <f t="shared" ca="1" si="49"/>
        <v>0</v>
      </c>
      <c r="CF69" s="15">
        <f t="shared" ca="1" si="50"/>
        <v>0</v>
      </c>
      <c r="CG69" s="286">
        <f t="shared" ca="1" si="51"/>
        <v>0</v>
      </c>
      <c r="CH69" s="15">
        <f t="shared" ca="1" si="52"/>
        <v>0</v>
      </c>
      <c r="CI69" s="288">
        <f t="shared" ca="1" si="53"/>
        <v>0</v>
      </c>
      <c r="CJ69" s="15">
        <f t="shared" ca="1" si="54"/>
        <v>0</v>
      </c>
      <c r="CK69" s="15">
        <f t="shared" ca="1" si="55"/>
        <v>0</v>
      </c>
      <c r="CL69" s="15">
        <f t="shared" ca="1" si="56"/>
        <v>0</v>
      </c>
      <c r="CM69" s="313">
        <f t="shared" ca="1" si="57"/>
        <v>1</v>
      </c>
      <c r="CO69" s="320">
        <f t="shared" ca="1" si="95"/>
        <v>58</v>
      </c>
      <c r="CP69" s="22">
        <f ca="1">COUNTIFS($C$10:$C68,"&lt;"&amp;$C69,$M$10:$M68,$D69&amp;"_"&amp;CP$9)</f>
        <v>0</v>
      </c>
      <c r="CQ69" s="7">
        <f ca="1">COUNTIFS($C$10:$C68,"&lt;"&amp;$C69,$M$10:$M68,$D69&amp;"_"&amp;CQ$9)</f>
        <v>0</v>
      </c>
      <c r="CR69" s="7">
        <f ca="1">COUNTIFS($C$10:$C68,"&lt;"&amp;$C69,$M$10:$M68,$D69&amp;"_"&amp;CR$9)</f>
        <v>0</v>
      </c>
      <c r="CS69" s="17">
        <f ca="1">COUNTIFS($C$10:$C68,"&lt;"&amp;$C69,$M$10:$M68,$D69&amp;"_"&amp;CS$9)</f>
        <v>0</v>
      </c>
      <c r="CT69" s="7">
        <f ca="1">COUNTIFS($C$10:$C68,"&lt;"&amp;$C69,$M$10:$M68,$D69&amp;"_"&amp;CT$9)</f>
        <v>0</v>
      </c>
      <c r="CU69" s="18">
        <f ca="1">COUNTIFS($C$10:$C68,"&lt;"&amp;$C69,$M$10:$M68,$D69&amp;"_"&amp;CU$9)</f>
        <v>0</v>
      </c>
      <c r="CV69" s="7">
        <f ca="1">COUNTIFS($C$10:$C68,"&lt;"&amp;$C69,$M$10:$M68,$D69&amp;"_"&amp;CV$9)</f>
        <v>0</v>
      </c>
      <c r="CW69" s="7">
        <f ca="1">COUNTIFS($C$10:$C68,"&lt;"&amp;$C69,$M$10:$M68,$D69&amp;"_"&amp;CW$9)</f>
        <v>0</v>
      </c>
      <c r="CX69" s="7">
        <f ca="1">COUNTIFS($C$10:$C68,"&lt;"&amp;$C69,$M$10:$M68,$D69&amp;"_"&amp;CX$9)</f>
        <v>0</v>
      </c>
      <c r="CY69" s="221">
        <f ca="1">COUNTIFS($C$10:$C68,"&lt;"&amp;$C69,$M$10:$M68,$D69&amp;"_"&amp;CY$9)</f>
        <v>58</v>
      </c>
      <c r="DA69" s="20"/>
      <c r="DB69" s="308">
        <f ca="1">IF(CP69=0,0,SUMIFS($P$10:$P68, $C$10:$C68,"&lt;"&amp;$C69, $M$10:$M68,$D69&amp;"_"&amp;DB$9)/CP69)</f>
        <v>0</v>
      </c>
      <c r="DC69" s="263">
        <f ca="1">IF(CQ69=0,0,SUMIFS($P$10:$P68, $C$10:$C68,"&lt;"&amp;$C69, $M$10:$M68,$D69&amp;"_"&amp;DC$9)/CQ69)</f>
        <v>0</v>
      </c>
      <c r="DD69" s="263">
        <f ca="1">IF(CR69=0,0,SUMIFS($P$10:$P68, $C$10:$C68,"&lt;"&amp;$C69, $M$10:$M68,$D69&amp;"_"&amp;DD$9)/CR69)</f>
        <v>0</v>
      </c>
      <c r="DE69" s="262">
        <f ca="1">IF(CS69=0,0,SUMIFS($P$10:$P68, $C$10:$C68,"&lt;"&amp;$C69, $M$10:$M68,$D69&amp;"_"&amp;DE$9)/CS69)</f>
        <v>0</v>
      </c>
      <c r="DF69" s="263">
        <f ca="1">IF(CT69=0,0,SUMIFS($P$10:$P68, $C$10:$C68,"&lt;"&amp;$C69, $M$10:$M68,$D69&amp;"_"&amp;DF$9)/CT69)</f>
        <v>0</v>
      </c>
      <c r="DG69" s="310">
        <f ca="1">IF(CU69=0,0,SUMIFS($P$10:$P68, $C$10:$C68,"&lt;"&amp;$C69, $M$10:$M68,$D69&amp;"_"&amp;DG$9)/CU69)</f>
        <v>0</v>
      </c>
      <c r="DH69" s="263">
        <f ca="1">IF(CV69=0,0,SUMIFS($P$10:$P68, $C$10:$C68,"&lt;"&amp;$C69, $M$10:$M68,$D69&amp;"_"&amp;DH$9)/CV69)</f>
        <v>0</v>
      </c>
      <c r="DI69" s="263">
        <f ca="1">IF(CW69=0,0,SUMIFS($P$10:$P68, $C$10:$C68,"&lt;"&amp;$C69, $M$10:$M68,$D69&amp;"_"&amp;DI$9)/CW69)</f>
        <v>0</v>
      </c>
      <c r="DJ69" s="264">
        <f ca="1">IF(CX69=0,0,SUMIFS($P$10:$P68, $C$10:$C68,"&lt;"&amp;$C69, $M$10:$M68,$D69&amp;"_"&amp;DJ$9)/CX69)</f>
        <v>0</v>
      </c>
      <c r="DK69" s="264">
        <f ca="1">IF(CY69=0,0,SUMIFS($P$10:$P68, $C$10:$C68,"&lt;"&amp;$C69, $M$10:$M68,$D69&amp;"_"&amp;DK$9)/CY69)</f>
        <v>-1</v>
      </c>
      <c r="DM69" s="104"/>
      <c r="DN69" s="306">
        <f t="shared" ca="1" si="96"/>
        <v>-9999</v>
      </c>
      <c r="DO69" s="15">
        <f t="shared" ca="1" si="58"/>
        <v>-9999</v>
      </c>
      <c r="DP69" s="15">
        <f t="shared" ca="1" si="59"/>
        <v>-9999</v>
      </c>
      <c r="DQ69" s="15">
        <f t="shared" ca="1" si="60"/>
        <v>-9999</v>
      </c>
      <c r="DR69" s="15">
        <f t="shared" ca="1" si="61"/>
        <v>-9999</v>
      </c>
      <c r="DS69" s="15">
        <f t="shared" ca="1" si="62"/>
        <v>-9999</v>
      </c>
      <c r="DT69" s="15">
        <f t="shared" ca="1" si="63"/>
        <v>-9999</v>
      </c>
      <c r="DU69" s="15">
        <f t="shared" ca="1" si="64"/>
        <v>-9999</v>
      </c>
      <c r="DV69" s="52">
        <f t="shared" ca="1" si="65"/>
        <v>-9999</v>
      </c>
      <c r="DW69" s="313">
        <f t="shared" ca="1" si="66"/>
        <v>-0.87091909990061178</v>
      </c>
      <c r="DX69" s="52"/>
      <c r="DY69" s="402">
        <f t="shared" ca="1" si="97"/>
        <v>9</v>
      </c>
      <c r="ED69" s="19">
        <f t="shared" ca="1" si="129"/>
        <v>-1</v>
      </c>
      <c r="EE69" s="1">
        <f t="shared" ca="1" si="130"/>
        <v>1</v>
      </c>
      <c r="EF69" s="1">
        <f t="shared" ca="1" si="131"/>
        <v>-1</v>
      </c>
      <c r="EG69" s="2">
        <f t="shared" ca="1" si="132"/>
        <v>1</v>
      </c>
      <c r="EH69" s="1">
        <f t="shared" ca="1" si="133"/>
        <v>-1</v>
      </c>
      <c r="EI69" s="3">
        <f t="shared" ca="1" si="134"/>
        <v>1</v>
      </c>
      <c r="EJ69" s="1">
        <f t="shared" ca="1" si="135"/>
        <v>0</v>
      </c>
      <c r="EK69" s="1">
        <f t="shared" ca="1" si="136"/>
        <v>0</v>
      </c>
      <c r="EL69" s="20">
        <f t="shared" ca="1" si="137"/>
        <v>-1</v>
      </c>
      <c r="EN69" s="86">
        <f ca="1">MAX(0, SUMPRODUCT($ED69:$EL69,OFFSET(DNN!$E$9:$M$9,EN$9,0)) + OFFSET(DNN!$D$9,EN$9,0))</f>
        <v>0</v>
      </c>
      <c r="EO69" s="84">
        <f ca="1">MAX(0, SUMPRODUCT($ED69:$EL69,OFFSET(DNN!$E$9:$M$9,EO$9,0)) + OFFSET(DNN!$D$9,EO$9,0))</f>
        <v>7.2346022384755949E-3</v>
      </c>
      <c r="EP69" s="84">
        <f ca="1">MAX(0, SUMPRODUCT($ED69:$EL69,OFFSET(DNN!$E$9:$M$9,EP$9,0)) + OFFSET(DNN!$D$9,EP$9,0))</f>
        <v>3.6951849750035152E-3</v>
      </c>
      <c r="EQ69" s="84">
        <f ca="1">MAX(0, SUMPRODUCT($ED69:$EL69,OFFSET(DNN!$E$9:$M$9,EQ$9,0)) + OFFSET(DNN!$D$9,EQ$9,0))</f>
        <v>0</v>
      </c>
      <c r="ER69" s="85">
        <f ca="1">MAX(0, SUMPRODUCT($ED69:$EL69,OFFSET(DNN!$E$9:$M$9,ER$9,0)) + OFFSET(DNN!$D$9,ER$9,0))</f>
        <v>0</v>
      </c>
      <c r="ET69" s="86">
        <f ca="1">MAX(0, SUMPRODUCT($EN69:$ER69,OFFSET(DNN!$Q$9:$U$9,ET$9,0)) + OFFSET(DNN!$P$9,ET$9,0))</f>
        <v>4.3954959453478351E-4</v>
      </c>
      <c r="EU69" s="84">
        <f ca="1">MAX(0, SUMPRODUCT($EN69:$ER69,OFFSET(DNN!$Q$9:$U$9,EU$9,0)) + OFFSET(DNN!$P$9,EU$9,0))</f>
        <v>0</v>
      </c>
      <c r="EV69" s="84">
        <f ca="1">MAX(0, SUMPRODUCT($EN69:$ER69,OFFSET(DNN!$Q$9:$U$9,EV$9,0)) + OFFSET(DNN!$P$9,EV$9,0))</f>
        <v>1.2810123361902579E-3</v>
      </c>
      <c r="EW69" s="84">
        <f ca="1">MAX(0, SUMPRODUCT($EN69:$ER69,OFFSET(DNN!$Q$9:$U$9,EW$9,0)) + OFFSET(DNN!$P$9,EW$9,0))</f>
        <v>7.8382123007882457E-4</v>
      </c>
      <c r="EX69" s="85">
        <f ca="1">MAX(0, SUMPRODUCT($EN69:$ER69,OFFSET(DNN!$Q$9:$U$9,EX$9,0)) + OFFSET(DNN!$P$9,EX$9,0))</f>
        <v>0</v>
      </c>
      <c r="EZ69" s="111">
        <f ca="1">SUMPRODUCT($ET69:$EX69,OFFSET(DNN!$Y$9:$AC$9,EZ$9,0)) + OFFSET(DNN!$X$9,EZ$9,0)</f>
        <v>0.43031618918982212</v>
      </c>
      <c r="FA69" s="97">
        <f ca="1">SUMPRODUCT($ET69:$EX69,OFFSET(DNN!$Y$9:$AC$9,FA$9,0)) + OFFSET(DNN!$X$9,FA$9,0)</f>
        <v>-1.2643439935754107E-5</v>
      </c>
      <c r="FB69" s="97">
        <f ca="1">SUMPRODUCT($ET69:$EX69,OFFSET(DNN!$Y$9:$AC$9,FB$9,0)) + OFFSET(DNN!$X$9,FB$9,0)</f>
        <v>1.5239793458415756E-2</v>
      </c>
      <c r="FC69" s="97">
        <f ca="1">SUMPRODUCT($ET69:$EX69,OFFSET(DNN!$Y$9:$AC$9,FC$9,0)) + OFFSET(DNN!$X$9,FC$9,0)</f>
        <v>-8.8749521084055777E-4</v>
      </c>
      <c r="FD69" s="97">
        <f ca="1">SUMPRODUCT($ET69:$EX69,OFFSET(DNN!$Y$9:$AC$9,FD$9,0)) + OFFSET(DNN!$X$9,FD$9,0)</f>
        <v>-4.235816470721872E-4</v>
      </c>
      <c r="FE69" s="97">
        <f ca="1">SUMPRODUCT($ET69:$EX69,OFFSET(DNN!$Y$9:$AC$9,FE$9,0)) + OFFSET(DNN!$X$9,FE$9,0)</f>
        <v>-1.574182761064886E-5</v>
      </c>
      <c r="FF69" s="97">
        <f ca="1">SUMPRODUCT($ET69:$EX69,OFFSET(DNN!$Y$9:$AC$9,FF$9,0)) + OFFSET(DNN!$X$9,FF$9,0)</f>
        <v>-1.3491460223194656E-3</v>
      </c>
      <c r="FG69" s="97">
        <f ca="1">SUMPRODUCT($ET69:$EX69,OFFSET(DNN!$Y$9:$AC$9,FG$9,0)) + OFFSET(DNN!$X$9,FG$9,0)</f>
        <v>-6.2604808096248285E-2</v>
      </c>
      <c r="FH69" s="97">
        <f ca="1">SUMPRODUCT($ET69:$EX69,OFFSET(DNN!$Y$9:$AC$9,FH$9,0)) + OFFSET(DNN!$X$9,FH$9,0)</f>
        <v>8.6810016937029894E-4</v>
      </c>
      <c r="FI69" s="108">
        <f ca="1">SUMPRODUCT($ET69:$EX69,OFFSET(DNN!$Y$9:$AC$9,FI$9,0)) + OFFSET(DNN!$X$9,FI$9,0)</f>
        <v>-1.3182687612562751</v>
      </c>
      <c r="FJ69" s="98">
        <f ca="1">SUMPRODUCT($ET69:$EX69,OFFSET(DNN!$Y$9:$AC$9,FJ$9,0)) + OFFSET(DNN!$X$9,FJ$9,0)</f>
        <v>-2.2535161745939301E-5</v>
      </c>
      <c r="FL69" s="415">
        <f t="shared" ca="1" si="98"/>
        <v>0.43031618918982212</v>
      </c>
      <c r="FM69" s="130">
        <f t="shared" ca="1" si="99"/>
        <v>1</v>
      </c>
      <c r="FN69" s="131">
        <f t="shared" ca="1" si="100"/>
        <v>0.65029522127322903</v>
      </c>
      <c r="FO69" s="131">
        <f t="shared" ca="1" si="101"/>
        <v>0.66028983545318687</v>
      </c>
      <c r="FP69" s="131">
        <f t="shared" ca="1" si="102"/>
        <v>0.64972655813153501</v>
      </c>
      <c r="FQ69" s="131">
        <f t="shared" ca="1" si="103"/>
        <v>0.65002804502111444</v>
      </c>
      <c r="FR69" s="131">
        <f t="shared" ca="1" si="104"/>
        <v>0.65029320640965171</v>
      </c>
      <c r="FS69" s="131">
        <f t="shared" ca="1" si="105"/>
        <v>0.64942668056342145</v>
      </c>
      <c r="FT69" s="131">
        <f t="shared" ca="1" si="106"/>
        <v>0.61083952513994022</v>
      </c>
      <c r="FU69" s="132">
        <f t="shared" ca="1" si="107"/>
        <v>0.6508682169276182</v>
      </c>
      <c r="FV69" s="131">
        <f t="shared" ca="1" si="108"/>
        <v>0.17402001625314881</v>
      </c>
      <c r="FW69" s="83">
        <f t="shared" ca="1" si="109"/>
        <v>-2.2535161742124597E-5</v>
      </c>
    </row>
    <row r="70" spans="1:179">
      <c r="A70" s="19">
        <f t="shared" si="117"/>
        <v>60</v>
      </c>
      <c r="B70" s="1">
        <f t="shared" ca="1" si="111"/>
        <v>0</v>
      </c>
      <c r="C70" s="20">
        <f t="shared" ca="1" si="112"/>
        <v>60</v>
      </c>
      <c r="D70" s="19" t="str">
        <f t="shared" ca="1" si="113"/>
        <v>〇×〇×〇×--〇</v>
      </c>
      <c r="E70" s="7">
        <f t="shared" ca="1" si="77"/>
        <v>9</v>
      </c>
      <c r="F70" s="7">
        <f t="shared" ca="1" si="78"/>
        <v>1</v>
      </c>
      <c r="G70" s="1" t="str">
        <f t="shared" ca="1" si="139"/>
        <v>〇×〇×〇×--〇</v>
      </c>
      <c r="H70" s="20" t="b">
        <f t="shared" ca="1" si="140"/>
        <v>1</v>
      </c>
      <c r="I70" s="22">
        <f t="shared" ca="1" si="114"/>
        <v>-1</v>
      </c>
      <c r="J70" s="1" t="b">
        <f ca="1">(1&lt;COUNTIF(D$10:D70,D70))</f>
        <v>1</v>
      </c>
      <c r="K70" s="1" t="b">
        <f t="shared" ca="1" si="141"/>
        <v>1</v>
      </c>
      <c r="L70" s="7">
        <f ca="1">MATCH(TRUE,K70:K$1048576,FALSE)-1</f>
        <v>0</v>
      </c>
      <c r="M70" s="24" t="str">
        <f t="shared" ca="1" si="142"/>
        <v>〇×〇×〇×--〇_9</v>
      </c>
      <c r="N70" s="25">
        <f t="shared" ca="1" si="82"/>
        <v>-2.2535161742124597E-5</v>
      </c>
      <c r="O70" s="26">
        <f t="shared" ca="1" si="83"/>
        <v>-1</v>
      </c>
      <c r="P70" s="27">
        <f t="shared" ca="1" si="84"/>
        <v>-1</v>
      </c>
      <c r="R70" s="41" t="str">
        <f ca="1">VLOOKUP(S70,cvt!$B$2:$C$4,2,FALSE)&amp;VLOOKUP(T70,cvt!$B$2:$C$4,2,FALSE)&amp;VLOOKUP(U70,cvt!$B$2:$C$4,2,FALSE)
&amp;VLOOKUP(V70,cvt!$B$2:$C$4,2,FALSE)&amp;VLOOKUP(W70,cvt!$B$2:$C$4,2,FALSE)&amp;VLOOKUP(X70,cvt!$B$2:$C$4,2,FALSE)
&amp;VLOOKUP(Y70,cvt!$B$2:$C$4,2,FALSE)&amp;VLOOKUP(Z70,cvt!$B$2:$C$4,2,FALSE)&amp;VLOOKUP(AA70,cvt!$B$2:$C$4,2,FALSE)</f>
        <v>〇×〇×〇×--〇</v>
      </c>
      <c r="S70" s="7">
        <f ca="1">VLOOKUP(MID($D70,S$9+1,1), cvt!$A$2:$B$4,2, FALSE)</f>
        <v>1</v>
      </c>
      <c r="T70" s="7">
        <f ca="1">VLOOKUP(MID($D70,T$9+1,1), cvt!$A$2:$B$4,2, FALSE)</f>
        <v>-1</v>
      </c>
      <c r="U70" s="7">
        <f ca="1">VLOOKUP(MID($D70,U$9+1,1), cvt!$A$2:$B$4,2, FALSE)</f>
        <v>1</v>
      </c>
      <c r="V70" s="17">
        <f ca="1">VLOOKUP(MID($D70,V$9+1,1), cvt!$A$2:$B$4,2, FALSE)</f>
        <v>-1</v>
      </c>
      <c r="W70" s="7">
        <f ca="1">VLOOKUP(MID($D70,W$9+1,1), cvt!$A$2:$B$4,2, FALSE)</f>
        <v>1</v>
      </c>
      <c r="X70" s="18">
        <f ca="1">VLOOKUP(MID($D70,X$9+1,1), cvt!$A$2:$B$4,2, FALSE)</f>
        <v>-1</v>
      </c>
      <c r="Y70" s="7">
        <f ca="1">VLOOKUP(MID($D70,Y$9+1,1), cvt!$A$2:$B$4,2, FALSE)</f>
        <v>0</v>
      </c>
      <c r="Z70" s="7">
        <f ca="1">VLOOKUP(MID($D70,Z$9+1,1), cvt!$A$2:$B$4,2, FALSE)</f>
        <v>0</v>
      </c>
      <c r="AA70" s="42">
        <f ca="1">VLOOKUP(MID($D70,AA$9+1,1), cvt!$A$2:$B$4,2, FALSE)</f>
        <v>1</v>
      </c>
      <c r="AB70" s="7">
        <f t="shared" ca="1" si="85"/>
        <v>1</v>
      </c>
      <c r="AC70" s="50" t="b">
        <f t="shared" ca="1" si="86"/>
        <v>1</v>
      </c>
      <c r="AE70" s="19" t="str">
        <f ca="1">VLOOKUP(AF70,cvt!$B$2:$C$4,2,FALSE)&amp;VLOOKUP(AG70,cvt!$B$2:$C$4,2,FALSE)&amp;VLOOKUP(AH70,cvt!$B$2:$C$4,2,FALSE)
&amp;VLOOKUP(AI70,cvt!$B$2:$C$4,2,FALSE)&amp;VLOOKUP(AJ70,cvt!$B$2:$C$4,2,FALSE)&amp;VLOOKUP(AK70,cvt!$B$2:$C$4,2,FALSE)
&amp;VLOOKUP(AL70,cvt!$B$2:$C$4,2,FALSE)&amp;VLOOKUP(AM70,cvt!$B$2:$C$4,2,FALSE)&amp;VLOOKUP(AN70,cvt!$B$2:$C$4,2,FALSE)</f>
        <v>〇×〇×〇×--〇</v>
      </c>
      <c r="AF70" s="17">
        <f t="shared" ca="1" si="143"/>
        <v>1</v>
      </c>
      <c r="AG70" s="7">
        <f t="shared" ca="1" si="144"/>
        <v>-1</v>
      </c>
      <c r="AH70" s="7">
        <f t="shared" ca="1" si="145"/>
        <v>1</v>
      </c>
      <c r="AI70" s="17">
        <f t="shared" ca="1" si="146"/>
        <v>-1</v>
      </c>
      <c r="AJ70" s="7">
        <f t="shared" ca="1" si="147"/>
        <v>1</v>
      </c>
      <c r="AK70" s="18">
        <f t="shared" ca="1" si="148"/>
        <v>-1</v>
      </c>
      <c r="AL70" s="7">
        <f t="shared" ca="1" si="149"/>
        <v>0</v>
      </c>
      <c r="AM70" s="7">
        <f t="shared" ca="1" si="150"/>
        <v>0</v>
      </c>
      <c r="AN70" s="18">
        <f t="shared" ca="1" si="151"/>
        <v>1</v>
      </c>
      <c r="AO70" s="7">
        <f t="shared" ca="1" si="115"/>
        <v>1</v>
      </c>
      <c r="AP70" s="50" t="b">
        <f t="shared" ca="1" si="152"/>
        <v>1</v>
      </c>
      <c r="AS70" s="22">
        <f t="shared" ca="1" si="88"/>
        <v>0</v>
      </c>
      <c r="AT70" s="7">
        <f t="shared" ca="1" si="23"/>
        <v>0</v>
      </c>
      <c r="AU70" s="7">
        <f t="shared" ca="1" si="24"/>
        <v>0</v>
      </c>
      <c r="AV70" s="7">
        <f t="shared" ca="1" si="25"/>
        <v>0</v>
      </c>
      <c r="AW70" s="7">
        <f t="shared" ca="1" si="26"/>
        <v>0</v>
      </c>
      <c r="AX70" s="7">
        <f t="shared" ca="1" si="27"/>
        <v>0</v>
      </c>
      <c r="AY70" s="7">
        <f t="shared" ca="1" si="28"/>
        <v>0</v>
      </c>
      <c r="AZ70" s="7">
        <f t="shared" ca="1" si="29"/>
        <v>0</v>
      </c>
      <c r="BA70" s="18">
        <f t="shared" ca="1" si="30"/>
        <v>0</v>
      </c>
      <c r="BB70" s="295">
        <f t="shared" ca="1" si="89"/>
        <v>1</v>
      </c>
      <c r="BD70" s="132"/>
      <c r="BE70" s="297">
        <f t="shared" ca="1" si="90"/>
        <v>1</v>
      </c>
      <c r="BF70" s="298">
        <f t="shared" ca="1" si="31"/>
        <v>0.65029522127322903</v>
      </c>
      <c r="BG70" s="298">
        <f t="shared" ca="1" si="32"/>
        <v>0.66028983545318687</v>
      </c>
      <c r="BH70" s="318">
        <f t="shared" ca="1" si="33"/>
        <v>0.64972655813153501</v>
      </c>
      <c r="BI70" s="298">
        <f t="shared" ca="1" si="34"/>
        <v>0.65002804502111444</v>
      </c>
      <c r="BJ70" s="299">
        <f t="shared" ca="1" si="35"/>
        <v>0.65029320640965171</v>
      </c>
      <c r="BK70" s="298">
        <f t="shared" ca="1" si="36"/>
        <v>0.64942668056342145</v>
      </c>
      <c r="BL70" s="298">
        <f t="shared" ca="1" si="37"/>
        <v>0.61083952513994022</v>
      </c>
      <c r="BM70" s="299">
        <f t="shared" ca="1" si="38"/>
        <v>0.6508682169276182</v>
      </c>
      <c r="BN70" s="295">
        <f t="shared" ca="1" si="39"/>
        <v>0.17402001625314881</v>
      </c>
      <c r="BO70" s="248">
        <f t="shared" ca="1" si="91"/>
        <v>-2.2535161742124597E-5</v>
      </c>
      <c r="BQ70" s="304">
        <f t="shared" ca="1" si="92"/>
        <v>0.42412001625314877</v>
      </c>
      <c r="BR70" s="297">
        <f t="shared" ca="1" si="93"/>
        <v>0</v>
      </c>
      <c r="BS70" s="298">
        <f t="shared" ca="1" si="40"/>
        <v>0</v>
      </c>
      <c r="BT70" s="298">
        <f t="shared" ca="1" si="41"/>
        <v>0</v>
      </c>
      <c r="BU70" s="318">
        <f t="shared" ca="1" si="42"/>
        <v>0</v>
      </c>
      <c r="BV70" s="298">
        <f t="shared" ca="1" si="43"/>
        <v>0</v>
      </c>
      <c r="BW70" s="299">
        <f t="shared" ca="1" si="44"/>
        <v>0</v>
      </c>
      <c r="BX70" s="298">
        <f t="shared" ca="1" si="45"/>
        <v>0</v>
      </c>
      <c r="BY70" s="298">
        <f t="shared" ca="1" si="46"/>
        <v>0</v>
      </c>
      <c r="BZ70" s="298">
        <f t="shared" ca="1" si="47"/>
        <v>0</v>
      </c>
      <c r="CA70" s="315">
        <f t="shared" ca="1" si="48"/>
        <v>0.42412001625314877</v>
      </c>
      <c r="CC70" s="52"/>
      <c r="CD70" s="306">
        <f t="shared" ca="1" si="94"/>
        <v>0</v>
      </c>
      <c r="CE70" s="15">
        <f t="shared" ca="1" si="49"/>
        <v>0</v>
      </c>
      <c r="CF70" s="15">
        <f t="shared" ca="1" si="50"/>
        <v>0</v>
      </c>
      <c r="CG70" s="286">
        <f t="shared" ca="1" si="51"/>
        <v>0</v>
      </c>
      <c r="CH70" s="15">
        <f t="shared" ca="1" si="52"/>
        <v>0</v>
      </c>
      <c r="CI70" s="288">
        <f t="shared" ca="1" si="53"/>
        <v>0</v>
      </c>
      <c r="CJ70" s="15">
        <f t="shared" ca="1" si="54"/>
        <v>0</v>
      </c>
      <c r="CK70" s="15">
        <f t="shared" ca="1" si="55"/>
        <v>0</v>
      </c>
      <c r="CL70" s="15">
        <f t="shared" ca="1" si="56"/>
        <v>0</v>
      </c>
      <c r="CM70" s="313">
        <f t="shared" ca="1" si="57"/>
        <v>1</v>
      </c>
      <c r="CO70" s="320">
        <f t="shared" ca="1" si="95"/>
        <v>59</v>
      </c>
      <c r="CP70" s="22">
        <f ca="1">COUNTIFS($C$10:$C69,"&lt;"&amp;$C70,$M$10:$M69,$D70&amp;"_"&amp;CP$9)</f>
        <v>0</v>
      </c>
      <c r="CQ70" s="7">
        <f ca="1">COUNTIFS($C$10:$C69,"&lt;"&amp;$C70,$M$10:$M69,$D70&amp;"_"&amp;CQ$9)</f>
        <v>0</v>
      </c>
      <c r="CR70" s="7">
        <f ca="1">COUNTIFS($C$10:$C69,"&lt;"&amp;$C70,$M$10:$M69,$D70&amp;"_"&amp;CR$9)</f>
        <v>0</v>
      </c>
      <c r="CS70" s="17">
        <f ca="1">COUNTIFS($C$10:$C69,"&lt;"&amp;$C70,$M$10:$M69,$D70&amp;"_"&amp;CS$9)</f>
        <v>0</v>
      </c>
      <c r="CT70" s="7">
        <f ca="1">COUNTIFS($C$10:$C69,"&lt;"&amp;$C70,$M$10:$M69,$D70&amp;"_"&amp;CT$9)</f>
        <v>0</v>
      </c>
      <c r="CU70" s="18">
        <f ca="1">COUNTIFS($C$10:$C69,"&lt;"&amp;$C70,$M$10:$M69,$D70&amp;"_"&amp;CU$9)</f>
        <v>0</v>
      </c>
      <c r="CV70" s="7">
        <f ca="1">COUNTIFS($C$10:$C69,"&lt;"&amp;$C70,$M$10:$M69,$D70&amp;"_"&amp;CV$9)</f>
        <v>0</v>
      </c>
      <c r="CW70" s="7">
        <f ca="1">COUNTIFS($C$10:$C69,"&lt;"&amp;$C70,$M$10:$M69,$D70&amp;"_"&amp;CW$9)</f>
        <v>0</v>
      </c>
      <c r="CX70" s="7">
        <f ca="1">COUNTIFS($C$10:$C69,"&lt;"&amp;$C70,$M$10:$M69,$D70&amp;"_"&amp;CX$9)</f>
        <v>0</v>
      </c>
      <c r="CY70" s="221">
        <f ca="1">COUNTIFS($C$10:$C69,"&lt;"&amp;$C70,$M$10:$M69,$D70&amp;"_"&amp;CY$9)</f>
        <v>59</v>
      </c>
      <c r="DA70" s="20"/>
      <c r="DB70" s="308">
        <f ca="1">IF(CP70=0,0,SUMIFS($P$10:$P69, $C$10:$C69,"&lt;"&amp;$C70, $M$10:$M69,$D70&amp;"_"&amp;DB$9)/CP70)</f>
        <v>0</v>
      </c>
      <c r="DC70" s="263">
        <f ca="1">IF(CQ70=0,0,SUMIFS($P$10:$P69, $C$10:$C69,"&lt;"&amp;$C70, $M$10:$M69,$D70&amp;"_"&amp;DC$9)/CQ70)</f>
        <v>0</v>
      </c>
      <c r="DD70" s="263">
        <f ca="1">IF(CR70=0,0,SUMIFS($P$10:$P69, $C$10:$C69,"&lt;"&amp;$C70, $M$10:$M69,$D70&amp;"_"&amp;DD$9)/CR70)</f>
        <v>0</v>
      </c>
      <c r="DE70" s="262">
        <f ca="1">IF(CS70=0,0,SUMIFS($P$10:$P69, $C$10:$C69,"&lt;"&amp;$C70, $M$10:$M69,$D70&amp;"_"&amp;DE$9)/CS70)</f>
        <v>0</v>
      </c>
      <c r="DF70" s="263">
        <f ca="1">IF(CT70=0,0,SUMIFS($P$10:$P69, $C$10:$C69,"&lt;"&amp;$C70, $M$10:$M69,$D70&amp;"_"&amp;DF$9)/CT70)</f>
        <v>0</v>
      </c>
      <c r="DG70" s="310">
        <f ca="1">IF(CU70=0,0,SUMIFS($P$10:$P69, $C$10:$C69,"&lt;"&amp;$C70, $M$10:$M69,$D70&amp;"_"&amp;DG$9)/CU70)</f>
        <v>0</v>
      </c>
      <c r="DH70" s="263">
        <f ca="1">IF(CV70=0,0,SUMIFS($P$10:$P69, $C$10:$C69,"&lt;"&amp;$C70, $M$10:$M69,$D70&amp;"_"&amp;DH$9)/CV70)</f>
        <v>0</v>
      </c>
      <c r="DI70" s="263">
        <f ca="1">IF(CW70=0,0,SUMIFS($P$10:$P69, $C$10:$C69,"&lt;"&amp;$C70, $M$10:$M69,$D70&amp;"_"&amp;DI$9)/CW70)</f>
        <v>0</v>
      </c>
      <c r="DJ70" s="264">
        <f ca="1">IF(CX70=0,0,SUMIFS($P$10:$P69, $C$10:$C69,"&lt;"&amp;$C70, $M$10:$M69,$D70&amp;"_"&amp;DJ$9)/CX70)</f>
        <v>0</v>
      </c>
      <c r="DK70" s="264">
        <f ca="1">IF(CY70=0,0,SUMIFS($P$10:$P69, $C$10:$C69,"&lt;"&amp;$C70, $M$10:$M69,$D70&amp;"_"&amp;DK$9)/CY70)</f>
        <v>-1</v>
      </c>
      <c r="DM70" s="104"/>
      <c r="DN70" s="306">
        <f t="shared" ca="1" si="96"/>
        <v>-9999</v>
      </c>
      <c r="DO70" s="15">
        <f t="shared" ca="1" si="58"/>
        <v>-9999</v>
      </c>
      <c r="DP70" s="15">
        <f t="shared" ca="1" si="59"/>
        <v>-9999</v>
      </c>
      <c r="DQ70" s="15">
        <f t="shared" ca="1" si="60"/>
        <v>-9999</v>
      </c>
      <c r="DR70" s="15">
        <f t="shared" ca="1" si="61"/>
        <v>-9999</v>
      </c>
      <c r="DS70" s="15">
        <f t="shared" ca="1" si="62"/>
        <v>-9999</v>
      </c>
      <c r="DT70" s="15">
        <f t="shared" ca="1" si="63"/>
        <v>-9999</v>
      </c>
      <c r="DU70" s="15">
        <f t="shared" ca="1" si="64"/>
        <v>-9999</v>
      </c>
      <c r="DV70" s="52">
        <f t="shared" ca="1" si="65"/>
        <v>-9999</v>
      </c>
      <c r="DW70" s="313">
        <f t="shared" ca="1" si="66"/>
        <v>-0.87198090420218988</v>
      </c>
      <c r="DX70" s="52"/>
      <c r="DY70" s="402">
        <f t="shared" ca="1" si="97"/>
        <v>9</v>
      </c>
      <c r="ED70" s="19">
        <f t="shared" ca="1" si="129"/>
        <v>-1</v>
      </c>
      <c r="EE70" s="1">
        <f t="shared" ca="1" si="130"/>
        <v>1</v>
      </c>
      <c r="EF70" s="1">
        <f t="shared" ca="1" si="131"/>
        <v>-1</v>
      </c>
      <c r="EG70" s="2">
        <f t="shared" ca="1" si="132"/>
        <v>1</v>
      </c>
      <c r="EH70" s="1">
        <f t="shared" ca="1" si="133"/>
        <v>-1</v>
      </c>
      <c r="EI70" s="3">
        <f t="shared" ca="1" si="134"/>
        <v>1</v>
      </c>
      <c r="EJ70" s="1">
        <f t="shared" ca="1" si="135"/>
        <v>0</v>
      </c>
      <c r="EK70" s="1">
        <f t="shared" ca="1" si="136"/>
        <v>0</v>
      </c>
      <c r="EL70" s="20">
        <f t="shared" ca="1" si="137"/>
        <v>-1</v>
      </c>
      <c r="EN70" s="86">
        <f ca="1">MAX(0, SUMPRODUCT($ED70:$EL70,OFFSET(DNN!$E$9:$M$9,EN$9,0)) + OFFSET(DNN!$D$9,EN$9,0))</f>
        <v>0</v>
      </c>
      <c r="EO70" s="84">
        <f ca="1">MAX(0, SUMPRODUCT($ED70:$EL70,OFFSET(DNN!$E$9:$M$9,EO$9,0)) + OFFSET(DNN!$D$9,EO$9,0))</f>
        <v>7.2346022384755949E-3</v>
      </c>
      <c r="EP70" s="84">
        <f ca="1">MAX(0, SUMPRODUCT($ED70:$EL70,OFFSET(DNN!$E$9:$M$9,EP$9,0)) + OFFSET(DNN!$D$9,EP$9,0))</f>
        <v>3.6951849750035152E-3</v>
      </c>
      <c r="EQ70" s="84">
        <f ca="1">MAX(0, SUMPRODUCT($ED70:$EL70,OFFSET(DNN!$E$9:$M$9,EQ$9,0)) + OFFSET(DNN!$D$9,EQ$9,0))</f>
        <v>0</v>
      </c>
      <c r="ER70" s="85">
        <f ca="1">MAX(0, SUMPRODUCT($ED70:$EL70,OFFSET(DNN!$E$9:$M$9,ER$9,0)) + OFFSET(DNN!$D$9,ER$9,0))</f>
        <v>0</v>
      </c>
      <c r="ET70" s="86">
        <f ca="1">MAX(0, SUMPRODUCT($EN70:$ER70,OFFSET(DNN!$Q$9:$U$9,ET$9,0)) + OFFSET(DNN!$P$9,ET$9,0))</f>
        <v>4.3954959453478351E-4</v>
      </c>
      <c r="EU70" s="84">
        <f ca="1">MAX(0, SUMPRODUCT($EN70:$ER70,OFFSET(DNN!$Q$9:$U$9,EU$9,0)) + OFFSET(DNN!$P$9,EU$9,0))</f>
        <v>0</v>
      </c>
      <c r="EV70" s="84">
        <f ca="1">MAX(0, SUMPRODUCT($EN70:$ER70,OFFSET(DNN!$Q$9:$U$9,EV$9,0)) + OFFSET(DNN!$P$9,EV$9,0))</f>
        <v>1.2810123361902579E-3</v>
      </c>
      <c r="EW70" s="84">
        <f ca="1">MAX(0, SUMPRODUCT($EN70:$ER70,OFFSET(DNN!$Q$9:$U$9,EW$9,0)) + OFFSET(DNN!$P$9,EW$9,0))</f>
        <v>7.8382123007882457E-4</v>
      </c>
      <c r="EX70" s="85">
        <f ca="1">MAX(0, SUMPRODUCT($EN70:$ER70,OFFSET(DNN!$Q$9:$U$9,EX$9,0)) + OFFSET(DNN!$P$9,EX$9,0))</f>
        <v>0</v>
      </c>
      <c r="EZ70" s="111">
        <f ca="1">SUMPRODUCT($ET70:$EX70,OFFSET(DNN!$Y$9:$AC$9,EZ$9,0)) + OFFSET(DNN!$X$9,EZ$9,0)</f>
        <v>0.43031618918982212</v>
      </c>
      <c r="FA70" s="97">
        <f ca="1">SUMPRODUCT($ET70:$EX70,OFFSET(DNN!$Y$9:$AC$9,FA$9,0)) + OFFSET(DNN!$X$9,FA$9,0)</f>
        <v>-1.2643439935754107E-5</v>
      </c>
      <c r="FB70" s="97">
        <f ca="1">SUMPRODUCT($ET70:$EX70,OFFSET(DNN!$Y$9:$AC$9,FB$9,0)) + OFFSET(DNN!$X$9,FB$9,0)</f>
        <v>1.5239793458415756E-2</v>
      </c>
      <c r="FC70" s="97">
        <f ca="1">SUMPRODUCT($ET70:$EX70,OFFSET(DNN!$Y$9:$AC$9,FC$9,0)) + OFFSET(DNN!$X$9,FC$9,0)</f>
        <v>-8.8749521084055777E-4</v>
      </c>
      <c r="FD70" s="97">
        <f ca="1">SUMPRODUCT($ET70:$EX70,OFFSET(DNN!$Y$9:$AC$9,FD$9,0)) + OFFSET(DNN!$X$9,FD$9,0)</f>
        <v>-4.235816470721872E-4</v>
      </c>
      <c r="FE70" s="97">
        <f ca="1">SUMPRODUCT($ET70:$EX70,OFFSET(DNN!$Y$9:$AC$9,FE$9,0)) + OFFSET(DNN!$X$9,FE$9,0)</f>
        <v>-1.574182761064886E-5</v>
      </c>
      <c r="FF70" s="97">
        <f ca="1">SUMPRODUCT($ET70:$EX70,OFFSET(DNN!$Y$9:$AC$9,FF$9,0)) + OFFSET(DNN!$X$9,FF$9,0)</f>
        <v>-1.3491460223194656E-3</v>
      </c>
      <c r="FG70" s="97">
        <f ca="1">SUMPRODUCT($ET70:$EX70,OFFSET(DNN!$Y$9:$AC$9,FG$9,0)) + OFFSET(DNN!$X$9,FG$9,0)</f>
        <v>-6.2604808096248285E-2</v>
      </c>
      <c r="FH70" s="97">
        <f ca="1">SUMPRODUCT($ET70:$EX70,OFFSET(DNN!$Y$9:$AC$9,FH$9,0)) + OFFSET(DNN!$X$9,FH$9,0)</f>
        <v>8.6810016937029894E-4</v>
      </c>
      <c r="FI70" s="108">
        <f ca="1">SUMPRODUCT($ET70:$EX70,OFFSET(DNN!$Y$9:$AC$9,FI$9,0)) + OFFSET(DNN!$X$9,FI$9,0)</f>
        <v>-1.3182687612562751</v>
      </c>
      <c r="FJ70" s="98">
        <f ca="1">SUMPRODUCT($ET70:$EX70,OFFSET(DNN!$Y$9:$AC$9,FJ$9,0)) + OFFSET(DNN!$X$9,FJ$9,0)</f>
        <v>-2.2535161745939301E-5</v>
      </c>
      <c r="FL70" s="415">
        <f t="shared" ca="1" si="98"/>
        <v>0.43031618918982212</v>
      </c>
      <c r="FM70" s="130">
        <f t="shared" ca="1" si="99"/>
        <v>1</v>
      </c>
      <c r="FN70" s="131">
        <f t="shared" ca="1" si="100"/>
        <v>0.65029522127322903</v>
      </c>
      <c r="FO70" s="131">
        <f t="shared" ca="1" si="101"/>
        <v>0.66028983545318687</v>
      </c>
      <c r="FP70" s="131">
        <f t="shared" ca="1" si="102"/>
        <v>0.64972655813153501</v>
      </c>
      <c r="FQ70" s="131">
        <f t="shared" ca="1" si="103"/>
        <v>0.65002804502111444</v>
      </c>
      <c r="FR70" s="131">
        <f t="shared" ca="1" si="104"/>
        <v>0.65029320640965171</v>
      </c>
      <c r="FS70" s="131">
        <f t="shared" ca="1" si="105"/>
        <v>0.64942668056342145</v>
      </c>
      <c r="FT70" s="131">
        <f t="shared" ca="1" si="106"/>
        <v>0.61083952513994022</v>
      </c>
      <c r="FU70" s="132">
        <f t="shared" ca="1" si="107"/>
        <v>0.6508682169276182</v>
      </c>
      <c r="FV70" s="131">
        <f t="shared" ca="1" si="108"/>
        <v>0.17402001625314881</v>
      </c>
      <c r="FW70" s="83">
        <f t="shared" ca="1" si="109"/>
        <v>-2.2535161742124597E-5</v>
      </c>
    </row>
    <row r="71" spans="1:179">
      <c r="A71" s="19">
        <f t="shared" si="117"/>
        <v>61</v>
      </c>
      <c r="B71" s="1">
        <f t="shared" ca="1" si="111"/>
        <v>0</v>
      </c>
      <c r="C71" s="20">
        <f t="shared" ca="1" si="112"/>
        <v>61</v>
      </c>
      <c r="D71" s="19" t="str">
        <f t="shared" ca="1" si="113"/>
        <v>〇×〇×〇×--〇</v>
      </c>
      <c r="E71" s="7">
        <f t="shared" ca="1" si="77"/>
        <v>9</v>
      </c>
      <c r="F71" s="7">
        <f t="shared" ca="1" si="78"/>
        <v>1</v>
      </c>
      <c r="G71" s="1" t="str">
        <f t="shared" ca="1" si="139"/>
        <v>〇×〇×〇×--〇</v>
      </c>
      <c r="H71" s="20" t="b">
        <f t="shared" ca="1" si="140"/>
        <v>1</v>
      </c>
      <c r="I71" s="22">
        <f t="shared" ca="1" si="114"/>
        <v>-1</v>
      </c>
      <c r="J71" s="1" t="b">
        <f ca="1">(1&lt;COUNTIF(D$10:D71,D71))</f>
        <v>1</v>
      </c>
      <c r="K71" s="1" t="b">
        <f t="shared" ca="1" si="141"/>
        <v>1</v>
      </c>
      <c r="L71" s="7">
        <f ca="1">MATCH(TRUE,K71:K$1048576,FALSE)-1</f>
        <v>0</v>
      </c>
      <c r="M71" s="24" t="str">
        <f t="shared" ca="1" si="142"/>
        <v>〇×〇×〇×--〇_9</v>
      </c>
      <c r="N71" s="25">
        <f t="shared" ca="1" si="82"/>
        <v>-2.2535161742124597E-5</v>
      </c>
      <c r="O71" s="26">
        <f t="shared" ca="1" si="83"/>
        <v>-1</v>
      </c>
      <c r="P71" s="27">
        <f t="shared" ca="1" si="84"/>
        <v>-1</v>
      </c>
      <c r="R71" s="41" t="str">
        <f ca="1">VLOOKUP(S71,cvt!$B$2:$C$4,2,FALSE)&amp;VLOOKUP(T71,cvt!$B$2:$C$4,2,FALSE)&amp;VLOOKUP(U71,cvt!$B$2:$C$4,2,FALSE)
&amp;VLOOKUP(V71,cvt!$B$2:$C$4,2,FALSE)&amp;VLOOKUP(W71,cvt!$B$2:$C$4,2,FALSE)&amp;VLOOKUP(X71,cvt!$B$2:$C$4,2,FALSE)
&amp;VLOOKUP(Y71,cvt!$B$2:$C$4,2,FALSE)&amp;VLOOKUP(Z71,cvt!$B$2:$C$4,2,FALSE)&amp;VLOOKUP(AA71,cvt!$B$2:$C$4,2,FALSE)</f>
        <v>〇×〇×〇×--〇</v>
      </c>
      <c r="S71" s="7">
        <f ca="1">VLOOKUP(MID($D71,S$9+1,1), cvt!$A$2:$B$4,2, FALSE)</f>
        <v>1</v>
      </c>
      <c r="T71" s="7">
        <f ca="1">VLOOKUP(MID($D71,T$9+1,1), cvt!$A$2:$B$4,2, FALSE)</f>
        <v>-1</v>
      </c>
      <c r="U71" s="7">
        <f ca="1">VLOOKUP(MID($D71,U$9+1,1), cvt!$A$2:$B$4,2, FALSE)</f>
        <v>1</v>
      </c>
      <c r="V71" s="17">
        <f ca="1">VLOOKUP(MID($D71,V$9+1,1), cvt!$A$2:$B$4,2, FALSE)</f>
        <v>-1</v>
      </c>
      <c r="W71" s="7">
        <f ca="1">VLOOKUP(MID($D71,W$9+1,1), cvt!$A$2:$B$4,2, FALSE)</f>
        <v>1</v>
      </c>
      <c r="X71" s="18">
        <f ca="1">VLOOKUP(MID($D71,X$9+1,1), cvt!$A$2:$B$4,2, FALSE)</f>
        <v>-1</v>
      </c>
      <c r="Y71" s="7">
        <f ca="1">VLOOKUP(MID($D71,Y$9+1,1), cvt!$A$2:$B$4,2, FALSE)</f>
        <v>0</v>
      </c>
      <c r="Z71" s="7">
        <f ca="1">VLOOKUP(MID($D71,Z$9+1,1), cvt!$A$2:$B$4,2, FALSE)</f>
        <v>0</v>
      </c>
      <c r="AA71" s="42">
        <f ca="1">VLOOKUP(MID($D71,AA$9+1,1), cvt!$A$2:$B$4,2, FALSE)</f>
        <v>1</v>
      </c>
      <c r="AB71" s="7">
        <f t="shared" ca="1" si="85"/>
        <v>1</v>
      </c>
      <c r="AC71" s="50" t="b">
        <f t="shared" ca="1" si="86"/>
        <v>1</v>
      </c>
      <c r="AE71" s="19" t="str">
        <f ca="1">VLOOKUP(AF71,cvt!$B$2:$C$4,2,FALSE)&amp;VLOOKUP(AG71,cvt!$B$2:$C$4,2,FALSE)&amp;VLOOKUP(AH71,cvt!$B$2:$C$4,2,FALSE)
&amp;VLOOKUP(AI71,cvt!$B$2:$C$4,2,FALSE)&amp;VLOOKUP(AJ71,cvt!$B$2:$C$4,2,FALSE)&amp;VLOOKUP(AK71,cvt!$B$2:$C$4,2,FALSE)
&amp;VLOOKUP(AL71,cvt!$B$2:$C$4,2,FALSE)&amp;VLOOKUP(AM71,cvt!$B$2:$C$4,2,FALSE)&amp;VLOOKUP(AN71,cvt!$B$2:$C$4,2,FALSE)</f>
        <v>〇×〇×〇×--〇</v>
      </c>
      <c r="AF71" s="17">
        <f t="shared" ca="1" si="143"/>
        <v>1</v>
      </c>
      <c r="AG71" s="7">
        <f t="shared" ca="1" si="144"/>
        <v>-1</v>
      </c>
      <c r="AH71" s="7">
        <f t="shared" ca="1" si="145"/>
        <v>1</v>
      </c>
      <c r="AI71" s="17">
        <f t="shared" ca="1" si="146"/>
        <v>-1</v>
      </c>
      <c r="AJ71" s="7">
        <f t="shared" ca="1" si="147"/>
        <v>1</v>
      </c>
      <c r="AK71" s="18">
        <f t="shared" ca="1" si="148"/>
        <v>-1</v>
      </c>
      <c r="AL71" s="7">
        <f t="shared" ca="1" si="149"/>
        <v>0</v>
      </c>
      <c r="AM71" s="7">
        <f t="shared" ca="1" si="150"/>
        <v>0</v>
      </c>
      <c r="AN71" s="18">
        <f t="shared" ca="1" si="151"/>
        <v>1</v>
      </c>
      <c r="AO71" s="7">
        <f t="shared" ca="1" si="115"/>
        <v>1</v>
      </c>
      <c r="AP71" s="50" t="b">
        <f t="shared" ca="1" si="152"/>
        <v>1</v>
      </c>
      <c r="AS71" s="22">
        <f t="shared" ca="1" si="88"/>
        <v>0</v>
      </c>
      <c r="AT71" s="7">
        <f t="shared" ca="1" si="23"/>
        <v>0</v>
      </c>
      <c r="AU71" s="7">
        <f t="shared" ca="1" si="24"/>
        <v>0</v>
      </c>
      <c r="AV71" s="7">
        <f t="shared" ca="1" si="25"/>
        <v>0</v>
      </c>
      <c r="AW71" s="7">
        <f t="shared" ca="1" si="26"/>
        <v>0</v>
      </c>
      <c r="AX71" s="7">
        <f t="shared" ca="1" si="27"/>
        <v>0</v>
      </c>
      <c r="AY71" s="7">
        <f t="shared" ca="1" si="28"/>
        <v>0</v>
      </c>
      <c r="AZ71" s="7">
        <f t="shared" ca="1" si="29"/>
        <v>0</v>
      </c>
      <c r="BA71" s="18">
        <f t="shared" ca="1" si="30"/>
        <v>0</v>
      </c>
      <c r="BB71" s="295">
        <f t="shared" ca="1" si="89"/>
        <v>1</v>
      </c>
      <c r="BD71" s="132"/>
      <c r="BE71" s="297">
        <f t="shared" ca="1" si="90"/>
        <v>1</v>
      </c>
      <c r="BF71" s="298">
        <f t="shared" ca="1" si="31"/>
        <v>0.65029522127322903</v>
      </c>
      <c r="BG71" s="298">
        <f t="shared" ca="1" si="32"/>
        <v>0.66028983545318687</v>
      </c>
      <c r="BH71" s="318">
        <f t="shared" ca="1" si="33"/>
        <v>0.64972655813153501</v>
      </c>
      <c r="BI71" s="298">
        <f t="shared" ca="1" si="34"/>
        <v>0.65002804502111444</v>
      </c>
      <c r="BJ71" s="299">
        <f t="shared" ca="1" si="35"/>
        <v>0.65029320640965171</v>
      </c>
      <c r="BK71" s="298">
        <f t="shared" ca="1" si="36"/>
        <v>0.64942668056342145</v>
      </c>
      <c r="BL71" s="298">
        <f t="shared" ca="1" si="37"/>
        <v>0.61083952513994022</v>
      </c>
      <c r="BM71" s="299">
        <f t="shared" ca="1" si="38"/>
        <v>0.6508682169276182</v>
      </c>
      <c r="BN71" s="295">
        <f t="shared" ca="1" si="39"/>
        <v>0.17402001625314881</v>
      </c>
      <c r="BO71" s="248">
        <f t="shared" ca="1" si="91"/>
        <v>-2.2535161742124597E-5</v>
      </c>
      <c r="BQ71" s="304">
        <f t="shared" ca="1" si="92"/>
        <v>0.42412001625314877</v>
      </c>
      <c r="BR71" s="297">
        <f t="shared" ca="1" si="93"/>
        <v>0</v>
      </c>
      <c r="BS71" s="298">
        <f t="shared" ca="1" si="40"/>
        <v>0</v>
      </c>
      <c r="BT71" s="298">
        <f t="shared" ca="1" si="41"/>
        <v>0</v>
      </c>
      <c r="BU71" s="318">
        <f t="shared" ca="1" si="42"/>
        <v>0</v>
      </c>
      <c r="BV71" s="298">
        <f t="shared" ca="1" si="43"/>
        <v>0</v>
      </c>
      <c r="BW71" s="299">
        <f t="shared" ca="1" si="44"/>
        <v>0</v>
      </c>
      <c r="BX71" s="298">
        <f t="shared" ca="1" si="45"/>
        <v>0</v>
      </c>
      <c r="BY71" s="298">
        <f t="shared" ca="1" si="46"/>
        <v>0</v>
      </c>
      <c r="BZ71" s="298">
        <f t="shared" ca="1" si="47"/>
        <v>0</v>
      </c>
      <c r="CA71" s="315">
        <f t="shared" ca="1" si="48"/>
        <v>0.42412001625314877</v>
      </c>
      <c r="CC71" s="52"/>
      <c r="CD71" s="306">
        <f t="shared" ca="1" si="94"/>
        <v>0</v>
      </c>
      <c r="CE71" s="15">
        <f t="shared" ca="1" si="49"/>
        <v>0</v>
      </c>
      <c r="CF71" s="15">
        <f t="shared" ca="1" si="50"/>
        <v>0</v>
      </c>
      <c r="CG71" s="286">
        <f t="shared" ca="1" si="51"/>
        <v>0</v>
      </c>
      <c r="CH71" s="15">
        <f t="shared" ca="1" si="52"/>
        <v>0</v>
      </c>
      <c r="CI71" s="288">
        <f t="shared" ca="1" si="53"/>
        <v>0</v>
      </c>
      <c r="CJ71" s="15">
        <f t="shared" ca="1" si="54"/>
        <v>0</v>
      </c>
      <c r="CK71" s="15">
        <f t="shared" ca="1" si="55"/>
        <v>0</v>
      </c>
      <c r="CL71" s="15">
        <f t="shared" ca="1" si="56"/>
        <v>0</v>
      </c>
      <c r="CM71" s="313">
        <f t="shared" ca="1" si="57"/>
        <v>1</v>
      </c>
      <c r="CO71" s="320">
        <f t="shared" ca="1" si="95"/>
        <v>60</v>
      </c>
      <c r="CP71" s="22">
        <f ca="1">COUNTIFS($C$10:$C70,"&lt;"&amp;$C71,$M$10:$M70,$D71&amp;"_"&amp;CP$9)</f>
        <v>0</v>
      </c>
      <c r="CQ71" s="7">
        <f ca="1">COUNTIFS($C$10:$C70,"&lt;"&amp;$C71,$M$10:$M70,$D71&amp;"_"&amp;CQ$9)</f>
        <v>0</v>
      </c>
      <c r="CR71" s="7">
        <f ca="1">COUNTIFS($C$10:$C70,"&lt;"&amp;$C71,$M$10:$M70,$D71&amp;"_"&amp;CR$9)</f>
        <v>0</v>
      </c>
      <c r="CS71" s="17">
        <f ca="1">COUNTIFS($C$10:$C70,"&lt;"&amp;$C71,$M$10:$M70,$D71&amp;"_"&amp;CS$9)</f>
        <v>0</v>
      </c>
      <c r="CT71" s="7">
        <f ca="1">COUNTIFS($C$10:$C70,"&lt;"&amp;$C71,$M$10:$M70,$D71&amp;"_"&amp;CT$9)</f>
        <v>0</v>
      </c>
      <c r="CU71" s="18">
        <f ca="1">COUNTIFS($C$10:$C70,"&lt;"&amp;$C71,$M$10:$M70,$D71&amp;"_"&amp;CU$9)</f>
        <v>0</v>
      </c>
      <c r="CV71" s="7">
        <f ca="1">COUNTIFS($C$10:$C70,"&lt;"&amp;$C71,$M$10:$M70,$D71&amp;"_"&amp;CV$9)</f>
        <v>0</v>
      </c>
      <c r="CW71" s="7">
        <f ca="1">COUNTIFS($C$10:$C70,"&lt;"&amp;$C71,$M$10:$M70,$D71&amp;"_"&amp;CW$9)</f>
        <v>0</v>
      </c>
      <c r="CX71" s="7">
        <f ca="1">COUNTIFS($C$10:$C70,"&lt;"&amp;$C71,$M$10:$M70,$D71&amp;"_"&amp;CX$9)</f>
        <v>0</v>
      </c>
      <c r="CY71" s="221">
        <f ca="1">COUNTIFS($C$10:$C70,"&lt;"&amp;$C71,$M$10:$M70,$D71&amp;"_"&amp;CY$9)</f>
        <v>60</v>
      </c>
      <c r="DA71" s="20"/>
      <c r="DB71" s="308">
        <f ca="1">IF(CP71=0,0,SUMIFS($P$10:$P70, $C$10:$C70,"&lt;"&amp;$C71, $M$10:$M70,$D71&amp;"_"&amp;DB$9)/CP71)</f>
        <v>0</v>
      </c>
      <c r="DC71" s="263">
        <f ca="1">IF(CQ71=0,0,SUMIFS($P$10:$P70, $C$10:$C70,"&lt;"&amp;$C71, $M$10:$M70,$D71&amp;"_"&amp;DC$9)/CQ71)</f>
        <v>0</v>
      </c>
      <c r="DD71" s="263">
        <f ca="1">IF(CR71=0,0,SUMIFS($P$10:$P70, $C$10:$C70,"&lt;"&amp;$C71, $M$10:$M70,$D71&amp;"_"&amp;DD$9)/CR71)</f>
        <v>0</v>
      </c>
      <c r="DE71" s="262">
        <f ca="1">IF(CS71=0,0,SUMIFS($P$10:$P70, $C$10:$C70,"&lt;"&amp;$C71, $M$10:$M70,$D71&amp;"_"&amp;DE$9)/CS71)</f>
        <v>0</v>
      </c>
      <c r="DF71" s="263">
        <f ca="1">IF(CT71=0,0,SUMIFS($P$10:$P70, $C$10:$C70,"&lt;"&amp;$C71, $M$10:$M70,$D71&amp;"_"&amp;DF$9)/CT71)</f>
        <v>0</v>
      </c>
      <c r="DG71" s="310">
        <f ca="1">IF(CU71=0,0,SUMIFS($P$10:$P70, $C$10:$C70,"&lt;"&amp;$C71, $M$10:$M70,$D71&amp;"_"&amp;DG$9)/CU71)</f>
        <v>0</v>
      </c>
      <c r="DH71" s="263">
        <f ca="1">IF(CV71=0,0,SUMIFS($P$10:$P70, $C$10:$C70,"&lt;"&amp;$C71, $M$10:$M70,$D71&amp;"_"&amp;DH$9)/CV71)</f>
        <v>0</v>
      </c>
      <c r="DI71" s="263">
        <f ca="1">IF(CW71=0,0,SUMIFS($P$10:$P70, $C$10:$C70,"&lt;"&amp;$C71, $M$10:$M70,$D71&amp;"_"&amp;DI$9)/CW71)</f>
        <v>0</v>
      </c>
      <c r="DJ71" s="264">
        <f ca="1">IF(CX71=0,0,SUMIFS($P$10:$P70, $C$10:$C70,"&lt;"&amp;$C71, $M$10:$M70,$D71&amp;"_"&amp;DJ$9)/CX71)</f>
        <v>0</v>
      </c>
      <c r="DK71" s="264">
        <f ca="1">IF(CY71=0,0,SUMIFS($P$10:$P70, $C$10:$C70,"&lt;"&amp;$C71, $M$10:$M70,$D71&amp;"_"&amp;DK$9)/CY71)</f>
        <v>-1</v>
      </c>
      <c r="DM71" s="104"/>
      <c r="DN71" s="306">
        <f t="shared" ca="1" si="96"/>
        <v>-9999</v>
      </c>
      <c r="DO71" s="15">
        <f t="shared" ca="1" si="58"/>
        <v>-9999</v>
      </c>
      <c r="DP71" s="15">
        <f t="shared" ca="1" si="59"/>
        <v>-9999</v>
      </c>
      <c r="DQ71" s="15">
        <f t="shared" ca="1" si="60"/>
        <v>-9999</v>
      </c>
      <c r="DR71" s="15">
        <f t="shared" ca="1" si="61"/>
        <v>-9999</v>
      </c>
      <c r="DS71" s="15">
        <f t="shared" ca="1" si="62"/>
        <v>-9999</v>
      </c>
      <c r="DT71" s="15">
        <f t="shared" ca="1" si="63"/>
        <v>-9999</v>
      </c>
      <c r="DU71" s="15">
        <f t="shared" ca="1" si="64"/>
        <v>-9999</v>
      </c>
      <c r="DV71" s="52">
        <f t="shared" ca="1" si="65"/>
        <v>-9999</v>
      </c>
      <c r="DW71" s="313">
        <f t="shared" ca="1" si="66"/>
        <v>-0.87301693946860925</v>
      </c>
      <c r="DX71" s="52"/>
      <c r="DY71" s="402">
        <f t="shared" ca="1" si="97"/>
        <v>9</v>
      </c>
      <c r="ED71" s="19">
        <f t="shared" ca="1" si="129"/>
        <v>-1</v>
      </c>
      <c r="EE71" s="1">
        <f t="shared" ca="1" si="130"/>
        <v>1</v>
      </c>
      <c r="EF71" s="1">
        <f t="shared" ca="1" si="131"/>
        <v>-1</v>
      </c>
      <c r="EG71" s="2">
        <f t="shared" ca="1" si="132"/>
        <v>1</v>
      </c>
      <c r="EH71" s="1">
        <f t="shared" ca="1" si="133"/>
        <v>-1</v>
      </c>
      <c r="EI71" s="3">
        <f t="shared" ca="1" si="134"/>
        <v>1</v>
      </c>
      <c r="EJ71" s="1">
        <f t="shared" ca="1" si="135"/>
        <v>0</v>
      </c>
      <c r="EK71" s="1">
        <f t="shared" ca="1" si="136"/>
        <v>0</v>
      </c>
      <c r="EL71" s="20">
        <f t="shared" ca="1" si="137"/>
        <v>-1</v>
      </c>
      <c r="EN71" s="86">
        <f ca="1">MAX(0, SUMPRODUCT($ED71:$EL71,OFFSET(DNN!$E$9:$M$9,EN$9,0)) + OFFSET(DNN!$D$9,EN$9,0))</f>
        <v>0</v>
      </c>
      <c r="EO71" s="84">
        <f ca="1">MAX(0, SUMPRODUCT($ED71:$EL71,OFFSET(DNN!$E$9:$M$9,EO$9,0)) + OFFSET(DNN!$D$9,EO$9,0))</f>
        <v>7.2346022384755949E-3</v>
      </c>
      <c r="EP71" s="84">
        <f ca="1">MAX(0, SUMPRODUCT($ED71:$EL71,OFFSET(DNN!$E$9:$M$9,EP$9,0)) + OFFSET(DNN!$D$9,EP$9,0))</f>
        <v>3.6951849750035152E-3</v>
      </c>
      <c r="EQ71" s="84">
        <f ca="1">MAX(0, SUMPRODUCT($ED71:$EL71,OFFSET(DNN!$E$9:$M$9,EQ$9,0)) + OFFSET(DNN!$D$9,EQ$9,0))</f>
        <v>0</v>
      </c>
      <c r="ER71" s="85">
        <f ca="1">MAX(0, SUMPRODUCT($ED71:$EL71,OFFSET(DNN!$E$9:$M$9,ER$9,0)) + OFFSET(DNN!$D$9,ER$9,0))</f>
        <v>0</v>
      </c>
      <c r="ET71" s="86">
        <f ca="1">MAX(0, SUMPRODUCT($EN71:$ER71,OFFSET(DNN!$Q$9:$U$9,ET$9,0)) + OFFSET(DNN!$P$9,ET$9,0))</f>
        <v>4.3954959453478351E-4</v>
      </c>
      <c r="EU71" s="84">
        <f ca="1">MAX(0, SUMPRODUCT($EN71:$ER71,OFFSET(DNN!$Q$9:$U$9,EU$9,0)) + OFFSET(DNN!$P$9,EU$9,0))</f>
        <v>0</v>
      </c>
      <c r="EV71" s="84">
        <f ca="1">MAX(0, SUMPRODUCT($EN71:$ER71,OFFSET(DNN!$Q$9:$U$9,EV$9,0)) + OFFSET(DNN!$P$9,EV$9,0))</f>
        <v>1.2810123361902579E-3</v>
      </c>
      <c r="EW71" s="84">
        <f ca="1">MAX(0, SUMPRODUCT($EN71:$ER71,OFFSET(DNN!$Q$9:$U$9,EW$9,0)) + OFFSET(DNN!$P$9,EW$9,0))</f>
        <v>7.8382123007882457E-4</v>
      </c>
      <c r="EX71" s="85">
        <f ca="1">MAX(0, SUMPRODUCT($EN71:$ER71,OFFSET(DNN!$Q$9:$U$9,EX$9,0)) + OFFSET(DNN!$P$9,EX$9,0))</f>
        <v>0</v>
      </c>
      <c r="EZ71" s="111">
        <f ca="1">SUMPRODUCT($ET71:$EX71,OFFSET(DNN!$Y$9:$AC$9,EZ$9,0)) + OFFSET(DNN!$X$9,EZ$9,0)</f>
        <v>0.43031618918982212</v>
      </c>
      <c r="FA71" s="97">
        <f ca="1">SUMPRODUCT($ET71:$EX71,OFFSET(DNN!$Y$9:$AC$9,FA$9,0)) + OFFSET(DNN!$X$9,FA$9,0)</f>
        <v>-1.2643439935754107E-5</v>
      </c>
      <c r="FB71" s="97">
        <f ca="1">SUMPRODUCT($ET71:$EX71,OFFSET(DNN!$Y$9:$AC$9,FB$9,0)) + OFFSET(DNN!$X$9,FB$9,0)</f>
        <v>1.5239793458415756E-2</v>
      </c>
      <c r="FC71" s="97">
        <f ca="1">SUMPRODUCT($ET71:$EX71,OFFSET(DNN!$Y$9:$AC$9,FC$9,0)) + OFFSET(DNN!$X$9,FC$9,0)</f>
        <v>-8.8749521084055777E-4</v>
      </c>
      <c r="FD71" s="97">
        <f ca="1">SUMPRODUCT($ET71:$EX71,OFFSET(DNN!$Y$9:$AC$9,FD$9,0)) + OFFSET(DNN!$X$9,FD$9,0)</f>
        <v>-4.235816470721872E-4</v>
      </c>
      <c r="FE71" s="97">
        <f ca="1">SUMPRODUCT($ET71:$EX71,OFFSET(DNN!$Y$9:$AC$9,FE$9,0)) + OFFSET(DNN!$X$9,FE$9,0)</f>
        <v>-1.574182761064886E-5</v>
      </c>
      <c r="FF71" s="97">
        <f ca="1">SUMPRODUCT($ET71:$EX71,OFFSET(DNN!$Y$9:$AC$9,FF$9,0)) + OFFSET(DNN!$X$9,FF$9,0)</f>
        <v>-1.3491460223194656E-3</v>
      </c>
      <c r="FG71" s="97">
        <f ca="1">SUMPRODUCT($ET71:$EX71,OFFSET(DNN!$Y$9:$AC$9,FG$9,0)) + OFFSET(DNN!$X$9,FG$9,0)</f>
        <v>-6.2604808096248285E-2</v>
      </c>
      <c r="FH71" s="97">
        <f ca="1">SUMPRODUCT($ET71:$EX71,OFFSET(DNN!$Y$9:$AC$9,FH$9,0)) + OFFSET(DNN!$X$9,FH$9,0)</f>
        <v>8.6810016937029894E-4</v>
      </c>
      <c r="FI71" s="108">
        <f ca="1">SUMPRODUCT($ET71:$EX71,OFFSET(DNN!$Y$9:$AC$9,FI$9,0)) + OFFSET(DNN!$X$9,FI$9,0)</f>
        <v>-1.3182687612562751</v>
      </c>
      <c r="FJ71" s="98">
        <f ca="1">SUMPRODUCT($ET71:$EX71,OFFSET(DNN!$Y$9:$AC$9,FJ$9,0)) + OFFSET(DNN!$X$9,FJ$9,0)</f>
        <v>-2.2535161745939301E-5</v>
      </c>
      <c r="FL71" s="415">
        <f t="shared" ca="1" si="98"/>
        <v>0.43031618918982212</v>
      </c>
      <c r="FM71" s="130">
        <f t="shared" ca="1" si="99"/>
        <v>1</v>
      </c>
      <c r="FN71" s="131">
        <f t="shared" ca="1" si="100"/>
        <v>0.65029522127322903</v>
      </c>
      <c r="FO71" s="131">
        <f t="shared" ca="1" si="101"/>
        <v>0.66028983545318687</v>
      </c>
      <c r="FP71" s="131">
        <f t="shared" ca="1" si="102"/>
        <v>0.64972655813153501</v>
      </c>
      <c r="FQ71" s="131">
        <f t="shared" ca="1" si="103"/>
        <v>0.65002804502111444</v>
      </c>
      <c r="FR71" s="131">
        <f t="shared" ca="1" si="104"/>
        <v>0.65029320640965171</v>
      </c>
      <c r="FS71" s="131">
        <f t="shared" ca="1" si="105"/>
        <v>0.64942668056342145</v>
      </c>
      <c r="FT71" s="131">
        <f t="shared" ca="1" si="106"/>
        <v>0.61083952513994022</v>
      </c>
      <c r="FU71" s="132">
        <f t="shared" ca="1" si="107"/>
        <v>0.6508682169276182</v>
      </c>
      <c r="FV71" s="131">
        <f t="shared" ca="1" si="108"/>
        <v>0.17402001625314881</v>
      </c>
      <c r="FW71" s="83">
        <f t="shared" ca="1" si="109"/>
        <v>-2.2535161742124597E-5</v>
      </c>
    </row>
    <row r="72" spans="1:179">
      <c r="A72" s="19">
        <f t="shared" si="117"/>
        <v>62</v>
      </c>
      <c r="B72" s="1">
        <f t="shared" ca="1" si="111"/>
        <v>0</v>
      </c>
      <c r="C72" s="20">
        <f t="shared" ca="1" si="112"/>
        <v>62</v>
      </c>
      <c r="D72" s="19" t="str">
        <f t="shared" ca="1" si="113"/>
        <v>〇×〇×〇×--〇</v>
      </c>
      <c r="E72" s="7">
        <f t="shared" ca="1" si="77"/>
        <v>9</v>
      </c>
      <c r="F72" s="7">
        <f t="shared" ca="1" si="78"/>
        <v>1</v>
      </c>
      <c r="G72" s="1" t="str">
        <f t="shared" ca="1" si="139"/>
        <v>〇×〇×〇×--〇</v>
      </c>
      <c r="H72" s="20" t="b">
        <f t="shared" ca="1" si="140"/>
        <v>1</v>
      </c>
      <c r="I72" s="22">
        <f t="shared" ca="1" si="114"/>
        <v>-1</v>
      </c>
      <c r="J72" s="1" t="b">
        <f ca="1">(1&lt;COUNTIF(D$10:D72,D72))</f>
        <v>1</v>
      </c>
      <c r="K72" s="1" t="b">
        <f t="shared" ca="1" si="141"/>
        <v>1</v>
      </c>
      <c r="L72" s="7">
        <f ca="1">MATCH(TRUE,K72:K$1048576,FALSE)-1</f>
        <v>0</v>
      </c>
      <c r="M72" s="24" t="str">
        <f t="shared" ca="1" si="142"/>
        <v>〇×〇×〇×--〇_9</v>
      </c>
      <c r="N72" s="25">
        <f t="shared" ca="1" si="82"/>
        <v>-2.2535161742124597E-5</v>
      </c>
      <c r="O72" s="26">
        <f t="shared" ca="1" si="83"/>
        <v>-1</v>
      </c>
      <c r="P72" s="27">
        <f t="shared" ca="1" si="84"/>
        <v>-1</v>
      </c>
      <c r="R72" s="41" t="str">
        <f ca="1">VLOOKUP(S72,cvt!$B$2:$C$4,2,FALSE)&amp;VLOOKUP(T72,cvt!$B$2:$C$4,2,FALSE)&amp;VLOOKUP(U72,cvt!$B$2:$C$4,2,FALSE)
&amp;VLOOKUP(V72,cvt!$B$2:$C$4,2,FALSE)&amp;VLOOKUP(W72,cvt!$B$2:$C$4,2,FALSE)&amp;VLOOKUP(X72,cvt!$B$2:$C$4,2,FALSE)
&amp;VLOOKUP(Y72,cvt!$B$2:$C$4,2,FALSE)&amp;VLOOKUP(Z72,cvt!$B$2:$C$4,2,FALSE)&amp;VLOOKUP(AA72,cvt!$B$2:$C$4,2,FALSE)</f>
        <v>〇×〇×〇×--〇</v>
      </c>
      <c r="S72" s="7">
        <f ca="1">VLOOKUP(MID($D72,S$9+1,1), cvt!$A$2:$B$4,2, FALSE)</f>
        <v>1</v>
      </c>
      <c r="T72" s="7">
        <f ca="1">VLOOKUP(MID($D72,T$9+1,1), cvt!$A$2:$B$4,2, FALSE)</f>
        <v>-1</v>
      </c>
      <c r="U72" s="7">
        <f ca="1">VLOOKUP(MID($D72,U$9+1,1), cvt!$A$2:$B$4,2, FALSE)</f>
        <v>1</v>
      </c>
      <c r="V72" s="17">
        <f ca="1">VLOOKUP(MID($D72,V$9+1,1), cvt!$A$2:$B$4,2, FALSE)</f>
        <v>-1</v>
      </c>
      <c r="W72" s="7">
        <f ca="1">VLOOKUP(MID($D72,W$9+1,1), cvt!$A$2:$B$4,2, FALSE)</f>
        <v>1</v>
      </c>
      <c r="X72" s="18">
        <f ca="1">VLOOKUP(MID($D72,X$9+1,1), cvt!$A$2:$B$4,2, FALSE)</f>
        <v>-1</v>
      </c>
      <c r="Y72" s="7">
        <f ca="1">VLOOKUP(MID($D72,Y$9+1,1), cvt!$A$2:$B$4,2, FALSE)</f>
        <v>0</v>
      </c>
      <c r="Z72" s="7">
        <f ca="1">VLOOKUP(MID($D72,Z$9+1,1), cvt!$A$2:$B$4,2, FALSE)</f>
        <v>0</v>
      </c>
      <c r="AA72" s="42">
        <f ca="1">VLOOKUP(MID($D72,AA$9+1,1), cvt!$A$2:$B$4,2, FALSE)</f>
        <v>1</v>
      </c>
      <c r="AB72" s="7">
        <f t="shared" ca="1" si="85"/>
        <v>1</v>
      </c>
      <c r="AC72" s="50" t="b">
        <f t="shared" ca="1" si="86"/>
        <v>1</v>
      </c>
      <c r="AE72" s="19" t="str">
        <f ca="1">VLOOKUP(AF72,cvt!$B$2:$C$4,2,FALSE)&amp;VLOOKUP(AG72,cvt!$B$2:$C$4,2,FALSE)&amp;VLOOKUP(AH72,cvt!$B$2:$C$4,2,FALSE)
&amp;VLOOKUP(AI72,cvt!$B$2:$C$4,2,FALSE)&amp;VLOOKUP(AJ72,cvt!$B$2:$C$4,2,FALSE)&amp;VLOOKUP(AK72,cvt!$B$2:$C$4,2,FALSE)
&amp;VLOOKUP(AL72,cvt!$B$2:$C$4,2,FALSE)&amp;VLOOKUP(AM72,cvt!$B$2:$C$4,2,FALSE)&amp;VLOOKUP(AN72,cvt!$B$2:$C$4,2,FALSE)</f>
        <v>〇×〇×〇×--〇</v>
      </c>
      <c r="AF72" s="17">
        <f t="shared" ca="1" si="143"/>
        <v>1</v>
      </c>
      <c r="AG72" s="7">
        <f t="shared" ca="1" si="144"/>
        <v>-1</v>
      </c>
      <c r="AH72" s="7">
        <f t="shared" ca="1" si="145"/>
        <v>1</v>
      </c>
      <c r="AI72" s="17">
        <f t="shared" ca="1" si="146"/>
        <v>-1</v>
      </c>
      <c r="AJ72" s="7">
        <f t="shared" ca="1" si="147"/>
        <v>1</v>
      </c>
      <c r="AK72" s="18">
        <f t="shared" ca="1" si="148"/>
        <v>-1</v>
      </c>
      <c r="AL72" s="7">
        <f t="shared" ca="1" si="149"/>
        <v>0</v>
      </c>
      <c r="AM72" s="7">
        <f t="shared" ca="1" si="150"/>
        <v>0</v>
      </c>
      <c r="AN72" s="18">
        <f t="shared" ca="1" si="151"/>
        <v>1</v>
      </c>
      <c r="AO72" s="7">
        <f t="shared" ca="1" si="115"/>
        <v>1</v>
      </c>
      <c r="AP72" s="50" t="b">
        <f t="shared" ca="1" si="152"/>
        <v>1</v>
      </c>
      <c r="AS72" s="22">
        <f t="shared" ca="1" si="88"/>
        <v>0</v>
      </c>
      <c r="AT72" s="7">
        <f t="shared" ca="1" si="23"/>
        <v>0</v>
      </c>
      <c r="AU72" s="7">
        <f t="shared" ca="1" si="24"/>
        <v>0</v>
      </c>
      <c r="AV72" s="7">
        <f t="shared" ca="1" si="25"/>
        <v>0</v>
      </c>
      <c r="AW72" s="7">
        <f t="shared" ca="1" si="26"/>
        <v>0</v>
      </c>
      <c r="AX72" s="7">
        <f t="shared" ca="1" si="27"/>
        <v>0</v>
      </c>
      <c r="AY72" s="7">
        <f t="shared" ca="1" si="28"/>
        <v>0</v>
      </c>
      <c r="AZ72" s="7">
        <f t="shared" ca="1" si="29"/>
        <v>0</v>
      </c>
      <c r="BA72" s="18">
        <f t="shared" ca="1" si="30"/>
        <v>0</v>
      </c>
      <c r="BB72" s="295">
        <f t="shared" ca="1" si="89"/>
        <v>1</v>
      </c>
      <c r="BD72" s="132"/>
      <c r="BE72" s="297">
        <f t="shared" ca="1" si="90"/>
        <v>1</v>
      </c>
      <c r="BF72" s="298">
        <f t="shared" ca="1" si="31"/>
        <v>0.65029522127322903</v>
      </c>
      <c r="BG72" s="298">
        <f t="shared" ca="1" si="32"/>
        <v>0.66028983545318687</v>
      </c>
      <c r="BH72" s="318">
        <f t="shared" ca="1" si="33"/>
        <v>0.64972655813153501</v>
      </c>
      <c r="BI72" s="298">
        <f t="shared" ca="1" si="34"/>
        <v>0.65002804502111444</v>
      </c>
      <c r="BJ72" s="299">
        <f t="shared" ca="1" si="35"/>
        <v>0.65029320640965171</v>
      </c>
      <c r="BK72" s="298">
        <f t="shared" ca="1" si="36"/>
        <v>0.64942668056342145</v>
      </c>
      <c r="BL72" s="298">
        <f t="shared" ca="1" si="37"/>
        <v>0.61083952513994022</v>
      </c>
      <c r="BM72" s="299">
        <f t="shared" ca="1" si="38"/>
        <v>0.6508682169276182</v>
      </c>
      <c r="BN72" s="295">
        <f t="shared" ca="1" si="39"/>
        <v>0.17402001625314881</v>
      </c>
      <c r="BO72" s="248">
        <f t="shared" ca="1" si="91"/>
        <v>-2.2535161742124597E-5</v>
      </c>
      <c r="BQ72" s="304">
        <f t="shared" ca="1" si="92"/>
        <v>0.1741200162531488</v>
      </c>
      <c r="BR72" s="297">
        <f t="shared" ca="1" si="93"/>
        <v>0</v>
      </c>
      <c r="BS72" s="298">
        <f t="shared" ca="1" si="40"/>
        <v>0</v>
      </c>
      <c r="BT72" s="298">
        <f t="shared" ca="1" si="41"/>
        <v>0</v>
      </c>
      <c r="BU72" s="318">
        <f t="shared" ca="1" si="42"/>
        <v>0</v>
      </c>
      <c r="BV72" s="298">
        <f t="shared" ca="1" si="43"/>
        <v>0</v>
      </c>
      <c r="BW72" s="299">
        <f t="shared" ca="1" si="44"/>
        <v>0</v>
      </c>
      <c r="BX72" s="298">
        <f t="shared" ca="1" si="45"/>
        <v>0</v>
      </c>
      <c r="BY72" s="298">
        <f t="shared" ca="1" si="46"/>
        <v>0</v>
      </c>
      <c r="BZ72" s="298">
        <f t="shared" ca="1" si="47"/>
        <v>0</v>
      </c>
      <c r="CA72" s="315">
        <f t="shared" ca="1" si="48"/>
        <v>0.1741200162531488</v>
      </c>
      <c r="CC72" s="52"/>
      <c r="CD72" s="306">
        <f t="shared" ca="1" si="94"/>
        <v>0</v>
      </c>
      <c r="CE72" s="15">
        <f t="shared" ca="1" si="49"/>
        <v>0</v>
      </c>
      <c r="CF72" s="15">
        <f t="shared" ca="1" si="50"/>
        <v>0</v>
      </c>
      <c r="CG72" s="286">
        <f t="shared" ca="1" si="51"/>
        <v>0</v>
      </c>
      <c r="CH72" s="15">
        <f t="shared" ca="1" si="52"/>
        <v>0</v>
      </c>
      <c r="CI72" s="288">
        <f t="shared" ca="1" si="53"/>
        <v>0</v>
      </c>
      <c r="CJ72" s="15">
        <f t="shared" ca="1" si="54"/>
        <v>0</v>
      </c>
      <c r="CK72" s="15">
        <f t="shared" ca="1" si="55"/>
        <v>0</v>
      </c>
      <c r="CL72" s="15">
        <f t="shared" ca="1" si="56"/>
        <v>0</v>
      </c>
      <c r="CM72" s="313">
        <f t="shared" ca="1" si="57"/>
        <v>1</v>
      </c>
      <c r="CO72" s="320">
        <f t="shared" ca="1" si="95"/>
        <v>61</v>
      </c>
      <c r="CP72" s="22">
        <f ca="1">COUNTIFS($C$10:$C71,"&lt;"&amp;$C72,$M$10:$M71,$D72&amp;"_"&amp;CP$9)</f>
        <v>0</v>
      </c>
      <c r="CQ72" s="7">
        <f ca="1">COUNTIFS($C$10:$C71,"&lt;"&amp;$C72,$M$10:$M71,$D72&amp;"_"&amp;CQ$9)</f>
        <v>0</v>
      </c>
      <c r="CR72" s="7">
        <f ca="1">COUNTIFS($C$10:$C71,"&lt;"&amp;$C72,$M$10:$M71,$D72&amp;"_"&amp;CR$9)</f>
        <v>0</v>
      </c>
      <c r="CS72" s="17">
        <f ca="1">COUNTIFS($C$10:$C71,"&lt;"&amp;$C72,$M$10:$M71,$D72&amp;"_"&amp;CS$9)</f>
        <v>0</v>
      </c>
      <c r="CT72" s="7">
        <f ca="1">COUNTIFS($C$10:$C71,"&lt;"&amp;$C72,$M$10:$M71,$D72&amp;"_"&amp;CT$9)</f>
        <v>0</v>
      </c>
      <c r="CU72" s="18">
        <f ca="1">COUNTIFS($C$10:$C71,"&lt;"&amp;$C72,$M$10:$M71,$D72&amp;"_"&amp;CU$9)</f>
        <v>0</v>
      </c>
      <c r="CV72" s="7">
        <f ca="1">COUNTIFS($C$10:$C71,"&lt;"&amp;$C72,$M$10:$M71,$D72&amp;"_"&amp;CV$9)</f>
        <v>0</v>
      </c>
      <c r="CW72" s="7">
        <f ca="1">COUNTIFS($C$10:$C71,"&lt;"&amp;$C72,$M$10:$M71,$D72&amp;"_"&amp;CW$9)</f>
        <v>0</v>
      </c>
      <c r="CX72" s="7">
        <f ca="1">COUNTIFS($C$10:$C71,"&lt;"&amp;$C72,$M$10:$M71,$D72&amp;"_"&amp;CX$9)</f>
        <v>0</v>
      </c>
      <c r="CY72" s="221">
        <f ca="1">COUNTIFS($C$10:$C71,"&lt;"&amp;$C72,$M$10:$M71,$D72&amp;"_"&amp;CY$9)</f>
        <v>61</v>
      </c>
      <c r="DA72" s="20"/>
      <c r="DB72" s="308">
        <f ca="1">IF(CP72=0,0,SUMIFS($P$10:$P71, $C$10:$C71,"&lt;"&amp;$C72, $M$10:$M71,$D72&amp;"_"&amp;DB$9)/CP72)</f>
        <v>0</v>
      </c>
      <c r="DC72" s="263">
        <f ca="1">IF(CQ72=0,0,SUMIFS($P$10:$P71, $C$10:$C71,"&lt;"&amp;$C72, $M$10:$M71,$D72&amp;"_"&amp;DC$9)/CQ72)</f>
        <v>0</v>
      </c>
      <c r="DD72" s="263">
        <f ca="1">IF(CR72=0,0,SUMIFS($P$10:$P71, $C$10:$C71,"&lt;"&amp;$C72, $M$10:$M71,$D72&amp;"_"&amp;DD$9)/CR72)</f>
        <v>0</v>
      </c>
      <c r="DE72" s="262">
        <f ca="1">IF(CS72=0,0,SUMIFS($P$10:$P71, $C$10:$C71,"&lt;"&amp;$C72, $M$10:$M71,$D72&amp;"_"&amp;DE$9)/CS72)</f>
        <v>0</v>
      </c>
      <c r="DF72" s="263">
        <f ca="1">IF(CT72=0,0,SUMIFS($P$10:$P71, $C$10:$C71,"&lt;"&amp;$C72, $M$10:$M71,$D72&amp;"_"&amp;DF$9)/CT72)</f>
        <v>0</v>
      </c>
      <c r="DG72" s="310">
        <f ca="1">IF(CU72=0,0,SUMIFS($P$10:$P71, $C$10:$C71,"&lt;"&amp;$C72, $M$10:$M71,$D72&amp;"_"&amp;DG$9)/CU72)</f>
        <v>0</v>
      </c>
      <c r="DH72" s="263">
        <f ca="1">IF(CV72=0,0,SUMIFS($P$10:$P71, $C$10:$C71,"&lt;"&amp;$C72, $M$10:$M71,$D72&amp;"_"&amp;DH$9)/CV72)</f>
        <v>0</v>
      </c>
      <c r="DI72" s="263">
        <f ca="1">IF(CW72=0,0,SUMIFS($P$10:$P71, $C$10:$C71,"&lt;"&amp;$C72, $M$10:$M71,$D72&amp;"_"&amp;DI$9)/CW72)</f>
        <v>0</v>
      </c>
      <c r="DJ72" s="264">
        <f ca="1">IF(CX72=0,0,SUMIFS($P$10:$P71, $C$10:$C71,"&lt;"&amp;$C72, $M$10:$M71,$D72&amp;"_"&amp;DJ$9)/CX72)</f>
        <v>0</v>
      </c>
      <c r="DK72" s="264">
        <f ca="1">IF(CY72=0,0,SUMIFS($P$10:$P71, $C$10:$C71,"&lt;"&amp;$C72, $M$10:$M71,$D72&amp;"_"&amp;DK$9)/CY72)</f>
        <v>-1</v>
      </c>
      <c r="DM72" s="104"/>
      <c r="DN72" s="306">
        <f t="shared" ca="1" si="96"/>
        <v>-9999</v>
      </c>
      <c r="DO72" s="15">
        <f t="shared" ca="1" si="58"/>
        <v>-9999</v>
      </c>
      <c r="DP72" s="15">
        <f t="shared" ca="1" si="59"/>
        <v>-9999</v>
      </c>
      <c r="DQ72" s="15">
        <f t="shared" ca="1" si="60"/>
        <v>-9999</v>
      </c>
      <c r="DR72" s="15">
        <f t="shared" ca="1" si="61"/>
        <v>-9999</v>
      </c>
      <c r="DS72" s="15">
        <f t="shared" ca="1" si="62"/>
        <v>-9999</v>
      </c>
      <c r="DT72" s="15">
        <f t="shared" ca="1" si="63"/>
        <v>-9999</v>
      </c>
      <c r="DU72" s="15">
        <f t="shared" ca="1" si="64"/>
        <v>-9999</v>
      </c>
      <c r="DV72" s="52">
        <f t="shared" ca="1" si="65"/>
        <v>-9999</v>
      </c>
      <c r="DW72" s="313">
        <f t="shared" ca="1" si="66"/>
        <v>-0.8740282310337637</v>
      </c>
      <c r="DX72" s="52"/>
      <c r="DY72" s="402">
        <f t="shared" ca="1" si="97"/>
        <v>9</v>
      </c>
      <c r="ED72" s="19">
        <f t="shared" ca="1" si="129"/>
        <v>-1</v>
      </c>
      <c r="EE72" s="1">
        <f t="shared" ca="1" si="130"/>
        <v>1</v>
      </c>
      <c r="EF72" s="1">
        <f t="shared" ca="1" si="131"/>
        <v>-1</v>
      </c>
      <c r="EG72" s="2">
        <f t="shared" ca="1" si="132"/>
        <v>1</v>
      </c>
      <c r="EH72" s="1">
        <f t="shared" ca="1" si="133"/>
        <v>-1</v>
      </c>
      <c r="EI72" s="3">
        <f t="shared" ca="1" si="134"/>
        <v>1</v>
      </c>
      <c r="EJ72" s="1">
        <f t="shared" ca="1" si="135"/>
        <v>0</v>
      </c>
      <c r="EK72" s="1">
        <f t="shared" ca="1" si="136"/>
        <v>0</v>
      </c>
      <c r="EL72" s="20">
        <f t="shared" ca="1" si="137"/>
        <v>-1</v>
      </c>
      <c r="EN72" s="86">
        <f ca="1">MAX(0, SUMPRODUCT($ED72:$EL72,OFFSET(DNN!$E$9:$M$9,EN$9,0)) + OFFSET(DNN!$D$9,EN$9,0))</f>
        <v>0</v>
      </c>
      <c r="EO72" s="84">
        <f ca="1">MAX(0, SUMPRODUCT($ED72:$EL72,OFFSET(DNN!$E$9:$M$9,EO$9,0)) + OFFSET(DNN!$D$9,EO$9,0))</f>
        <v>7.2346022384755949E-3</v>
      </c>
      <c r="EP72" s="84">
        <f ca="1">MAX(0, SUMPRODUCT($ED72:$EL72,OFFSET(DNN!$E$9:$M$9,EP$9,0)) + OFFSET(DNN!$D$9,EP$9,0))</f>
        <v>3.6951849750035152E-3</v>
      </c>
      <c r="EQ72" s="84">
        <f ca="1">MAX(0, SUMPRODUCT($ED72:$EL72,OFFSET(DNN!$E$9:$M$9,EQ$9,0)) + OFFSET(DNN!$D$9,EQ$9,0))</f>
        <v>0</v>
      </c>
      <c r="ER72" s="85">
        <f ca="1">MAX(0, SUMPRODUCT($ED72:$EL72,OFFSET(DNN!$E$9:$M$9,ER$9,0)) + OFFSET(DNN!$D$9,ER$9,0))</f>
        <v>0</v>
      </c>
      <c r="ET72" s="86">
        <f ca="1">MAX(0, SUMPRODUCT($EN72:$ER72,OFFSET(DNN!$Q$9:$U$9,ET$9,0)) + OFFSET(DNN!$P$9,ET$9,0))</f>
        <v>4.3954959453478351E-4</v>
      </c>
      <c r="EU72" s="84">
        <f ca="1">MAX(0, SUMPRODUCT($EN72:$ER72,OFFSET(DNN!$Q$9:$U$9,EU$9,0)) + OFFSET(DNN!$P$9,EU$9,0))</f>
        <v>0</v>
      </c>
      <c r="EV72" s="84">
        <f ca="1">MAX(0, SUMPRODUCT($EN72:$ER72,OFFSET(DNN!$Q$9:$U$9,EV$9,0)) + OFFSET(DNN!$P$9,EV$9,0))</f>
        <v>1.2810123361902579E-3</v>
      </c>
      <c r="EW72" s="84">
        <f ca="1">MAX(0, SUMPRODUCT($EN72:$ER72,OFFSET(DNN!$Q$9:$U$9,EW$9,0)) + OFFSET(DNN!$P$9,EW$9,0))</f>
        <v>7.8382123007882457E-4</v>
      </c>
      <c r="EX72" s="85">
        <f ca="1">MAX(0, SUMPRODUCT($EN72:$ER72,OFFSET(DNN!$Q$9:$U$9,EX$9,0)) + OFFSET(DNN!$P$9,EX$9,0))</f>
        <v>0</v>
      </c>
      <c r="EZ72" s="111">
        <f ca="1">SUMPRODUCT($ET72:$EX72,OFFSET(DNN!$Y$9:$AC$9,EZ$9,0)) + OFFSET(DNN!$X$9,EZ$9,0)</f>
        <v>0.43031618918982212</v>
      </c>
      <c r="FA72" s="97">
        <f ca="1">SUMPRODUCT($ET72:$EX72,OFFSET(DNN!$Y$9:$AC$9,FA$9,0)) + OFFSET(DNN!$X$9,FA$9,0)</f>
        <v>-1.2643439935754107E-5</v>
      </c>
      <c r="FB72" s="97">
        <f ca="1">SUMPRODUCT($ET72:$EX72,OFFSET(DNN!$Y$9:$AC$9,FB$9,0)) + OFFSET(DNN!$X$9,FB$9,0)</f>
        <v>1.5239793458415756E-2</v>
      </c>
      <c r="FC72" s="97">
        <f ca="1">SUMPRODUCT($ET72:$EX72,OFFSET(DNN!$Y$9:$AC$9,FC$9,0)) + OFFSET(DNN!$X$9,FC$9,0)</f>
        <v>-8.8749521084055777E-4</v>
      </c>
      <c r="FD72" s="97">
        <f ca="1">SUMPRODUCT($ET72:$EX72,OFFSET(DNN!$Y$9:$AC$9,FD$9,0)) + OFFSET(DNN!$X$9,FD$9,0)</f>
        <v>-4.235816470721872E-4</v>
      </c>
      <c r="FE72" s="97">
        <f ca="1">SUMPRODUCT($ET72:$EX72,OFFSET(DNN!$Y$9:$AC$9,FE$9,0)) + OFFSET(DNN!$X$9,FE$9,0)</f>
        <v>-1.574182761064886E-5</v>
      </c>
      <c r="FF72" s="97">
        <f ca="1">SUMPRODUCT($ET72:$EX72,OFFSET(DNN!$Y$9:$AC$9,FF$9,0)) + OFFSET(DNN!$X$9,FF$9,0)</f>
        <v>-1.3491460223194656E-3</v>
      </c>
      <c r="FG72" s="97">
        <f ca="1">SUMPRODUCT($ET72:$EX72,OFFSET(DNN!$Y$9:$AC$9,FG$9,0)) + OFFSET(DNN!$X$9,FG$9,0)</f>
        <v>-6.2604808096248285E-2</v>
      </c>
      <c r="FH72" s="97">
        <f ca="1">SUMPRODUCT($ET72:$EX72,OFFSET(DNN!$Y$9:$AC$9,FH$9,0)) + OFFSET(DNN!$X$9,FH$9,0)</f>
        <v>8.6810016937029894E-4</v>
      </c>
      <c r="FI72" s="108">
        <f ca="1">SUMPRODUCT($ET72:$EX72,OFFSET(DNN!$Y$9:$AC$9,FI$9,0)) + OFFSET(DNN!$X$9,FI$9,0)</f>
        <v>-1.3182687612562751</v>
      </c>
      <c r="FJ72" s="98">
        <f ca="1">SUMPRODUCT($ET72:$EX72,OFFSET(DNN!$Y$9:$AC$9,FJ$9,0)) + OFFSET(DNN!$X$9,FJ$9,0)</f>
        <v>-2.2535161745939301E-5</v>
      </c>
      <c r="FL72" s="415">
        <f t="shared" ca="1" si="98"/>
        <v>0.43031618918982212</v>
      </c>
      <c r="FM72" s="130">
        <f t="shared" ca="1" si="99"/>
        <v>1</v>
      </c>
      <c r="FN72" s="131">
        <f t="shared" ca="1" si="100"/>
        <v>0.65029522127322903</v>
      </c>
      <c r="FO72" s="131">
        <f t="shared" ca="1" si="101"/>
        <v>0.66028983545318687</v>
      </c>
      <c r="FP72" s="131">
        <f t="shared" ca="1" si="102"/>
        <v>0.64972655813153501</v>
      </c>
      <c r="FQ72" s="131">
        <f t="shared" ca="1" si="103"/>
        <v>0.65002804502111444</v>
      </c>
      <c r="FR72" s="131">
        <f t="shared" ca="1" si="104"/>
        <v>0.65029320640965171</v>
      </c>
      <c r="FS72" s="131">
        <f t="shared" ca="1" si="105"/>
        <v>0.64942668056342145</v>
      </c>
      <c r="FT72" s="131">
        <f t="shared" ca="1" si="106"/>
        <v>0.61083952513994022</v>
      </c>
      <c r="FU72" s="132">
        <f t="shared" ca="1" si="107"/>
        <v>0.6508682169276182</v>
      </c>
      <c r="FV72" s="131">
        <f t="shared" ca="1" si="108"/>
        <v>0.17402001625314881</v>
      </c>
      <c r="FW72" s="83">
        <f t="shared" ca="1" si="109"/>
        <v>-2.2535161742124597E-5</v>
      </c>
    </row>
    <row r="73" spans="1:179">
      <c r="A73" s="19">
        <f t="shared" si="117"/>
        <v>63</v>
      </c>
      <c r="B73" s="1">
        <f t="shared" ca="1" si="111"/>
        <v>0</v>
      </c>
      <c r="C73" s="20">
        <f t="shared" ca="1" si="112"/>
        <v>63</v>
      </c>
      <c r="D73" s="19" t="str">
        <f t="shared" ca="1" si="113"/>
        <v>〇×〇×〇×--〇</v>
      </c>
      <c r="E73" s="7">
        <f t="shared" ca="1" si="77"/>
        <v>9</v>
      </c>
      <c r="F73" s="7">
        <f t="shared" ca="1" si="78"/>
        <v>1</v>
      </c>
      <c r="G73" s="1" t="str">
        <f t="shared" ca="1" si="139"/>
        <v>〇×〇×〇×--〇</v>
      </c>
      <c r="H73" s="20" t="b">
        <f t="shared" ca="1" si="140"/>
        <v>1</v>
      </c>
      <c r="I73" s="22">
        <f t="shared" ca="1" si="114"/>
        <v>-1</v>
      </c>
      <c r="J73" s="1" t="b">
        <f ca="1">(1&lt;COUNTIF(D$10:D73,D73))</f>
        <v>1</v>
      </c>
      <c r="K73" s="1" t="b">
        <f t="shared" ca="1" si="141"/>
        <v>1</v>
      </c>
      <c r="L73" s="7">
        <f ca="1">MATCH(TRUE,K73:K$1048576,FALSE)-1</f>
        <v>0</v>
      </c>
      <c r="M73" s="24" t="str">
        <f t="shared" ca="1" si="142"/>
        <v>〇×〇×〇×--〇_9</v>
      </c>
      <c r="N73" s="25">
        <f t="shared" ca="1" si="82"/>
        <v>-2.2535161742124597E-5</v>
      </c>
      <c r="O73" s="26">
        <f t="shared" ca="1" si="83"/>
        <v>-1</v>
      </c>
      <c r="P73" s="27">
        <f t="shared" ca="1" si="84"/>
        <v>-1</v>
      </c>
      <c r="R73" s="41" t="str">
        <f ca="1">VLOOKUP(S73,cvt!$B$2:$C$4,2,FALSE)&amp;VLOOKUP(T73,cvt!$B$2:$C$4,2,FALSE)&amp;VLOOKUP(U73,cvt!$B$2:$C$4,2,FALSE)
&amp;VLOOKUP(V73,cvt!$B$2:$C$4,2,FALSE)&amp;VLOOKUP(W73,cvt!$B$2:$C$4,2,FALSE)&amp;VLOOKUP(X73,cvt!$B$2:$C$4,2,FALSE)
&amp;VLOOKUP(Y73,cvt!$B$2:$C$4,2,FALSE)&amp;VLOOKUP(Z73,cvt!$B$2:$C$4,2,FALSE)&amp;VLOOKUP(AA73,cvt!$B$2:$C$4,2,FALSE)</f>
        <v>〇×〇×〇×--〇</v>
      </c>
      <c r="S73" s="7">
        <f ca="1">VLOOKUP(MID($D73,S$9+1,1), cvt!$A$2:$B$4,2, FALSE)</f>
        <v>1</v>
      </c>
      <c r="T73" s="7">
        <f ca="1">VLOOKUP(MID($D73,T$9+1,1), cvt!$A$2:$B$4,2, FALSE)</f>
        <v>-1</v>
      </c>
      <c r="U73" s="7">
        <f ca="1">VLOOKUP(MID($D73,U$9+1,1), cvt!$A$2:$B$4,2, FALSE)</f>
        <v>1</v>
      </c>
      <c r="V73" s="17">
        <f ca="1">VLOOKUP(MID($D73,V$9+1,1), cvt!$A$2:$B$4,2, FALSE)</f>
        <v>-1</v>
      </c>
      <c r="W73" s="7">
        <f ca="1">VLOOKUP(MID($D73,W$9+1,1), cvt!$A$2:$B$4,2, FALSE)</f>
        <v>1</v>
      </c>
      <c r="X73" s="18">
        <f ca="1">VLOOKUP(MID($D73,X$9+1,1), cvt!$A$2:$B$4,2, FALSE)</f>
        <v>-1</v>
      </c>
      <c r="Y73" s="7">
        <f ca="1">VLOOKUP(MID($D73,Y$9+1,1), cvt!$A$2:$B$4,2, FALSE)</f>
        <v>0</v>
      </c>
      <c r="Z73" s="7">
        <f ca="1">VLOOKUP(MID($D73,Z$9+1,1), cvt!$A$2:$B$4,2, FALSE)</f>
        <v>0</v>
      </c>
      <c r="AA73" s="42">
        <f ca="1">VLOOKUP(MID($D73,AA$9+1,1), cvt!$A$2:$B$4,2, FALSE)</f>
        <v>1</v>
      </c>
      <c r="AB73" s="7">
        <f t="shared" ca="1" si="85"/>
        <v>1</v>
      </c>
      <c r="AC73" s="50" t="b">
        <f t="shared" ca="1" si="86"/>
        <v>1</v>
      </c>
      <c r="AE73" s="19" t="str">
        <f ca="1">VLOOKUP(AF73,cvt!$B$2:$C$4,2,FALSE)&amp;VLOOKUP(AG73,cvt!$B$2:$C$4,2,FALSE)&amp;VLOOKUP(AH73,cvt!$B$2:$C$4,2,FALSE)
&amp;VLOOKUP(AI73,cvt!$B$2:$C$4,2,FALSE)&amp;VLOOKUP(AJ73,cvt!$B$2:$C$4,2,FALSE)&amp;VLOOKUP(AK73,cvt!$B$2:$C$4,2,FALSE)
&amp;VLOOKUP(AL73,cvt!$B$2:$C$4,2,FALSE)&amp;VLOOKUP(AM73,cvt!$B$2:$C$4,2,FALSE)&amp;VLOOKUP(AN73,cvt!$B$2:$C$4,2,FALSE)</f>
        <v>〇×〇×〇×--〇</v>
      </c>
      <c r="AF73" s="17">
        <f t="shared" ca="1" si="143"/>
        <v>1</v>
      </c>
      <c r="AG73" s="7">
        <f t="shared" ca="1" si="144"/>
        <v>-1</v>
      </c>
      <c r="AH73" s="7">
        <f t="shared" ca="1" si="145"/>
        <v>1</v>
      </c>
      <c r="AI73" s="17">
        <f t="shared" ca="1" si="146"/>
        <v>-1</v>
      </c>
      <c r="AJ73" s="7">
        <f t="shared" ca="1" si="147"/>
        <v>1</v>
      </c>
      <c r="AK73" s="18">
        <f t="shared" ca="1" si="148"/>
        <v>-1</v>
      </c>
      <c r="AL73" s="7">
        <f t="shared" ca="1" si="149"/>
        <v>0</v>
      </c>
      <c r="AM73" s="7">
        <f t="shared" ca="1" si="150"/>
        <v>0</v>
      </c>
      <c r="AN73" s="18">
        <f t="shared" ca="1" si="151"/>
        <v>1</v>
      </c>
      <c r="AO73" s="7">
        <f t="shared" ca="1" si="115"/>
        <v>1</v>
      </c>
      <c r="AP73" s="50" t="b">
        <f t="shared" ca="1" si="152"/>
        <v>1</v>
      </c>
      <c r="AS73" s="22">
        <f t="shared" ca="1" si="88"/>
        <v>0</v>
      </c>
      <c r="AT73" s="7">
        <f t="shared" ca="1" si="23"/>
        <v>0</v>
      </c>
      <c r="AU73" s="7">
        <f t="shared" ca="1" si="24"/>
        <v>0</v>
      </c>
      <c r="AV73" s="7">
        <f t="shared" ca="1" si="25"/>
        <v>0</v>
      </c>
      <c r="AW73" s="7">
        <f t="shared" ca="1" si="26"/>
        <v>0</v>
      </c>
      <c r="AX73" s="7">
        <f t="shared" ca="1" si="27"/>
        <v>0</v>
      </c>
      <c r="AY73" s="7">
        <f t="shared" ca="1" si="28"/>
        <v>0</v>
      </c>
      <c r="AZ73" s="7">
        <f t="shared" ca="1" si="29"/>
        <v>0</v>
      </c>
      <c r="BA73" s="18">
        <f t="shared" ca="1" si="30"/>
        <v>0</v>
      </c>
      <c r="BB73" s="295">
        <f t="shared" ca="1" si="89"/>
        <v>1</v>
      </c>
      <c r="BD73" s="132"/>
      <c r="BE73" s="297">
        <f t="shared" ca="1" si="90"/>
        <v>1</v>
      </c>
      <c r="BF73" s="298">
        <f t="shared" ca="1" si="31"/>
        <v>0.65029522127322903</v>
      </c>
      <c r="BG73" s="298">
        <f t="shared" ca="1" si="32"/>
        <v>0.66028983545318687</v>
      </c>
      <c r="BH73" s="318">
        <f t="shared" ca="1" si="33"/>
        <v>0.64972655813153501</v>
      </c>
      <c r="BI73" s="298">
        <f t="shared" ca="1" si="34"/>
        <v>0.65002804502111444</v>
      </c>
      <c r="BJ73" s="299">
        <f t="shared" ca="1" si="35"/>
        <v>0.65029320640965171</v>
      </c>
      <c r="BK73" s="298">
        <f t="shared" ca="1" si="36"/>
        <v>0.64942668056342145</v>
      </c>
      <c r="BL73" s="298">
        <f t="shared" ca="1" si="37"/>
        <v>0.61083952513994022</v>
      </c>
      <c r="BM73" s="299">
        <f t="shared" ca="1" si="38"/>
        <v>0.6508682169276182</v>
      </c>
      <c r="BN73" s="295">
        <f t="shared" ca="1" si="39"/>
        <v>0.17402001625314881</v>
      </c>
      <c r="BO73" s="248">
        <f t="shared" ca="1" si="91"/>
        <v>-2.2535161742124597E-5</v>
      </c>
      <c r="BQ73" s="304">
        <f t="shared" ca="1" si="92"/>
        <v>0.1741200162531488</v>
      </c>
      <c r="BR73" s="297">
        <f t="shared" ca="1" si="93"/>
        <v>0</v>
      </c>
      <c r="BS73" s="298">
        <f t="shared" ca="1" si="40"/>
        <v>0</v>
      </c>
      <c r="BT73" s="298">
        <f t="shared" ca="1" si="41"/>
        <v>0</v>
      </c>
      <c r="BU73" s="318">
        <f t="shared" ca="1" si="42"/>
        <v>0</v>
      </c>
      <c r="BV73" s="298">
        <f t="shared" ca="1" si="43"/>
        <v>0</v>
      </c>
      <c r="BW73" s="299">
        <f t="shared" ca="1" si="44"/>
        <v>0</v>
      </c>
      <c r="BX73" s="298">
        <f t="shared" ca="1" si="45"/>
        <v>0</v>
      </c>
      <c r="BY73" s="298">
        <f t="shared" ca="1" si="46"/>
        <v>0</v>
      </c>
      <c r="BZ73" s="298">
        <f t="shared" ca="1" si="47"/>
        <v>0</v>
      </c>
      <c r="CA73" s="315">
        <f t="shared" ca="1" si="48"/>
        <v>0.1741200162531488</v>
      </c>
      <c r="CC73" s="52"/>
      <c r="CD73" s="306">
        <f t="shared" ca="1" si="94"/>
        <v>0</v>
      </c>
      <c r="CE73" s="15">
        <f t="shared" ca="1" si="49"/>
        <v>0</v>
      </c>
      <c r="CF73" s="15">
        <f t="shared" ca="1" si="50"/>
        <v>0</v>
      </c>
      <c r="CG73" s="286">
        <f t="shared" ca="1" si="51"/>
        <v>0</v>
      </c>
      <c r="CH73" s="15">
        <f t="shared" ca="1" si="52"/>
        <v>0</v>
      </c>
      <c r="CI73" s="288">
        <f t="shared" ca="1" si="53"/>
        <v>0</v>
      </c>
      <c r="CJ73" s="15">
        <f t="shared" ca="1" si="54"/>
        <v>0</v>
      </c>
      <c r="CK73" s="15">
        <f t="shared" ca="1" si="55"/>
        <v>0</v>
      </c>
      <c r="CL73" s="15">
        <f t="shared" ca="1" si="56"/>
        <v>0</v>
      </c>
      <c r="CM73" s="313">
        <f t="shared" ca="1" si="57"/>
        <v>1</v>
      </c>
      <c r="CO73" s="320">
        <f t="shared" ca="1" si="95"/>
        <v>62</v>
      </c>
      <c r="CP73" s="22">
        <f ca="1">COUNTIFS($C$10:$C72,"&lt;"&amp;$C73,$M$10:$M72,$D73&amp;"_"&amp;CP$9)</f>
        <v>0</v>
      </c>
      <c r="CQ73" s="7">
        <f ca="1">COUNTIFS($C$10:$C72,"&lt;"&amp;$C73,$M$10:$M72,$D73&amp;"_"&amp;CQ$9)</f>
        <v>0</v>
      </c>
      <c r="CR73" s="7">
        <f ca="1">COUNTIFS($C$10:$C72,"&lt;"&amp;$C73,$M$10:$M72,$D73&amp;"_"&amp;CR$9)</f>
        <v>0</v>
      </c>
      <c r="CS73" s="17">
        <f ca="1">COUNTIFS($C$10:$C72,"&lt;"&amp;$C73,$M$10:$M72,$D73&amp;"_"&amp;CS$9)</f>
        <v>0</v>
      </c>
      <c r="CT73" s="7">
        <f ca="1">COUNTIFS($C$10:$C72,"&lt;"&amp;$C73,$M$10:$M72,$D73&amp;"_"&amp;CT$9)</f>
        <v>0</v>
      </c>
      <c r="CU73" s="18">
        <f ca="1">COUNTIFS($C$10:$C72,"&lt;"&amp;$C73,$M$10:$M72,$D73&amp;"_"&amp;CU$9)</f>
        <v>0</v>
      </c>
      <c r="CV73" s="7">
        <f ca="1">COUNTIFS($C$10:$C72,"&lt;"&amp;$C73,$M$10:$M72,$D73&amp;"_"&amp;CV$9)</f>
        <v>0</v>
      </c>
      <c r="CW73" s="7">
        <f ca="1">COUNTIFS($C$10:$C72,"&lt;"&amp;$C73,$M$10:$M72,$D73&amp;"_"&amp;CW$9)</f>
        <v>0</v>
      </c>
      <c r="CX73" s="7">
        <f ca="1">COUNTIFS($C$10:$C72,"&lt;"&amp;$C73,$M$10:$M72,$D73&amp;"_"&amp;CX$9)</f>
        <v>0</v>
      </c>
      <c r="CY73" s="221">
        <f ca="1">COUNTIFS($C$10:$C72,"&lt;"&amp;$C73,$M$10:$M72,$D73&amp;"_"&amp;CY$9)</f>
        <v>62</v>
      </c>
      <c r="DA73" s="20"/>
      <c r="DB73" s="308">
        <f ca="1">IF(CP73=0,0,SUMIFS($P$10:$P72, $C$10:$C72,"&lt;"&amp;$C73, $M$10:$M72,$D73&amp;"_"&amp;DB$9)/CP73)</f>
        <v>0</v>
      </c>
      <c r="DC73" s="263">
        <f ca="1">IF(CQ73=0,0,SUMIFS($P$10:$P72, $C$10:$C72,"&lt;"&amp;$C73, $M$10:$M72,$D73&amp;"_"&amp;DC$9)/CQ73)</f>
        <v>0</v>
      </c>
      <c r="DD73" s="263">
        <f ca="1">IF(CR73=0,0,SUMIFS($P$10:$P72, $C$10:$C72,"&lt;"&amp;$C73, $M$10:$M72,$D73&amp;"_"&amp;DD$9)/CR73)</f>
        <v>0</v>
      </c>
      <c r="DE73" s="262">
        <f ca="1">IF(CS73=0,0,SUMIFS($P$10:$P72, $C$10:$C72,"&lt;"&amp;$C73, $M$10:$M72,$D73&amp;"_"&amp;DE$9)/CS73)</f>
        <v>0</v>
      </c>
      <c r="DF73" s="263">
        <f ca="1">IF(CT73=0,0,SUMIFS($P$10:$P72, $C$10:$C72,"&lt;"&amp;$C73, $M$10:$M72,$D73&amp;"_"&amp;DF$9)/CT73)</f>
        <v>0</v>
      </c>
      <c r="DG73" s="310">
        <f ca="1">IF(CU73=0,0,SUMIFS($P$10:$P72, $C$10:$C72,"&lt;"&amp;$C73, $M$10:$M72,$D73&amp;"_"&amp;DG$9)/CU73)</f>
        <v>0</v>
      </c>
      <c r="DH73" s="263">
        <f ca="1">IF(CV73=0,0,SUMIFS($P$10:$P72, $C$10:$C72,"&lt;"&amp;$C73, $M$10:$M72,$D73&amp;"_"&amp;DH$9)/CV73)</f>
        <v>0</v>
      </c>
      <c r="DI73" s="263">
        <f ca="1">IF(CW73=0,0,SUMIFS($P$10:$P72, $C$10:$C72,"&lt;"&amp;$C73, $M$10:$M72,$D73&amp;"_"&amp;DI$9)/CW73)</f>
        <v>0</v>
      </c>
      <c r="DJ73" s="264">
        <f ca="1">IF(CX73=0,0,SUMIFS($P$10:$P72, $C$10:$C72,"&lt;"&amp;$C73, $M$10:$M72,$D73&amp;"_"&amp;DJ$9)/CX73)</f>
        <v>0</v>
      </c>
      <c r="DK73" s="264">
        <f ca="1">IF(CY73=0,0,SUMIFS($P$10:$P72, $C$10:$C72,"&lt;"&amp;$C73, $M$10:$M72,$D73&amp;"_"&amp;DK$9)/CY73)</f>
        <v>-1</v>
      </c>
      <c r="DM73" s="104"/>
      <c r="DN73" s="306">
        <f t="shared" ca="1" si="96"/>
        <v>-9999</v>
      </c>
      <c r="DO73" s="15">
        <f t="shared" ca="1" si="58"/>
        <v>-9999</v>
      </c>
      <c r="DP73" s="15">
        <f t="shared" ca="1" si="59"/>
        <v>-9999</v>
      </c>
      <c r="DQ73" s="15">
        <f t="shared" ca="1" si="60"/>
        <v>-9999</v>
      </c>
      <c r="DR73" s="15">
        <f t="shared" ca="1" si="61"/>
        <v>-9999</v>
      </c>
      <c r="DS73" s="15">
        <f t="shared" ca="1" si="62"/>
        <v>-9999</v>
      </c>
      <c r="DT73" s="15">
        <f t="shared" ca="1" si="63"/>
        <v>-9999</v>
      </c>
      <c r="DU73" s="15">
        <f t="shared" ca="1" si="64"/>
        <v>-9999</v>
      </c>
      <c r="DV73" s="52">
        <f t="shared" ca="1" si="65"/>
        <v>-9999</v>
      </c>
      <c r="DW73" s="313">
        <f t="shared" ca="1" si="66"/>
        <v>-0.87501574803155857</v>
      </c>
      <c r="DX73" s="52"/>
      <c r="DY73" s="402">
        <f t="shared" ca="1" si="97"/>
        <v>9</v>
      </c>
      <c r="ED73" s="19">
        <f t="shared" ca="1" si="129"/>
        <v>-1</v>
      </c>
      <c r="EE73" s="1">
        <f t="shared" ca="1" si="130"/>
        <v>1</v>
      </c>
      <c r="EF73" s="1">
        <f t="shared" ca="1" si="131"/>
        <v>-1</v>
      </c>
      <c r="EG73" s="2">
        <f t="shared" ca="1" si="132"/>
        <v>1</v>
      </c>
      <c r="EH73" s="1">
        <f t="shared" ca="1" si="133"/>
        <v>-1</v>
      </c>
      <c r="EI73" s="3">
        <f t="shared" ca="1" si="134"/>
        <v>1</v>
      </c>
      <c r="EJ73" s="1">
        <f t="shared" ca="1" si="135"/>
        <v>0</v>
      </c>
      <c r="EK73" s="1">
        <f t="shared" ca="1" si="136"/>
        <v>0</v>
      </c>
      <c r="EL73" s="20">
        <f t="shared" ca="1" si="137"/>
        <v>-1</v>
      </c>
      <c r="EN73" s="86">
        <f ca="1">MAX(0, SUMPRODUCT($ED73:$EL73,OFFSET(DNN!$E$9:$M$9,EN$9,0)) + OFFSET(DNN!$D$9,EN$9,0))</f>
        <v>0</v>
      </c>
      <c r="EO73" s="84">
        <f ca="1">MAX(0, SUMPRODUCT($ED73:$EL73,OFFSET(DNN!$E$9:$M$9,EO$9,0)) + OFFSET(DNN!$D$9,EO$9,0))</f>
        <v>7.2346022384755949E-3</v>
      </c>
      <c r="EP73" s="84">
        <f ca="1">MAX(0, SUMPRODUCT($ED73:$EL73,OFFSET(DNN!$E$9:$M$9,EP$9,0)) + OFFSET(DNN!$D$9,EP$9,0))</f>
        <v>3.6951849750035152E-3</v>
      </c>
      <c r="EQ73" s="84">
        <f ca="1">MAX(0, SUMPRODUCT($ED73:$EL73,OFFSET(DNN!$E$9:$M$9,EQ$9,0)) + OFFSET(DNN!$D$9,EQ$9,0))</f>
        <v>0</v>
      </c>
      <c r="ER73" s="85">
        <f ca="1">MAX(0, SUMPRODUCT($ED73:$EL73,OFFSET(DNN!$E$9:$M$9,ER$9,0)) + OFFSET(DNN!$D$9,ER$9,0))</f>
        <v>0</v>
      </c>
      <c r="ET73" s="86">
        <f ca="1">MAX(0, SUMPRODUCT($EN73:$ER73,OFFSET(DNN!$Q$9:$U$9,ET$9,0)) + OFFSET(DNN!$P$9,ET$9,0))</f>
        <v>4.3954959453478351E-4</v>
      </c>
      <c r="EU73" s="84">
        <f ca="1">MAX(0, SUMPRODUCT($EN73:$ER73,OFFSET(DNN!$Q$9:$U$9,EU$9,0)) + OFFSET(DNN!$P$9,EU$9,0))</f>
        <v>0</v>
      </c>
      <c r="EV73" s="84">
        <f ca="1">MAX(0, SUMPRODUCT($EN73:$ER73,OFFSET(DNN!$Q$9:$U$9,EV$9,0)) + OFFSET(DNN!$P$9,EV$9,0))</f>
        <v>1.2810123361902579E-3</v>
      </c>
      <c r="EW73" s="84">
        <f ca="1">MAX(0, SUMPRODUCT($EN73:$ER73,OFFSET(DNN!$Q$9:$U$9,EW$9,0)) + OFFSET(DNN!$P$9,EW$9,0))</f>
        <v>7.8382123007882457E-4</v>
      </c>
      <c r="EX73" s="85">
        <f ca="1">MAX(0, SUMPRODUCT($EN73:$ER73,OFFSET(DNN!$Q$9:$U$9,EX$9,0)) + OFFSET(DNN!$P$9,EX$9,0))</f>
        <v>0</v>
      </c>
      <c r="EZ73" s="111">
        <f ca="1">SUMPRODUCT($ET73:$EX73,OFFSET(DNN!$Y$9:$AC$9,EZ$9,0)) + OFFSET(DNN!$X$9,EZ$9,0)</f>
        <v>0.43031618918982212</v>
      </c>
      <c r="FA73" s="97">
        <f ca="1">SUMPRODUCT($ET73:$EX73,OFFSET(DNN!$Y$9:$AC$9,FA$9,0)) + OFFSET(DNN!$X$9,FA$9,0)</f>
        <v>-1.2643439935754107E-5</v>
      </c>
      <c r="FB73" s="97">
        <f ca="1">SUMPRODUCT($ET73:$EX73,OFFSET(DNN!$Y$9:$AC$9,FB$9,0)) + OFFSET(DNN!$X$9,FB$9,0)</f>
        <v>1.5239793458415756E-2</v>
      </c>
      <c r="FC73" s="97">
        <f ca="1">SUMPRODUCT($ET73:$EX73,OFFSET(DNN!$Y$9:$AC$9,FC$9,0)) + OFFSET(DNN!$X$9,FC$9,0)</f>
        <v>-8.8749521084055777E-4</v>
      </c>
      <c r="FD73" s="97">
        <f ca="1">SUMPRODUCT($ET73:$EX73,OFFSET(DNN!$Y$9:$AC$9,FD$9,0)) + OFFSET(DNN!$X$9,FD$9,0)</f>
        <v>-4.235816470721872E-4</v>
      </c>
      <c r="FE73" s="97">
        <f ca="1">SUMPRODUCT($ET73:$EX73,OFFSET(DNN!$Y$9:$AC$9,FE$9,0)) + OFFSET(DNN!$X$9,FE$9,0)</f>
        <v>-1.574182761064886E-5</v>
      </c>
      <c r="FF73" s="97">
        <f ca="1">SUMPRODUCT($ET73:$EX73,OFFSET(DNN!$Y$9:$AC$9,FF$9,0)) + OFFSET(DNN!$X$9,FF$9,0)</f>
        <v>-1.3491460223194656E-3</v>
      </c>
      <c r="FG73" s="97">
        <f ca="1">SUMPRODUCT($ET73:$EX73,OFFSET(DNN!$Y$9:$AC$9,FG$9,0)) + OFFSET(DNN!$X$9,FG$9,0)</f>
        <v>-6.2604808096248285E-2</v>
      </c>
      <c r="FH73" s="97">
        <f ca="1">SUMPRODUCT($ET73:$EX73,OFFSET(DNN!$Y$9:$AC$9,FH$9,0)) + OFFSET(DNN!$X$9,FH$9,0)</f>
        <v>8.6810016937029894E-4</v>
      </c>
      <c r="FI73" s="108">
        <f ca="1">SUMPRODUCT($ET73:$EX73,OFFSET(DNN!$Y$9:$AC$9,FI$9,0)) + OFFSET(DNN!$X$9,FI$9,0)</f>
        <v>-1.3182687612562751</v>
      </c>
      <c r="FJ73" s="98">
        <f ca="1">SUMPRODUCT($ET73:$EX73,OFFSET(DNN!$Y$9:$AC$9,FJ$9,0)) + OFFSET(DNN!$X$9,FJ$9,0)</f>
        <v>-2.2535161745939301E-5</v>
      </c>
      <c r="FL73" s="415">
        <f t="shared" ca="1" si="98"/>
        <v>0.43031618918982212</v>
      </c>
      <c r="FM73" s="130">
        <f t="shared" ca="1" si="99"/>
        <v>1</v>
      </c>
      <c r="FN73" s="131">
        <f t="shared" ca="1" si="100"/>
        <v>0.65029522127322903</v>
      </c>
      <c r="FO73" s="131">
        <f t="shared" ca="1" si="101"/>
        <v>0.66028983545318687</v>
      </c>
      <c r="FP73" s="131">
        <f t="shared" ca="1" si="102"/>
        <v>0.64972655813153501</v>
      </c>
      <c r="FQ73" s="131">
        <f t="shared" ca="1" si="103"/>
        <v>0.65002804502111444</v>
      </c>
      <c r="FR73" s="131">
        <f t="shared" ca="1" si="104"/>
        <v>0.65029320640965171</v>
      </c>
      <c r="FS73" s="131">
        <f t="shared" ca="1" si="105"/>
        <v>0.64942668056342145</v>
      </c>
      <c r="FT73" s="131">
        <f t="shared" ca="1" si="106"/>
        <v>0.61083952513994022</v>
      </c>
      <c r="FU73" s="132">
        <f t="shared" ca="1" si="107"/>
        <v>0.6508682169276182</v>
      </c>
      <c r="FV73" s="131">
        <f t="shared" ca="1" si="108"/>
        <v>0.17402001625314881</v>
      </c>
      <c r="FW73" s="83">
        <f t="shared" ca="1" si="109"/>
        <v>-2.2535161742124597E-5</v>
      </c>
    </row>
    <row r="74" spans="1:179">
      <c r="A74" s="19">
        <f t="shared" si="117"/>
        <v>64</v>
      </c>
      <c r="B74" s="1">
        <f t="shared" ca="1" si="111"/>
        <v>0</v>
      </c>
      <c r="C74" s="20">
        <f t="shared" ca="1" si="112"/>
        <v>64</v>
      </c>
      <c r="D74" s="19" t="str">
        <f t="shared" ca="1" si="113"/>
        <v>〇×〇×〇×--〇</v>
      </c>
      <c r="E74" s="7">
        <f t="shared" ca="1" si="77"/>
        <v>9</v>
      </c>
      <c r="F74" s="7">
        <f t="shared" ca="1" si="78"/>
        <v>1</v>
      </c>
      <c r="G74" s="1" t="str">
        <f t="shared" ca="1" si="139"/>
        <v>〇×〇×〇×--〇</v>
      </c>
      <c r="H74" s="20" t="b">
        <f t="shared" ca="1" si="140"/>
        <v>1</v>
      </c>
      <c r="I74" s="22">
        <f t="shared" ca="1" si="114"/>
        <v>-1</v>
      </c>
      <c r="J74" s="1" t="b">
        <f ca="1">(1&lt;COUNTIF(D$10:D74,D74))</f>
        <v>1</v>
      </c>
      <c r="K74" s="1" t="b">
        <f t="shared" ca="1" si="141"/>
        <v>1</v>
      </c>
      <c r="L74" s="7">
        <f ca="1">MATCH(TRUE,K74:K$1048576,FALSE)-1</f>
        <v>0</v>
      </c>
      <c r="M74" s="24" t="str">
        <f t="shared" ca="1" si="142"/>
        <v>〇×〇×〇×--〇_9</v>
      </c>
      <c r="N74" s="25">
        <f t="shared" ca="1" si="82"/>
        <v>-2.2535161742124597E-5</v>
      </c>
      <c r="O74" s="26">
        <f t="shared" ca="1" si="83"/>
        <v>-1</v>
      </c>
      <c r="P74" s="27">
        <f t="shared" ca="1" si="84"/>
        <v>-1</v>
      </c>
      <c r="R74" s="41" t="str">
        <f ca="1">VLOOKUP(S74,cvt!$B$2:$C$4,2,FALSE)&amp;VLOOKUP(T74,cvt!$B$2:$C$4,2,FALSE)&amp;VLOOKUP(U74,cvt!$B$2:$C$4,2,FALSE)
&amp;VLOOKUP(V74,cvt!$B$2:$C$4,2,FALSE)&amp;VLOOKUP(W74,cvt!$B$2:$C$4,2,FALSE)&amp;VLOOKUP(X74,cvt!$B$2:$C$4,2,FALSE)
&amp;VLOOKUP(Y74,cvt!$B$2:$C$4,2,FALSE)&amp;VLOOKUP(Z74,cvt!$B$2:$C$4,2,FALSE)&amp;VLOOKUP(AA74,cvt!$B$2:$C$4,2,FALSE)</f>
        <v>〇×〇×〇×--〇</v>
      </c>
      <c r="S74" s="7">
        <f ca="1">VLOOKUP(MID($D74,S$9+1,1), cvt!$A$2:$B$4,2, FALSE)</f>
        <v>1</v>
      </c>
      <c r="T74" s="7">
        <f ca="1">VLOOKUP(MID($D74,T$9+1,1), cvt!$A$2:$B$4,2, FALSE)</f>
        <v>-1</v>
      </c>
      <c r="U74" s="7">
        <f ca="1">VLOOKUP(MID($D74,U$9+1,1), cvt!$A$2:$B$4,2, FALSE)</f>
        <v>1</v>
      </c>
      <c r="V74" s="17">
        <f ca="1">VLOOKUP(MID($D74,V$9+1,1), cvt!$A$2:$B$4,2, FALSE)</f>
        <v>-1</v>
      </c>
      <c r="W74" s="7">
        <f ca="1">VLOOKUP(MID($D74,W$9+1,1), cvt!$A$2:$B$4,2, FALSE)</f>
        <v>1</v>
      </c>
      <c r="X74" s="18">
        <f ca="1">VLOOKUP(MID($D74,X$9+1,1), cvt!$A$2:$B$4,2, FALSE)</f>
        <v>-1</v>
      </c>
      <c r="Y74" s="7">
        <f ca="1">VLOOKUP(MID($D74,Y$9+1,1), cvt!$A$2:$B$4,2, FALSE)</f>
        <v>0</v>
      </c>
      <c r="Z74" s="7">
        <f ca="1">VLOOKUP(MID($D74,Z$9+1,1), cvt!$A$2:$B$4,2, FALSE)</f>
        <v>0</v>
      </c>
      <c r="AA74" s="42">
        <f ca="1">VLOOKUP(MID($D74,AA$9+1,1), cvt!$A$2:$B$4,2, FALSE)</f>
        <v>1</v>
      </c>
      <c r="AB74" s="7">
        <f t="shared" ca="1" si="85"/>
        <v>1</v>
      </c>
      <c r="AC74" s="50" t="b">
        <f t="shared" ca="1" si="86"/>
        <v>1</v>
      </c>
      <c r="AE74" s="19" t="str">
        <f ca="1">VLOOKUP(AF74,cvt!$B$2:$C$4,2,FALSE)&amp;VLOOKUP(AG74,cvt!$B$2:$C$4,2,FALSE)&amp;VLOOKUP(AH74,cvt!$B$2:$C$4,2,FALSE)
&amp;VLOOKUP(AI74,cvt!$B$2:$C$4,2,FALSE)&amp;VLOOKUP(AJ74,cvt!$B$2:$C$4,2,FALSE)&amp;VLOOKUP(AK74,cvt!$B$2:$C$4,2,FALSE)
&amp;VLOOKUP(AL74,cvt!$B$2:$C$4,2,FALSE)&amp;VLOOKUP(AM74,cvt!$B$2:$C$4,2,FALSE)&amp;VLOOKUP(AN74,cvt!$B$2:$C$4,2,FALSE)</f>
        <v>〇×〇×〇×--〇</v>
      </c>
      <c r="AF74" s="17">
        <f t="shared" ca="1" si="143"/>
        <v>1</v>
      </c>
      <c r="AG74" s="7">
        <f t="shared" ca="1" si="144"/>
        <v>-1</v>
      </c>
      <c r="AH74" s="7">
        <f t="shared" ca="1" si="145"/>
        <v>1</v>
      </c>
      <c r="AI74" s="17">
        <f t="shared" ca="1" si="146"/>
        <v>-1</v>
      </c>
      <c r="AJ74" s="7">
        <f t="shared" ca="1" si="147"/>
        <v>1</v>
      </c>
      <c r="AK74" s="18">
        <f t="shared" ca="1" si="148"/>
        <v>-1</v>
      </c>
      <c r="AL74" s="7">
        <f t="shared" ca="1" si="149"/>
        <v>0</v>
      </c>
      <c r="AM74" s="7">
        <f t="shared" ca="1" si="150"/>
        <v>0</v>
      </c>
      <c r="AN74" s="18">
        <f t="shared" ca="1" si="151"/>
        <v>1</v>
      </c>
      <c r="AO74" s="7">
        <f t="shared" ca="1" si="115"/>
        <v>1</v>
      </c>
      <c r="AP74" s="50" t="b">
        <f t="shared" ca="1" si="152"/>
        <v>1</v>
      </c>
      <c r="AS74" s="22">
        <f t="shared" ca="1" si="88"/>
        <v>0</v>
      </c>
      <c r="AT74" s="7">
        <f t="shared" ref="AT74:AT137" ca="1" si="153">IF(AND(T74=0,$AC74=FALSE),1,0)</f>
        <v>0</v>
      </c>
      <c r="AU74" s="7">
        <f t="shared" ref="AU74:AU137" ca="1" si="154">IF(AND(U74=0,$AC74=FALSE),1,0)</f>
        <v>0</v>
      </c>
      <c r="AV74" s="7">
        <f t="shared" ref="AV74:AV137" ca="1" si="155">IF(AND(V74=0,$AC74=FALSE),1,0)</f>
        <v>0</v>
      </c>
      <c r="AW74" s="7">
        <f t="shared" ref="AW74:AW137" ca="1" si="156">IF(AND(W74=0,$AC74=FALSE),1,0)</f>
        <v>0</v>
      </c>
      <c r="AX74" s="7">
        <f t="shared" ref="AX74:AX137" ca="1" si="157">IF(AND(X74=0,$AC74=FALSE),1,0)</f>
        <v>0</v>
      </c>
      <c r="AY74" s="7">
        <f t="shared" ref="AY74:AY137" ca="1" si="158">IF(AND(Y74=0,$AC74=FALSE),1,0)</f>
        <v>0</v>
      </c>
      <c r="AZ74" s="7">
        <f t="shared" ref="AZ74:AZ137" ca="1" si="159">IF(AND(Z74=0,$AC74=FALSE),1,0)</f>
        <v>0</v>
      </c>
      <c r="BA74" s="18">
        <f t="shared" ref="BA74:BA137" ca="1" si="160">IF(AND(AA74=0,$AC74=FALSE),1,0)</f>
        <v>0</v>
      </c>
      <c r="BB74" s="295">
        <f t="shared" ca="1" si="89"/>
        <v>1</v>
      </c>
      <c r="BD74" s="132"/>
      <c r="BE74" s="297">
        <f t="shared" ca="1" si="90"/>
        <v>1</v>
      </c>
      <c r="BF74" s="298">
        <f t="shared" ref="BF74:BF137" ca="1" si="161">FN74</f>
        <v>0.65029522127322903</v>
      </c>
      <c r="BG74" s="298">
        <f t="shared" ref="BG74:BG137" ca="1" si="162">FO74</f>
        <v>0.66028983545318687</v>
      </c>
      <c r="BH74" s="318">
        <f t="shared" ref="BH74:BH137" ca="1" si="163">FP74</f>
        <v>0.64972655813153501</v>
      </c>
      <c r="BI74" s="298">
        <f t="shared" ref="BI74:BI137" ca="1" si="164">FQ74</f>
        <v>0.65002804502111444</v>
      </c>
      <c r="BJ74" s="299">
        <f t="shared" ref="BJ74:BJ137" ca="1" si="165">FR74</f>
        <v>0.65029320640965171</v>
      </c>
      <c r="BK74" s="298">
        <f t="shared" ref="BK74:BK137" ca="1" si="166">FS74</f>
        <v>0.64942668056342145</v>
      </c>
      <c r="BL74" s="298">
        <f t="shared" ref="BL74:BL137" ca="1" si="167">FT74</f>
        <v>0.61083952513994022</v>
      </c>
      <c r="BM74" s="299">
        <f t="shared" ref="BM74:BM137" ca="1" si="168">FU74</f>
        <v>0.6508682169276182</v>
      </c>
      <c r="BN74" s="295">
        <f t="shared" ref="BN74:BN137" ca="1" si="169">FV74</f>
        <v>0.17402001625314881</v>
      </c>
      <c r="BO74" s="248">
        <f t="shared" ca="1" si="91"/>
        <v>-2.2535161742124597E-5</v>
      </c>
      <c r="BQ74" s="304">
        <f t="shared" ca="1" si="92"/>
        <v>0.42412001625314877</v>
      </c>
      <c r="BR74" s="297">
        <f t="shared" ca="1" si="93"/>
        <v>0</v>
      </c>
      <c r="BS74" s="298">
        <f t="shared" ref="BS74:BS137" ca="1" si="170">(BF74 + 0.25*IF($B74=0, RANDBETWEEN(0,1), 0) + 1/10000) * AT74</f>
        <v>0</v>
      </c>
      <c r="BT74" s="298">
        <f t="shared" ref="BT74:BT137" ca="1" si="171">(BG74 + 0.25*IF($B74=0, RANDBETWEEN(0,1), 0) + 1/10000) * AU74</f>
        <v>0</v>
      </c>
      <c r="BU74" s="318">
        <f t="shared" ref="BU74:BU137" ca="1" si="172">(BH74 + 0.25*IF($B74=0, RANDBETWEEN(0,1), 0) + 1/10000) * AV74</f>
        <v>0</v>
      </c>
      <c r="BV74" s="298">
        <f t="shared" ref="BV74:BV137" ca="1" si="173">(BI74 + 0.25*IF($B74=0, RANDBETWEEN(0,1), 0) + 1/10000) * AW74</f>
        <v>0</v>
      </c>
      <c r="BW74" s="299">
        <f t="shared" ref="BW74:BW137" ca="1" si="174">(BJ74 + 0.25*IF($B74=0, RANDBETWEEN(0,1), 0) + 1/10000) * AX74</f>
        <v>0</v>
      </c>
      <c r="BX74" s="298">
        <f t="shared" ref="BX74:BX137" ca="1" si="175">(BK74 + 0.25*IF($B74=0, RANDBETWEEN(0,1), 0) + 1/10000) * AY74</f>
        <v>0</v>
      </c>
      <c r="BY74" s="298">
        <f t="shared" ref="BY74:BY137" ca="1" si="176">(BL74 + 0.25*IF($B74=0, RANDBETWEEN(0,1), 0) + 1/10000) * AZ74</f>
        <v>0</v>
      </c>
      <c r="BZ74" s="298">
        <f t="shared" ref="BZ74:BZ137" ca="1" si="177">(BM74 + 0.25*IF($B74=0, RANDBETWEEN(0,1), 0) + 1/10000) * BA74</f>
        <v>0</v>
      </c>
      <c r="CA74" s="315">
        <f t="shared" ref="CA74:CA137" ca="1" si="178">(BN74 + 0.25*IF($B74=0, RANDBETWEEN(0,1), 0) + 1/10000) * BB74</f>
        <v>0.42412001625314877</v>
      </c>
      <c r="CC74" s="52"/>
      <c r="CD74" s="306">
        <f t="shared" ca="1" si="94"/>
        <v>0</v>
      </c>
      <c r="CE74" s="15">
        <f t="shared" ref="CE74:CE137" ca="1" si="179">BS74/$BQ74</f>
        <v>0</v>
      </c>
      <c r="CF74" s="15">
        <f t="shared" ref="CF74:CF137" ca="1" si="180">BT74/$BQ74</f>
        <v>0</v>
      </c>
      <c r="CG74" s="286">
        <f t="shared" ref="CG74:CG137" ca="1" si="181">BU74/$BQ74</f>
        <v>0</v>
      </c>
      <c r="CH74" s="15">
        <f t="shared" ref="CH74:CH137" ca="1" si="182">BV74/$BQ74</f>
        <v>0</v>
      </c>
      <c r="CI74" s="288">
        <f t="shared" ref="CI74:CI137" ca="1" si="183">BW74/$BQ74</f>
        <v>0</v>
      </c>
      <c r="CJ74" s="15">
        <f t="shared" ref="CJ74:CJ137" ca="1" si="184">BX74/$BQ74</f>
        <v>0</v>
      </c>
      <c r="CK74" s="15">
        <f t="shared" ref="CK74:CK137" ca="1" si="185">BY74/$BQ74</f>
        <v>0</v>
      </c>
      <c r="CL74" s="15">
        <f t="shared" ref="CL74:CL137" ca="1" si="186">BZ74/$BQ74</f>
        <v>0</v>
      </c>
      <c r="CM74" s="313">
        <f t="shared" ref="CM74:CM137" ca="1" si="187">CA74/$BQ74</f>
        <v>1</v>
      </c>
      <c r="CO74" s="320">
        <f t="shared" ca="1" si="95"/>
        <v>63</v>
      </c>
      <c r="CP74" s="22">
        <f ca="1">COUNTIFS($C$10:$C73,"&lt;"&amp;$C74,$M$10:$M73,$D74&amp;"_"&amp;CP$9)</f>
        <v>0</v>
      </c>
      <c r="CQ74" s="7">
        <f ca="1">COUNTIFS($C$10:$C73,"&lt;"&amp;$C74,$M$10:$M73,$D74&amp;"_"&amp;CQ$9)</f>
        <v>0</v>
      </c>
      <c r="CR74" s="7">
        <f ca="1">COUNTIFS($C$10:$C73,"&lt;"&amp;$C74,$M$10:$M73,$D74&amp;"_"&amp;CR$9)</f>
        <v>0</v>
      </c>
      <c r="CS74" s="17">
        <f ca="1">COUNTIFS($C$10:$C73,"&lt;"&amp;$C74,$M$10:$M73,$D74&amp;"_"&amp;CS$9)</f>
        <v>0</v>
      </c>
      <c r="CT74" s="7">
        <f ca="1">COUNTIFS($C$10:$C73,"&lt;"&amp;$C74,$M$10:$M73,$D74&amp;"_"&amp;CT$9)</f>
        <v>0</v>
      </c>
      <c r="CU74" s="18">
        <f ca="1">COUNTIFS($C$10:$C73,"&lt;"&amp;$C74,$M$10:$M73,$D74&amp;"_"&amp;CU$9)</f>
        <v>0</v>
      </c>
      <c r="CV74" s="7">
        <f ca="1">COUNTIFS($C$10:$C73,"&lt;"&amp;$C74,$M$10:$M73,$D74&amp;"_"&amp;CV$9)</f>
        <v>0</v>
      </c>
      <c r="CW74" s="7">
        <f ca="1">COUNTIFS($C$10:$C73,"&lt;"&amp;$C74,$M$10:$M73,$D74&amp;"_"&amp;CW$9)</f>
        <v>0</v>
      </c>
      <c r="CX74" s="7">
        <f ca="1">COUNTIFS($C$10:$C73,"&lt;"&amp;$C74,$M$10:$M73,$D74&amp;"_"&amp;CX$9)</f>
        <v>0</v>
      </c>
      <c r="CY74" s="221">
        <f ca="1">COUNTIFS($C$10:$C73,"&lt;"&amp;$C74,$M$10:$M73,$D74&amp;"_"&amp;CY$9)</f>
        <v>63</v>
      </c>
      <c r="DA74" s="20"/>
      <c r="DB74" s="308">
        <f ca="1">IF(CP74=0,0,SUMIFS($P$10:$P73, $C$10:$C73,"&lt;"&amp;$C74, $M$10:$M73,$D74&amp;"_"&amp;DB$9)/CP74)</f>
        <v>0</v>
      </c>
      <c r="DC74" s="263">
        <f ca="1">IF(CQ74=0,0,SUMIFS($P$10:$P73, $C$10:$C73,"&lt;"&amp;$C74, $M$10:$M73,$D74&amp;"_"&amp;DC$9)/CQ74)</f>
        <v>0</v>
      </c>
      <c r="DD74" s="263">
        <f ca="1">IF(CR74=0,0,SUMIFS($P$10:$P73, $C$10:$C73,"&lt;"&amp;$C74, $M$10:$M73,$D74&amp;"_"&amp;DD$9)/CR74)</f>
        <v>0</v>
      </c>
      <c r="DE74" s="262">
        <f ca="1">IF(CS74=0,0,SUMIFS($P$10:$P73, $C$10:$C73,"&lt;"&amp;$C74, $M$10:$M73,$D74&amp;"_"&amp;DE$9)/CS74)</f>
        <v>0</v>
      </c>
      <c r="DF74" s="263">
        <f ca="1">IF(CT74=0,0,SUMIFS($P$10:$P73, $C$10:$C73,"&lt;"&amp;$C74, $M$10:$M73,$D74&amp;"_"&amp;DF$9)/CT74)</f>
        <v>0</v>
      </c>
      <c r="DG74" s="310">
        <f ca="1">IF(CU74=0,0,SUMIFS($P$10:$P73, $C$10:$C73,"&lt;"&amp;$C74, $M$10:$M73,$D74&amp;"_"&amp;DG$9)/CU74)</f>
        <v>0</v>
      </c>
      <c r="DH74" s="263">
        <f ca="1">IF(CV74=0,0,SUMIFS($P$10:$P73, $C$10:$C73,"&lt;"&amp;$C74, $M$10:$M73,$D74&amp;"_"&amp;DH$9)/CV74)</f>
        <v>0</v>
      </c>
      <c r="DI74" s="263">
        <f ca="1">IF(CW74=0,0,SUMIFS($P$10:$P73, $C$10:$C73,"&lt;"&amp;$C74, $M$10:$M73,$D74&amp;"_"&amp;DI$9)/CW74)</f>
        <v>0</v>
      </c>
      <c r="DJ74" s="264">
        <f ca="1">IF(CX74=0,0,SUMIFS($P$10:$P73, $C$10:$C73,"&lt;"&amp;$C74, $M$10:$M73,$D74&amp;"_"&amp;DJ$9)/CX74)</f>
        <v>0</v>
      </c>
      <c r="DK74" s="264">
        <f ca="1">IF(CY74=0,0,SUMIFS($P$10:$P73, $C$10:$C73,"&lt;"&amp;$C74, $M$10:$M73,$D74&amp;"_"&amp;DK$9)/CY74)</f>
        <v>-1</v>
      </c>
      <c r="DM74" s="104"/>
      <c r="DN74" s="306">
        <f t="shared" ca="1" si="96"/>
        <v>-9999</v>
      </c>
      <c r="DO74" s="15">
        <f t="shared" ref="DO74:DO137" ca="1" si="188">IF(AT74=0, -9999, DC74 + 1*CE74*SQRT($CO74)/(1+CQ74))</f>
        <v>-9999</v>
      </c>
      <c r="DP74" s="15">
        <f t="shared" ref="DP74:DP137" ca="1" si="189">IF(AU74=0, -9999, DD74 + 1*CF74*SQRT($CO74)/(1+CR74))</f>
        <v>-9999</v>
      </c>
      <c r="DQ74" s="15">
        <f t="shared" ref="DQ74:DQ137" ca="1" si="190">IF(AV74=0, -9999, DE74 + 1*CG74*SQRT($CO74)/(1+CS74))</f>
        <v>-9999</v>
      </c>
      <c r="DR74" s="15">
        <f t="shared" ref="DR74:DR137" ca="1" si="191">IF(AW74=0, -9999, DF74 + 1*CH74*SQRT($CO74)/(1+CT74))</f>
        <v>-9999</v>
      </c>
      <c r="DS74" s="15">
        <f t="shared" ref="DS74:DS137" ca="1" si="192">IF(AX74=0, -9999, DG74 + 1*CI74*SQRT($CO74)/(1+CU74))</f>
        <v>-9999</v>
      </c>
      <c r="DT74" s="15">
        <f t="shared" ref="DT74:DT137" ca="1" si="193">IF(AY74=0, -9999, DH74 + 1*CJ74*SQRT($CO74)/(1+CV74))</f>
        <v>-9999</v>
      </c>
      <c r="DU74" s="15">
        <f t="shared" ref="DU74:DU137" ca="1" si="194">IF(AZ74=0, -9999, DI74 + 1*CK74*SQRT($CO74)/(1+CW74))</f>
        <v>-9999</v>
      </c>
      <c r="DV74" s="52">
        <f t="shared" ref="DV74:DV137" ca="1" si="195">IF(BA74=0, -9999, DJ74 + 1*CL74*SQRT($CO74)/(1+CX74))</f>
        <v>-9999</v>
      </c>
      <c r="DW74" s="313">
        <f t="shared" ref="DW74:DW137" ca="1" si="196">IF(BB74=0, -9999, DK74 + 1*CM74*SQRT($CO74)/(1+CY74))</f>
        <v>-0.8759804072938473</v>
      </c>
      <c r="DX74" s="52"/>
      <c r="DY74" s="402">
        <f t="shared" ca="1" si="97"/>
        <v>9</v>
      </c>
      <c r="ED74" s="19">
        <f t="shared" ref="ED74:ED105" ca="1" si="197">S74 * $I74</f>
        <v>-1</v>
      </c>
      <c r="EE74" s="1">
        <f t="shared" ref="EE74:EE105" ca="1" si="198">T74 * $I74</f>
        <v>1</v>
      </c>
      <c r="EF74" s="1">
        <f t="shared" ref="EF74:EF105" ca="1" si="199">U74 * $I74</f>
        <v>-1</v>
      </c>
      <c r="EG74" s="2">
        <f t="shared" ref="EG74:EG105" ca="1" si="200">V74 * $I74</f>
        <v>1</v>
      </c>
      <c r="EH74" s="1">
        <f t="shared" ref="EH74:EH105" ca="1" si="201">W74 * $I74</f>
        <v>-1</v>
      </c>
      <c r="EI74" s="3">
        <f t="shared" ref="EI74:EI105" ca="1" si="202">X74 * $I74</f>
        <v>1</v>
      </c>
      <c r="EJ74" s="1">
        <f t="shared" ref="EJ74:EJ105" ca="1" si="203">Y74 * $I74</f>
        <v>0</v>
      </c>
      <c r="EK74" s="1">
        <f t="shared" ref="EK74:EK105" ca="1" si="204">Z74 * $I74</f>
        <v>0</v>
      </c>
      <c r="EL74" s="20">
        <f t="shared" ref="EL74:EL105" ca="1" si="205">AA74 * $I74</f>
        <v>-1</v>
      </c>
      <c r="EN74" s="86">
        <f ca="1">MAX(0, SUMPRODUCT($ED74:$EL74,OFFSET(DNN!$E$9:$M$9,EN$9,0)) + OFFSET(DNN!$D$9,EN$9,0))</f>
        <v>0</v>
      </c>
      <c r="EO74" s="84">
        <f ca="1">MAX(0, SUMPRODUCT($ED74:$EL74,OFFSET(DNN!$E$9:$M$9,EO$9,0)) + OFFSET(DNN!$D$9,EO$9,0))</f>
        <v>7.2346022384755949E-3</v>
      </c>
      <c r="EP74" s="84">
        <f ca="1">MAX(0, SUMPRODUCT($ED74:$EL74,OFFSET(DNN!$E$9:$M$9,EP$9,0)) + OFFSET(DNN!$D$9,EP$9,0))</f>
        <v>3.6951849750035152E-3</v>
      </c>
      <c r="EQ74" s="84">
        <f ca="1">MAX(0, SUMPRODUCT($ED74:$EL74,OFFSET(DNN!$E$9:$M$9,EQ$9,0)) + OFFSET(DNN!$D$9,EQ$9,0))</f>
        <v>0</v>
      </c>
      <c r="ER74" s="85">
        <f ca="1">MAX(0, SUMPRODUCT($ED74:$EL74,OFFSET(DNN!$E$9:$M$9,ER$9,0)) + OFFSET(DNN!$D$9,ER$9,0))</f>
        <v>0</v>
      </c>
      <c r="ET74" s="86">
        <f ca="1">MAX(0, SUMPRODUCT($EN74:$ER74,OFFSET(DNN!$Q$9:$U$9,ET$9,0)) + OFFSET(DNN!$P$9,ET$9,0))</f>
        <v>4.3954959453478351E-4</v>
      </c>
      <c r="EU74" s="84">
        <f ca="1">MAX(0, SUMPRODUCT($EN74:$ER74,OFFSET(DNN!$Q$9:$U$9,EU$9,0)) + OFFSET(DNN!$P$9,EU$9,0))</f>
        <v>0</v>
      </c>
      <c r="EV74" s="84">
        <f ca="1">MAX(0, SUMPRODUCT($EN74:$ER74,OFFSET(DNN!$Q$9:$U$9,EV$9,0)) + OFFSET(DNN!$P$9,EV$9,0))</f>
        <v>1.2810123361902579E-3</v>
      </c>
      <c r="EW74" s="84">
        <f ca="1">MAX(0, SUMPRODUCT($EN74:$ER74,OFFSET(DNN!$Q$9:$U$9,EW$9,0)) + OFFSET(DNN!$P$9,EW$9,0))</f>
        <v>7.8382123007882457E-4</v>
      </c>
      <c r="EX74" s="85">
        <f ca="1">MAX(0, SUMPRODUCT($EN74:$ER74,OFFSET(DNN!$Q$9:$U$9,EX$9,0)) + OFFSET(DNN!$P$9,EX$9,0))</f>
        <v>0</v>
      </c>
      <c r="EZ74" s="111">
        <f ca="1">SUMPRODUCT($ET74:$EX74,OFFSET(DNN!$Y$9:$AC$9,EZ$9,0)) + OFFSET(DNN!$X$9,EZ$9,0)</f>
        <v>0.43031618918982212</v>
      </c>
      <c r="FA74" s="97">
        <f ca="1">SUMPRODUCT($ET74:$EX74,OFFSET(DNN!$Y$9:$AC$9,FA$9,0)) + OFFSET(DNN!$X$9,FA$9,0)</f>
        <v>-1.2643439935754107E-5</v>
      </c>
      <c r="FB74" s="97">
        <f ca="1">SUMPRODUCT($ET74:$EX74,OFFSET(DNN!$Y$9:$AC$9,FB$9,0)) + OFFSET(DNN!$X$9,FB$9,0)</f>
        <v>1.5239793458415756E-2</v>
      </c>
      <c r="FC74" s="97">
        <f ca="1">SUMPRODUCT($ET74:$EX74,OFFSET(DNN!$Y$9:$AC$9,FC$9,0)) + OFFSET(DNN!$X$9,FC$9,0)</f>
        <v>-8.8749521084055777E-4</v>
      </c>
      <c r="FD74" s="97">
        <f ca="1">SUMPRODUCT($ET74:$EX74,OFFSET(DNN!$Y$9:$AC$9,FD$9,0)) + OFFSET(DNN!$X$9,FD$9,0)</f>
        <v>-4.235816470721872E-4</v>
      </c>
      <c r="FE74" s="97">
        <f ca="1">SUMPRODUCT($ET74:$EX74,OFFSET(DNN!$Y$9:$AC$9,FE$9,0)) + OFFSET(DNN!$X$9,FE$9,0)</f>
        <v>-1.574182761064886E-5</v>
      </c>
      <c r="FF74" s="97">
        <f ca="1">SUMPRODUCT($ET74:$EX74,OFFSET(DNN!$Y$9:$AC$9,FF$9,0)) + OFFSET(DNN!$X$9,FF$9,0)</f>
        <v>-1.3491460223194656E-3</v>
      </c>
      <c r="FG74" s="97">
        <f ca="1">SUMPRODUCT($ET74:$EX74,OFFSET(DNN!$Y$9:$AC$9,FG$9,0)) + OFFSET(DNN!$X$9,FG$9,0)</f>
        <v>-6.2604808096248285E-2</v>
      </c>
      <c r="FH74" s="97">
        <f ca="1">SUMPRODUCT($ET74:$EX74,OFFSET(DNN!$Y$9:$AC$9,FH$9,0)) + OFFSET(DNN!$X$9,FH$9,0)</f>
        <v>8.6810016937029894E-4</v>
      </c>
      <c r="FI74" s="108">
        <f ca="1">SUMPRODUCT($ET74:$EX74,OFFSET(DNN!$Y$9:$AC$9,FI$9,0)) + OFFSET(DNN!$X$9,FI$9,0)</f>
        <v>-1.3182687612562751</v>
      </c>
      <c r="FJ74" s="98">
        <f ca="1">SUMPRODUCT($ET74:$EX74,OFFSET(DNN!$Y$9:$AC$9,FJ$9,0)) + OFFSET(DNN!$X$9,FJ$9,0)</f>
        <v>-2.2535161745939301E-5</v>
      </c>
      <c r="FL74" s="415">
        <f t="shared" ca="1" si="98"/>
        <v>0.43031618918982212</v>
      </c>
      <c r="FM74" s="130">
        <f t="shared" ca="1" si="99"/>
        <v>1</v>
      </c>
      <c r="FN74" s="131">
        <f t="shared" ca="1" si="100"/>
        <v>0.65029522127322903</v>
      </c>
      <c r="FO74" s="131">
        <f t="shared" ca="1" si="101"/>
        <v>0.66028983545318687</v>
      </c>
      <c r="FP74" s="131">
        <f t="shared" ca="1" si="102"/>
        <v>0.64972655813153501</v>
      </c>
      <c r="FQ74" s="131">
        <f t="shared" ca="1" si="103"/>
        <v>0.65002804502111444</v>
      </c>
      <c r="FR74" s="131">
        <f t="shared" ca="1" si="104"/>
        <v>0.65029320640965171</v>
      </c>
      <c r="FS74" s="131">
        <f t="shared" ca="1" si="105"/>
        <v>0.64942668056342145</v>
      </c>
      <c r="FT74" s="131">
        <f t="shared" ca="1" si="106"/>
        <v>0.61083952513994022</v>
      </c>
      <c r="FU74" s="132">
        <f t="shared" ca="1" si="107"/>
        <v>0.6508682169276182</v>
      </c>
      <c r="FV74" s="131">
        <f t="shared" ca="1" si="108"/>
        <v>0.17402001625314881</v>
      </c>
      <c r="FW74" s="83">
        <f t="shared" ca="1" si="109"/>
        <v>-2.2535161742124597E-5</v>
      </c>
    </row>
    <row r="75" spans="1:179">
      <c r="A75" s="19">
        <f t="shared" si="117"/>
        <v>65</v>
      </c>
      <c r="B75" s="1">
        <f t="shared" ca="1" si="111"/>
        <v>0</v>
      </c>
      <c r="C75" s="20">
        <f t="shared" ca="1" si="112"/>
        <v>65</v>
      </c>
      <c r="D75" s="19" t="str">
        <f t="shared" ca="1" si="113"/>
        <v>〇×〇×〇×--〇</v>
      </c>
      <c r="E75" s="7">
        <f t="shared" ref="E75:E138" ca="1" si="206">$DY75</f>
        <v>9</v>
      </c>
      <c r="F75" s="7">
        <f t="shared" ref="F75:F138" ca="1" si="207">AO75</f>
        <v>1</v>
      </c>
      <c r="G75" s="1" t="str">
        <f t="shared" ca="1" si="139"/>
        <v>〇×〇×〇×--〇</v>
      </c>
      <c r="H75" s="20" t="b">
        <f t="shared" ca="1" si="140"/>
        <v>1</v>
      </c>
      <c r="I75" s="22">
        <f t="shared" ca="1" si="114"/>
        <v>-1</v>
      </c>
      <c r="J75" s="1" t="b">
        <f ca="1">(1&lt;COUNTIF(D$10:D75,D75))</f>
        <v>1</v>
      </c>
      <c r="K75" s="1" t="b">
        <f t="shared" ca="1" si="141"/>
        <v>1</v>
      </c>
      <c r="L75" s="7">
        <f ca="1">MATCH(TRUE,K75:K$1048576,FALSE)-1</f>
        <v>0</v>
      </c>
      <c r="M75" s="24" t="str">
        <f t="shared" ca="1" si="142"/>
        <v>〇×〇×〇×--〇_9</v>
      </c>
      <c r="N75" s="25">
        <f t="shared" ref="N75:N138" ca="1" si="208">BO75</f>
        <v>-2.2535161742124597E-5</v>
      </c>
      <c r="O75" s="26">
        <f t="shared" ref="O75:O138" ca="1" si="209">IF(K75, IF(H75, F75*I75, N75), 0)</f>
        <v>-1</v>
      </c>
      <c r="P75" s="27">
        <f t="shared" ref="P75:P138" ca="1" si="210">OFFSET(O75,L75,0) * I75*OFFSET(I75,L75,0)</f>
        <v>-1</v>
      </c>
      <c r="R75" s="41" t="str">
        <f ca="1">VLOOKUP(S75,cvt!$B$2:$C$4,2,FALSE)&amp;VLOOKUP(T75,cvt!$B$2:$C$4,2,FALSE)&amp;VLOOKUP(U75,cvt!$B$2:$C$4,2,FALSE)
&amp;VLOOKUP(V75,cvt!$B$2:$C$4,2,FALSE)&amp;VLOOKUP(W75,cvt!$B$2:$C$4,2,FALSE)&amp;VLOOKUP(X75,cvt!$B$2:$C$4,2,FALSE)
&amp;VLOOKUP(Y75,cvt!$B$2:$C$4,2,FALSE)&amp;VLOOKUP(Z75,cvt!$B$2:$C$4,2,FALSE)&amp;VLOOKUP(AA75,cvt!$B$2:$C$4,2,FALSE)</f>
        <v>〇×〇×〇×--〇</v>
      </c>
      <c r="S75" s="7">
        <f ca="1">VLOOKUP(MID($D75,S$9+1,1), cvt!$A$2:$B$4,2, FALSE)</f>
        <v>1</v>
      </c>
      <c r="T75" s="7">
        <f ca="1">VLOOKUP(MID($D75,T$9+1,1), cvt!$A$2:$B$4,2, FALSE)</f>
        <v>-1</v>
      </c>
      <c r="U75" s="7">
        <f ca="1">VLOOKUP(MID($D75,U$9+1,1), cvt!$A$2:$B$4,2, FALSE)</f>
        <v>1</v>
      </c>
      <c r="V75" s="17">
        <f ca="1">VLOOKUP(MID($D75,V$9+1,1), cvt!$A$2:$B$4,2, FALSE)</f>
        <v>-1</v>
      </c>
      <c r="W75" s="7">
        <f ca="1">VLOOKUP(MID($D75,W$9+1,1), cvt!$A$2:$B$4,2, FALSE)</f>
        <v>1</v>
      </c>
      <c r="X75" s="18">
        <f ca="1">VLOOKUP(MID($D75,X$9+1,1), cvt!$A$2:$B$4,2, FALSE)</f>
        <v>-1</v>
      </c>
      <c r="Y75" s="7">
        <f ca="1">VLOOKUP(MID($D75,Y$9+1,1), cvt!$A$2:$B$4,2, FALSE)</f>
        <v>0</v>
      </c>
      <c r="Z75" s="7">
        <f ca="1">VLOOKUP(MID($D75,Z$9+1,1), cvt!$A$2:$B$4,2, FALSE)</f>
        <v>0</v>
      </c>
      <c r="AA75" s="42">
        <f ca="1">VLOOKUP(MID($D75,AA$9+1,1), cvt!$A$2:$B$4,2, FALSE)</f>
        <v>1</v>
      </c>
      <c r="AB75" s="7">
        <f t="shared" ref="AB75:AB138" ca="1" si="211">IF(OR(SUM(S75:U75)=3,SUM(V75:X75)=3,SUM(Y75:AA75)=3,
(S75+V75+Y75)=3,(T75+W75+Z75)=3,(U75+X75+AA75)=3,
(S75+W75+AA75)=3,(U75+W75+Y75=3)),1,
IF(
OR(SUM(S75:U75)=-3,SUM(V75:X75)=-3,SUM(Y75:AA75)=-3,
(S75+V75+Y75)=-3,(T75+W75+Z75)=-3,(U75+X75+AA75)=-3,
(S75+W75+AA75)=-3,(U75+W75+Y75=-3)),-1,0))</f>
        <v>1</v>
      </c>
      <c r="AC75" s="50" t="b">
        <f t="shared" ref="AC75:AC138" ca="1" si="212">OR(AB75&lt;&gt;0,COUNTIF(S75:AA75,0)=0)</f>
        <v>1</v>
      </c>
      <c r="AE75" s="19" t="str">
        <f ca="1">VLOOKUP(AF75,cvt!$B$2:$C$4,2,FALSE)&amp;VLOOKUP(AG75,cvt!$B$2:$C$4,2,FALSE)&amp;VLOOKUP(AH75,cvt!$B$2:$C$4,2,FALSE)
&amp;VLOOKUP(AI75,cvt!$B$2:$C$4,2,FALSE)&amp;VLOOKUP(AJ75,cvt!$B$2:$C$4,2,FALSE)&amp;VLOOKUP(AK75,cvt!$B$2:$C$4,2,FALSE)
&amp;VLOOKUP(AL75,cvt!$B$2:$C$4,2,FALSE)&amp;VLOOKUP(AM75,cvt!$B$2:$C$4,2,FALSE)&amp;VLOOKUP(AN75,cvt!$B$2:$C$4,2,FALSE)</f>
        <v>〇×〇×〇×--〇</v>
      </c>
      <c r="AF75" s="17">
        <f t="shared" ca="1" si="143"/>
        <v>1</v>
      </c>
      <c r="AG75" s="7">
        <f t="shared" ca="1" si="144"/>
        <v>-1</v>
      </c>
      <c r="AH75" s="7">
        <f t="shared" ca="1" si="145"/>
        <v>1</v>
      </c>
      <c r="AI75" s="17">
        <f t="shared" ca="1" si="146"/>
        <v>-1</v>
      </c>
      <c r="AJ75" s="7">
        <f t="shared" ca="1" si="147"/>
        <v>1</v>
      </c>
      <c r="AK75" s="18">
        <f t="shared" ca="1" si="148"/>
        <v>-1</v>
      </c>
      <c r="AL75" s="7">
        <f t="shared" ca="1" si="149"/>
        <v>0</v>
      </c>
      <c r="AM75" s="7">
        <f t="shared" ca="1" si="150"/>
        <v>0</v>
      </c>
      <c r="AN75" s="18">
        <f t="shared" ca="1" si="151"/>
        <v>1</v>
      </c>
      <c r="AO75" s="7">
        <f t="shared" ref="AO75:AO138" ca="1" si="213">IF(OR(SUM(AF75:AH75)=3,SUM(AI75:AK75)=3,SUM(AL75:AN75)=3,
(AF75+AI75+AL75)=3,(AG75+AJ75+AM75)=3,(AH75+AK75+AN75)=3,
(AF75+AJ75+AN75)=3,(AH75+AJ75+AL75=3)),1,
IF(
OR(SUM(AF75:AH75)=-3,SUM(AI75:AK75)=-3,SUM(AL75:AN75)=-3,
(AF75+AI75+AL75)=-3,(AG75+AJ75+AM75)=-3,(AH75+AK75+AN75)=-3,
(AF75+AJ75+AN75)=-3,(AH75+AJ75+AL75=-3)),-1,0))</f>
        <v>1</v>
      </c>
      <c r="AP75" s="50" t="b">
        <f t="shared" ca="1" si="152"/>
        <v>1</v>
      </c>
      <c r="AS75" s="22">
        <f t="shared" ref="AS75:AS138" ca="1" si="214">IF(AND(S75=0,$AC75=FALSE),1,0)</f>
        <v>0</v>
      </c>
      <c r="AT75" s="7">
        <f t="shared" ca="1" si="153"/>
        <v>0</v>
      </c>
      <c r="AU75" s="7">
        <f t="shared" ca="1" si="154"/>
        <v>0</v>
      </c>
      <c r="AV75" s="7">
        <f t="shared" ca="1" si="155"/>
        <v>0</v>
      </c>
      <c r="AW75" s="7">
        <f t="shared" ca="1" si="156"/>
        <v>0</v>
      </c>
      <c r="AX75" s="7">
        <f t="shared" ca="1" si="157"/>
        <v>0</v>
      </c>
      <c r="AY75" s="7">
        <f t="shared" ca="1" si="158"/>
        <v>0</v>
      </c>
      <c r="AZ75" s="7">
        <f t="shared" ca="1" si="159"/>
        <v>0</v>
      </c>
      <c r="BA75" s="18">
        <f t="shared" ca="1" si="160"/>
        <v>0</v>
      </c>
      <c r="BB75" s="295">
        <f t="shared" ref="BB75:BB138" ca="1" si="215">IF(SUM(AS75:BA75)=0,1,0)</f>
        <v>1</v>
      </c>
      <c r="BD75" s="132"/>
      <c r="BE75" s="297">
        <f t="shared" ref="BE75:BE138" ca="1" si="216">FM75</f>
        <v>1</v>
      </c>
      <c r="BF75" s="298">
        <f t="shared" ca="1" si="161"/>
        <v>0.65029522127322903</v>
      </c>
      <c r="BG75" s="298">
        <f t="shared" ca="1" si="162"/>
        <v>0.66028983545318687</v>
      </c>
      <c r="BH75" s="318">
        <f t="shared" ca="1" si="163"/>
        <v>0.64972655813153501</v>
      </c>
      <c r="BI75" s="298">
        <f t="shared" ca="1" si="164"/>
        <v>0.65002804502111444</v>
      </c>
      <c r="BJ75" s="299">
        <f t="shared" ca="1" si="165"/>
        <v>0.65029320640965171</v>
      </c>
      <c r="BK75" s="298">
        <f t="shared" ca="1" si="166"/>
        <v>0.64942668056342145</v>
      </c>
      <c r="BL75" s="298">
        <f t="shared" ca="1" si="167"/>
        <v>0.61083952513994022</v>
      </c>
      <c r="BM75" s="299">
        <f t="shared" ca="1" si="168"/>
        <v>0.6508682169276182</v>
      </c>
      <c r="BN75" s="295">
        <f t="shared" ca="1" si="169"/>
        <v>0.17402001625314881</v>
      </c>
      <c r="BO75" s="248">
        <f t="shared" ref="BO75:BO138" ca="1" si="217">$FW75</f>
        <v>-2.2535161742124597E-5</v>
      </c>
      <c r="BQ75" s="304">
        <f t="shared" ref="BQ75:BQ138" ca="1" si="218">SUM(BR75:CA75)</f>
        <v>0.1741200162531488</v>
      </c>
      <c r="BR75" s="297">
        <f t="shared" ref="BR75:BR138" ca="1" si="219">(BE75 + 0.25*IF($B75=0, RANDBETWEEN(0,1), 0) + 1/10000) * AS75</f>
        <v>0</v>
      </c>
      <c r="BS75" s="298">
        <f t="shared" ca="1" si="170"/>
        <v>0</v>
      </c>
      <c r="BT75" s="298">
        <f t="shared" ca="1" si="171"/>
        <v>0</v>
      </c>
      <c r="BU75" s="318">
        <f t="shared" ca="1" si="172"/>
        <v>0</v>
      </c>
      <c r="BV75" s="298">
        <f t="shared" ca="1" si="173"/>
        <v>0</v>
      </c>
      <c r="BW75" s="299">
        <f t="shared" ca="1" si="174"/>
        <v>0</v>
      </c>
      <c r="BX75" s="298">
        <f t="shared" ca="1" si="175"/>
        <v>0</v>
      </c>
      <c r="BY75" s="298">
        <f t="shared" ca="1" si="176"/>
        <v>0</v>
      </c>
      <c r="BZ75" s="298">
        <f t="shared" ca="1" si="177"/>
        <v>0</v>
      </c>
      <c r="CA75" s="315">
        <f t="shared" ca="1" si="178"/>
        <v>0.1741200162531488</v>
      </c>
      <c r="CC75" s="52"/>
      <c r="CD75" s="306">
        <f t="shared" ref="CD75:CD138" ca="1" si="220">BR75/$BQ75</f>
        <v>0</v>
      </c>
      <c r="CE75" s="15">
        <f t="shared" ca="1" si="179"/>
        <v>0</v>
      </c>
      <c r="CF75" s="15">
        <f t="shared" ca="1" si="180"/>
        <v>0</v>
      </c>
      <c r="CG75" s="286">
        <f t="shared" ca="1" si="181"/>
        <v>0</v>
      </c>
      <c r="CH75" s="15">
        <f t="shared" ca="1" si="182"/>
        <v>0</v>
      </c>
      <c r="CI75" s="288">
        <f t="shared" ca="1" si="183"/>
        <v>0</v>
      </c>
      <c r="CJ75" s="15">
        <f t="shared" ca="1" si="184"/>
        <v>0</v>
      </c>
      <c r="CK75" s="15">
        <f t="shared" ca="1" si="185"/>
        <v>0</v>
      </c>
      <c r="CL75" s="15">
        <f t="shared" ca="1" si="186"/>
        <v>0</v>
      </c>
      <c r="CM75" s="313">
        <f t="shared" ca="1" si="187"/>
        <v>1</v>
      </c>
      <c r="CO75" s="320">
        <f t="shared" ref="CO75:CO138" ca="1" si="221">SUM(CP75:CY75)</f>
        <v>64</v>
      </c>
      <c r="CP75" s="22">
        <f ca="1">COUNTIFS($C$10:$C74,"&lt;"&amp;$C75,$M$10:$M74,$D75&amp;"_"&amp;CP$9)</f>
        <v>0</v>
      </c>
      <c r="CQ75" s="7">
        <f ca="1">COUNTIFS($C$10:$C74,"&lt;"&amp;$C75,$M$10:$M74,$D75&amp;"_"&amp;CQ$9)</f>
        <v>0</v>
      </c>
      <c r="CR75" s="7">
        <f ca="1">COUNTIFS($C$10:$C74,"&lt;"&amp;$C75,$M$10:$M74,$D75&amp;"_"&amp;CR$9)</f>
        <v>0</v>
      </c>
      <c r="CS75" s="17">
        <f ca="1">COUNTIFS($C$10:$C74,"&lt;"&amp;$C75,$M$10:$M74,$D75&amp;"_"&amp;CS$9)</f>
        <v>0</v>
      </c>
      <c r="CT75" s="7">
        <f ca="1">COUNTIFS($C$10:$C74,"&lt;"&amp;$C75,$M$10:$M74,$D75&amp;"_"&amp;CT$9)</f>
        <v>0</v>
      </c>
      <c r="CU75" s="18">
        <f ca="1">COUNTIFS($C$10:$C74,"&lt;"&amp;$C75,$M$10:$M74,$D75&amp;"_"&amp;CU$9)</f>
        <v>0</v>
      </c>
      <c r="CV75" s="7">
        <f ca="1">COUNTIFS($C$10:$C74,"&lt;"&amp;$C75,$M$10:$M74,$D75&amp;"_"&amp;CV$9)</f>
        <v>0</v>
      </c>
      <c r="CW75" s="7">
        <f ca="1">COUNTIFS($C$10:$C74,"&lt;"&amp;$C75,$M$10:$M74,$D75&amp;"_"&amp;CW$9)</f>
        <v>0</v>
      </c>
      <c r="CX75" s="7">
        <f ca="1">COUNTIFS($C$10:$C74,"&lt;"&amp;$C75,$M$10:$M74,$D75&amp;"_"&amp;CX$9)</f>
        <v>0</v>
      </c>
      <c r="CY75" s="221">
        <f ca="1">COUNTIFS($C$10:$C74,"&lt;"&amp;$C75,$M$10:$M74,$D75&amp;"_"&amp;CY$9)</f>
        <v>64</v>
      </c>
      <c r="DA75" s="20"/>
      <c r="DB75" s="308">
        <f ca="1">IF(CP75=0,0,SUMIFS($P$10:$P74, $C$10:$C74,"&lt;"&amp;$C75, $M$10:$M74,$D75&amp;"_"&amp;DB$9)/CP75)</f>
        <v>0</v>
      </c>
      <c r="DC75" s="263">
        <f ca="1">IF(CQ75=0,0,SUMIFS($P$10:$P74, $C$10:$C74,"&lt;"&amp;$C75, $M$10:$M74,$D75&amp;"_"&amp;DC$9)/CQ75)</f>
        <v>0</v>
      </c>
      <c r="DD75" s="263">
        <f ca="1">IF(CR75=0,0,SUMIFS($P$10:$P74, $C$10:$C74,"&lt;"&amp;$C75, $M$10:$M74,$D75&amp;"_"&amp;DD$9)/CR75)</f>
        <v>0</v>
      </c>
      <c r="DE75" s="262">
        <f ca="1">IF(CS75=0,0,SUMIFS($P$10:$P74, $C$10:$C74,"&lt;"&amp;$C75, $M$10:$M74,$D75&amp;"_"&amp;DE$9)/CS75)</f>
        <v>0</v>
      </c>
      <c r="DF75" s="263">
        <f ca="1">IF(CT75=0,0,SUMIFS($P$10:$P74, $C$10:$C74,"&lt;"&amp;$C75, $M$10:$M74,$D75&amp;"_"&amp;DF$9)/CT75)</f>
        <v>0</v>
      </c>
      <c r="DG75" s="310">
        <f ca="1">IF(CU75=0,0,SUMIFS($P$10:$P74, $C$10:$C74,"&lt;"&amp;$C75, $M$10:$M74,$D75&amp;"_"&amp;DG$9)/CU75)</f>
        <v>0</v>
      </c>
      <c r="DH75" s="263">
        <f ca="1">IF(CV75=0,0,SUMIFS($P$10:$P74, $C$10:$C74,"&lt;"&amp;$C75, $M$10:$M74,$D75&amp;"_"&amp;DH$9)/CV75)</f>
        <v>0</v>
      </c>
      <c r="DI75" s="263">
        <f ca="1">IF(CW75=0,0,SUMIFS($P$10:$P74, $C$10:$C74,"&lt;"&amp;$C75, $M$10:$M74,$D75&amp;"_"&amp;DI$9)/CW75)</f>
        <v>0</v>
      </c>
      <c r="DJ75" s="264">
        <f ca="1">IF(CX75=0,0,SUMIFS($P$10:$P74, $C$10:$C74,"&lt;"&amp;$C75, $M$10:$M74,$D75&amp;"_"&amp;DJ$9)/CX75)</f>
        <v>0</v>
      </c>
      <c r="DK75" s="264">
        <f ca="1">IF(CY75=0,0,SUMIFS($P$10:$P74, $C$10:$C74,"&lt;"&amp;$C75, $M$10:$M74,$D75&amp;"_"&amp;DK$9)/CY75)</f>
        <v>-1</v>
      </c>
      <c r="DM75" s="104"/>
      <c r="DN75" s="306">
        <f t="shared" ref="DN75:DN138" ca="1" si="222">IF(AS75=0, -9999, DB75 + 1*CD75*SQRT($CO75)/(1+CP75))</f>
        <v>-9999</v>
      </c>
      <c r="DO75" s="15">
        <f t="shared" ca="1" si="188"/>
        <v>-9999</v>
      </c>
      <c r="DP75" s="15">
        <f t="shared" ca="1" si="189"/>
        <v>-9999</v>
      </c>
      <c r="DQ75" s="15">
        <f t="shared" ca="1" si="190"/>
        <v>-9999</v>
      </c>
      <c r="DR75" s="15">
        <f t="shared" ca="1" si="191"/>
        <v>-9999</v>
      </c>
      <c r="DS75" s="15">
        <f t="shared" ca="1" si="192"/>
        <v>-9999</v>
      </c>
      <c r="DT75" s="15">
        <f t="shared" ca="1" si="193"/>
        <v>-9999</v>
      </c>
      <c r="DU75" s="15">
        <f t="shared" ca="1" si="194"/>
        <v>-9999</v>
      </c>
      <c r="DV75" s="52">
        <f t="shared" ca="1" si="195"/>
        <v>-9999</v>
      </c>
      <c r="DW75" s="313">
        <f t="shared" ca="1" si="196"/>
        <v>-0.87692307692307692</v>
      </c>
      <c r="DX75" s="52"/>
      <c r="DY75" s="402">
        <f t="shared" ref="DY75:DY138" ca="1" si="223">MATCH(MAX(DN75:DW75),DN75:DW75,FALSE)-1</f>
        <v>9</v>
      </c>
      <c r="ED75" s="19">
        <f t="shared" ca="1" si="197"/>
        <v>-1</v>
      </c>
      <c r="EE75" s="1">
        <f t="shared" ca="1" si="198"/>
        <v>1</v>
      </c>
      <c r="EF75" s="1">
        <f t="shared" ca="1" si="199"/>
        <v>-1</v>
      </c>
      <c r="EG75" s="2">
        <f t="shared" ca="1" si="200"/>
        <v>1</v>
      </c>
      <c r="EH75" s="1">
        <f t="shared" ca="1" si="201"/>
        <v>-1</v>
      </c>
      <c r="EI75" s="3">
        <f t="shared" ca="1" si="202"/>
        <v>1</v>
      </c>
      <c r="EJ75" s="1">
        <f t="shared" ca="1" si="203"/>
        <v>0</v>
      </c>
      <c r="EK75" s="1">
        <f t="shared" ca="1" si="204"/>
        <v>0</v>
      </c>
      <c r="EL75" s="20">
        <f t="shared" ca="1" si="205"/>
        <v>-1</v>
      </c>
      <c r="EN75" s="86">
        <f ca="1">MAX(0, SUMPRODUCT($ED75:$EL75,OFFSET(DNN!$E$9:$M$9,EN$9,0)) + OFFSET(DNN!$D$9,EN$9,0))</f>
        <v>0</v>
      </c>
      <c r="EO75" s="84">
        <f ca="1">MAX(0, SUMPRODUCT($ED75:$EL75,OFFSET(DNN!$E$9:$M$9,EO$9,0)) + OFFSET(DNN!$D$9,EO$9,0))</f>
        <v>7.2346022384755949E-3</v>
      </c>
      <c r="EP75" s="84">
        <f ca="1">MAX(0, SUMPRODUCT($ED75:$EL75,OFFSET(DNN!$E$9:$M$9,EP$9,0)) + OFFSET(DNN!$D$9,EP$9,0))</f>
        <v>3.6951849750035152E-3</v>
      </c>
      <c r="EQ75" s="84">
        <f ca="1">MAX(0, SUMPRODUCT($ED75:$EL75,OFFSET(DNN!$E$9:$M$9,EQ$9,0)) + OFFSET(DNN!$D$9,EQ$9,0))</f>
        <v>0</v>
      </c>
      <c r="ER75" s="85">
        <f ca="1">MAX(0, SUMPRODUCT($ED75:$EL75,OFFSET(DNN!$E$9:$M$9,ER$9,0)) + OFFSET(DNN!$D$9,ER$9,0))</f>
        <v>0</v>
      </c>
      <c r="ET75" s="86">
        <f ca="1">MAX(0, SUMPRODUCT($EN75:$ER75,OFFSET(DNN!$Q$9:$U$9,ET$9,0)) + OFFSET(DNN!$P$9,ET$9,0))</f>
        <v>4.3954959453478351E-4</v>
      </c>
      <c r="EU75" s="84">
        <f ca="1">MAX(0, SUMPRODUCT($EN75:$ER75,OFFSET(DNN!$Q$9:$U$9,EU$9,0)) + OFFSET(DNN!$P$9,EU$9,0))</f>
        <v>0</v>
      </c>
      <c r="EV75" s="84">
        <f ca="1">MAX(0, SUMPRODUCT($EN75:$ER75,OFFSET(DNN!$Q$9:$U$9,EV$9,0)) + OFFSET(DNN!$P$9,EV$9,0))</f>
        <v>1.2810123361902579E-3</v>
      </c>
      <c r="EW75" s="84">
        <f ca="1">MAX(0, SUMPRODUCT($EN75:$ER75,OFFSET(DNN!$Q$9:$U$9,EW$9,0)) + OFFSET(DNN!$P$9,EW$9,0))</f>
        <v>7.8382123007882457E-4</v>
      </c>
      <c r="EX75" s="85">
        <f ca="1">MAX(0, SUMPRODUCT($EN75:$ER75,OFFSET(DNN!$Q$9:$U$9,EX$9,0)) + OFFSET(DNN!$P$9,EX$9,0))</f>
        <v>0</v>
      </c>
      <c r="EZ75" s="111">
        <f ca="1">SUMPRODUCT($ET75:$EX75,OFFSET(DNN!$Y$9:$AC$9,EZ$9,0)) + OFFSET(DNN!$X$9,EZ$9,0)</f>
        <v>0.43031618918982212</v>
      </c>
      <c r="FA75" s="97">
        <f ca="1">SUMPRODUCT($ET75:$EX75,OFFSET(DNN!$Y$9:$AC$9,FA$9,0)) + OFFSET(DNN!$X$9,FA$9,0)</f>
        <v>-1.2643439935754107E-5</v>
      </c>
      <c r="FB75" s="97">
        <f ca="1">SUMPRODUCT($ET75:$EX75,OFFSET(DNN!$Y$9:$AC$9,FB$9,0)) + OFFSET(DNN!$X$9,FB$9,0)</f>
        <v>1.5239793458415756E-2</v>
      </c>
      <c r="FC75" s="97">
        <f ca="1">SUMPRODUCT($ET75:$EX75,OFFSET(DNN!$Y$9:$AC$9,FC$9,0)) + OFFSET(DNN!$X$9,FC$9,0)</f>
        <v>-8.8749521084055777E-4</v>
      </c>
      <c r="FD75" s="97">
        <f ca="1">SUMPRODUCT($ET75:$EX75,OFFSET(DNN!$Y$9:$AC$9,FD$9,0)) + OFFSET(DNN!$X$9,FD$9,0)</f>
        <v>-4.235816470721872E-4</v>
      </c>
      <c r="FE75" s="97">
        <f ca="1">SUMPRODUCT($ET75:$EX75,OFFSET(DNN!$Y$9:$AC$9,FE$9,0)) + OFFSET(DNN!$X$9,FE$9,0)</f>
        <v>-1.574182761064886E-5</v>
      </c>
      <c r="FF75" s="97">
        <f ca="1">SUMPRODUCT($ET75:$EX75,OFFSET(DNN!$Y$9:$AC$9,FF$9,0)) + OFFSET(DNN!$X$9,FF$9,0)</f>
        <v>-1.3491460223194656E-3</v>
      </c>
      <c r="FG75" s="97">
        <f ca="1">SUMPRODUCT($ET75:$EX75,OFFSET(DNN!$Y$9:$AC$9,FG$9,0)) + OFFSET(DNN!$X$9,FG$9,0)</f>
        <v>-6.2604808096248285E-2</v>
      </c>
      <c r="FH75" s="97">
        <f ca="1">SUMPRODUCT($ET75:$EX75,OFFSET(DNN!$Y$9:$AC$9,FH$9,0)) + OFFSET(DNN!$X$9,FH$9,0)</f>
        <v>8.6810016937029894E-4</v>
      </c>
      <c r="FI75" s="108">
        <f ca="1">SUMPRODUCT($ET75:$EX75,OFFSET(DNN!$Y$9:$AC$9,FI$9,0)) + OFFSET(DNN!$X$9,FI$9,0)</f>
        <v>-1.3182687612562751</v>
      </c>
      <c r="FJ75" s="98">
        <f ca="1">SUMPRODUCT($ET75:$EX75,OFFSET(DNN!$Y$9:$AC$9,FJ$9,0)) + OFFSET(DNN!$X$9,FJ$9,0)</f>
        <v>-2.2535161745939301E-5</v>
      </c>
      <c r="FL75" s="415">
        <f t="shared" ref="FL75:FL138" ca="1" si="224">MAX(EZ75:FI75)</f>
        <v>0.43031618918982212</v>
      </c>
      <c r="FM75" s="130">
        <f t="shared" ref="FM75:FM138" ca="1" si="225">EXP(EZ75-$FL75)</f>
        <v>1</v>
      </c>
      <c r="FN75" s="131">
        <f t="shared" ref="FN75:FN138" ca="1" si="226">EXP(FA75-$FL75)</f>
        <v>0.65029522127322903</v>
      </c>
      <c r="FO75" s="131">
        <f t="shared" ref="FO75:FO138" ca="1" si="227">EXP(FB75-$FL75)</f>
        <v>0.66028983545318687</v>
      </c>
      <c r="FP75" s="131">
        <f t="shared" ref="FP75:FP138" ca="1" si="228">EXP(FC75-$FL75)</f>
        <v>0.64972655813153501</v>
      </c>
      <c r="FQ75" s="131">
        <f t="shared" ref="FQ75:FQ138" ca="1" si="229">EXP(FD75-$FL75)</f>
        <v>0.65002804502111444</v>
      </c>
      <c r="FR75" s="131">
        <f t="shared" ref="FR75:FR138" ca="1" si="230">EXP(FE75-$FL75)</f>
        <v>0.65029320640965171</v>
      </c>
      <c r="FS75" s="131">
        <f t="shared" ref="FS75:FS138" ca="1" si="231">EXP(FF75-$FL75)</f>
        <v>0.64942668056342145</v>
      </c>
      <c r="FT75" s="131">
        <f t="shared" ref="FT75:FT138" ca="1" si="232">EXP(FG75-$FL75)</f>
        <v>0.61083952513994022</v>
      </c>
      <c r="FU75" s="132">
        <f t="shared" ref="FU75:FU138" ca="1" si="233">EXP(FH75-$FL75)</f>
        <v>0.6508682169276182</v>
      </c>
      <c r="FV75" s="131">
        <f t="shared" ref="FV75:FV138" ca="1" si="234">EXP(FI75-$FL75)</f>
        <v>0.17402001625314881</v>
      </c>
      <c r="FW75" s="83">
        <f t="shared" ref="FW75:FW138" ca="1" si="235">TANH($FJ75)</f>
        <v>-2.2535161742124597E-5</v>
      </c>
    </row>
    <row r="76" spans="1:179">
      <c r="A76" s="19">
        <f t="shared" si="117"/>
        <v>66</v>
      </c>
      <c r="B76" s="1">
        <f t="shared" ref="B76:B139" ca="1" si="236">IF(K75,0,B75+1)</f>
        <v>0</v>
      </c>
      <c r="C76" s="20">
        <f t="shared" ref="C76:C139" ca="1" si="237">IF(K75,C75+1,C75)</f>
        <v>66</v>
      </c>
      <c r="D76" s="19" t="str">
        <f t="shared" ref="D76:D139" ca="1" si="238">IF(K75,D$10,G75)</f>
        <v>〇×〇×〇×--〇</v>
      </c>
      <c r="E76" s="7">
        <f t="shared" ca="1" si="206"/>
        <v>9</v>
      </c>
      <c r="F76" s="7">
        <f t="shared" ca="1" si="207"/>
        <v>1</v>
      </c>
      <c r="G76" s="1" t="str">
        <f t="shared" ca="1" si="139"/>
        <v>〇×〇×〇×--〇</v>
      </c>
      <c r="H76" s="20" t="b">
        <f t="shared" ca="1" si="140"/>
        <v>1</v>
      </c>
      <c r="I76" s="22">
        <f t="shared" ref="I76:I139" ca="1" si="239">IF(K75, I$10, I75*-1)</f>
        <v>-1</v>
      </c>
      <c r="J76" s="1" t="b">
        <f ca="1">(1&lt;COUNTIF(D$10:D76,D76))</f>
        <v>1</v>
      </c>
      <c r="K76" s="1" t="b">
        <f t="shared" ca="1" si="141"/>
        <v>1</v>
      </c>
      <c r="L76" s="7">
        <f ca="1">MATCH(TRUE,K76:K$1048576,FALSE)-1</f>
        <v>0</v>
      </c>
      <c r="M76" s="24" t="str">
        <f t="shared" ca="1" si="142"/>
        <v>〇×〇×〇×--〇_9</v>
      </c>
      <c r="N76" s="25">
        <f t="shared" ca="1" si="208"/>
        <v>-2.2535161742124597E-5</v>
      </c>
      <c r="O76" s="26">
        <f t="shared" ca="1" si="209"/>
        <v>-1</v>
      </c>
      <c r="P76" s="27">
        <f t="shared" ca="1" si="210"/>
        <v>-1</v>
      </c>
      <c r="R76" s="41" t="str">
        <f ca="1">VLOOKUP(S76,cvt!$B$2:$C$4,2,FALSE)&amp;VLOOKUP(T76,cvt!$B$2:$C$4,2,FALSE)&amp;VLOOKUP(U76,cvt!$B$2:$C$4,2,FALSE)
&amp;VLOOKUP(V76,cvt!$B$2:$C$4,2,FALSE)&amp;VLOOKUP(W76,cvt!$B$2:$C$4,2,FALSE)&amp;VLOOKUP(X76,cvt!$B$2:$C$4,2,FALSE)
&amp;VLOOKUP(Y76,cvt!$B$2:$C$4,2,FALSE)&amp;VLOOKUP(Z76,cvt!$B$2:$C$4,2,FALSE)&amp;VLOOKUP(AA76,cvt!$B$2:$C$4,2,FALSE)</f>
        <v>〇×〇×〇×--〇</v>
      </c>
      <c r="S76" s="7">
        <f ca="1">VLOOKUP(MID($D76,S$9+1,1), cvt!$A$2:$B$4,2, FALSE)</f>
        <v>1</v>
      </c>
      <c r="T76" s="7">
        <f ca="1">VLOOKUP(MID($D76,T$9+1,1), cvt!$A$2:$B$4,2, FALSE)</f>
        <v>-1</v>
      </c>
      <c r="U76" s="7">
        <f ca="1">VLOOKUP(MID($D76,U$9+1,1), cvt!$A$2:$B$4,2, FALSE)</f>
        <v>1</v>
      </c>
      <c r="V76" s="17">
        <f ca="1">VLOOKUP(MID($D76,V$9+1,1), cvt!$A$2:$B$4,2, FALSE)</f>
        <v>-1</v>
      </c>
      <c r="W76" s="7">
        <f ca="1">VLOOKUP(MID($D76,W$9+1,1), cvt!$A$2:$B$4,2, FALSE)</f>
        <v>1</v>
      </c>
      <c r="X76" s="18">
        <f ca="1">VLOOKUP(MID($D76,X$9+1,1), cvt!$A$2:$B$4,2, FALSE)</f>
        <v>-1</v>
      </c>
      <c r="Y76" s="7">
        <f ca="1">VLOOKUP(MID($D76,Y$9+1,1), cvt!$A$2:$B$4,2, FALSE)</f>
        <v>0</v>
      </c>
      <c r="Z76" s="7">
        <f ca="1">VLOOKUP(MID($D76,Z$9+1,1), cvt!$A$2:$B$4,2, FALSE)</f>
        <v>0</v>
      </c>
      <c r="AA76" s="42">
        <f ca="1">VLOOKUP(MID($D76,AA$9+1,1), cvt!$A$2:$B$4,2, FALSE)</f>
        <v>1</v>
      </c>
      <c r="AB76" s="7">
        <f t="shared" ca="1" si="211"/>
        <v>1</v>
      </c>
      <c r="AC76" s="50" t="b">
        <f t="shared" ca="1" si="212"/>
        <v>1</v>
      </c>
      <c r="AE76" s="19" t="str">
        <f ca="1">VLOOKUP(AF76,cvt!$B$2:$C$4,2,FALSE)&amp;VLOOKUP(AG76,cvt!$B$2:$C$4,2,FALSE)&amp;VLOOKUP(AH76,cvt!$B$2:$C$4,2,FALSE)
&amp;VLOOKUP(AI76,cvt!$B$2:$C$4,2,FALSE)&amp;VLOOKUP(AJ76,cvt!$B$2:$C$4,2,FALSE)&amp;VLOOKUP(AK76,cvt!$B$2:$C$4,2,FALSE)
&amp;VLOOKUP(AL76,cvt!$B$2:$C$4,2,FALSE)&amp;VLOOKUP(AM76,cvt!$B$2:$C$4,2,FALSE)&amp;VLOOKUP(AN76,cvt!$B$2:$C$4,2,FALSE)</f>
        <v>〇×〇×〇×--〇</v>
      </c>
      <c r="AF76" s="17">
        <f t="shared" ca="1" si="143"/>
        <v>1</v>
      </c>
      <c r="AG76" s="7">
        <f t="shared" ca="1" si="144"/>
        <v>-1</v>
      </c>
      <c r="AH76" s="7">
        <f t="shared" ca="1" si="145"/>
        <v>1</v>
      </c>
      <c r="AI76" s="17">
        <f t="shared" ca="1" si="146"/>
        <v>-1</v>
      </c>
      <c r="AJ76" s="7">
        <f t="shared" ca="1" si="147"/>
        <v>1</v>
      </c>
      <c r="AK76" s="18">
        <f t="shared" ca="1" si="148"/>
        <v>-1</v>
      </c>
      <c r="AL76" s="7">
        <f t="shared" ca="1" si="149"/>
        <v>0</v>
      </c>
      <c r="AM76" s="7">
        <f t="shared" ca="1" si="150"/>
        <v>0</v>
      </c>
      <c r="AN76" s="18">
        <f t="shared" ca="1" si="151"/>
        <v>1</v>
      </c>
      <c r="AO76" s="7">
        <f t="shared" ca="1" si="213"/>
        <v>1</v>
      </c>
      <c r="AP76" s="50" t="b">
        <f t="shared" ca="1" si="152"/>
        <v>1</v>
      </c>
      <c r="AS76" s="22">
        <f t="shared" ca="1" si="214"/>
        <v>0</v>
      </c>
      <c r="AT76" s="7">
        <f t="shared" ca="1" si="153"/>
        <v>0</v>
      </c>
      <c r="AU76" s="7">
        <f t="shared" ca="1" si="154"/>
        <v>0</v>
      </c>
      <c r="AV76" s="7">
        <f t="shared" ca="1" si="155"/>
        <v>0</v>
      </c>
      <c r="AW76" s="7">
        <f t="shared" ca="1" si="156"/>
        <v>0</v>
      </c>
      <c r="AX76" s="7">
        <f t="shared" ca="1" si="157"/>
        <v>0</v>
      </c>
      <c r="AY76" s="7">
        <f t="shared" ca="1" si="158"/>
        <v>0</v>
      </c>
      <c r="AZ76" s="7">
        <f t="shared" ca="1" si="159"/>
        <v>0</v>
      </c>
      <c r="BA76" s="18">
        <f t="shared" ca="1" si="160"/>
        <v>0</v>
      </c>
      <c r="BB76" s="295">
        <f t="shared" ca="1" si="215"/>
        <v>1</v>
      </c>
      <c r="BD76" s="132"/>
      <c r="BE76" s="297">
        <f t="shared" ca="1" si="216"/>
        <v>1</v>
      </c>
      <c r="BF76" s="298">
        <f t="shared" ca="1" si="161"/>
        <v>0.65029522127322903</v>
      </c>
      <c r="BG76" s="298">
        <f t="shared" ca="1" si="162"/>
        <v>0.66028983545318687</v>
      </c>
      <c r="BH76" s="318">
        <f t="shared" ca="1" si="163"/>
        <v>0.64972655813153501</v>
      </c>
      <c r="BI76" s="298">
        <f t="shared" ca="1" si="164"/>
        <v>0.65002804502111444</v>
      </c>
      <c r="BJ76" s="299">
        <f t="shared" ca="1" si="165"/>
        <v>0.65029320640965171</v>
      </c>
      <c r="BK76" s="298">
        <f t="shared" ca="1" si="166"/>
        <v>0.64942668056342145</v>
      </c>
      <c r="BL76" s="298">
        <f t="shared" ca="1" si="167"/>
        <v>0.61083952513994022</v>
      </c>
      <c r="BM76" s="299">
        <f t="shared" ca="1" si="168"/>
        <v>0.6508682169276182</v>
      </c>
      <c r="BN76" s="295">
        <f t="shared" ca="1" si="169"/>
        <v>0.17402001625314881</v>
      </c>
      <c r="BO76" s="248">
        <f t="shared" ca="1" si="217"/>
        <v>-2.2535161742124597E-5</v>
      </c>
      <c r="BQ76" s="304">
        <f t="shared" ca="1" si="218"/>
        <v>0.42412001625314877</v>
      </c>
      <c r="BR76" s="297">
        <f t="shared" ca="1" si="219"/>
        <v>0</v>
      </c>
      <c r="BS76" s="298">
        <f t="shared" ca="1" si="170"/>
        <v>0</v>
      </c>
      <c r="BT76" s="298">
        <f t="shared" ca="1" si="171"/>
        <v>0</v>
      </c>
      <c r="BU76" s="318">
        <f t="shared" ca="1" si="172"/>
        <v>0</v>
      </c>
      <c r="BV76" s="298">
        <f t="shared" ca="1" si="173"/>
        <v>0</v>
      </c>
      <c r="BW76" s="299">
        <f t="shared" ca="1" si="174"/>
        <v>0</v>
      </c>
      <c r="BX76" s="298">
        <f t="shared" ca="1" si="175"/>
        <v>0</v>
      </c>
      <c r="BY76" s="298">
        <f t="shared" ca="1" si="176"/>
        <v>0</v>
      </c>
      <c r="BZ76" s="298">
        <f t="shared" ca="1" si="177"/>
        <v>0</v>
      </c>
      <c r="CA76" s="315">
        <f t="shared" ca="1" si="178"/>
        <v>0.42412001625314877</v>
      </c>
      <c r="CC76" s="52"/>
      <c r="CD76" s="306">
        <f t="shared" ca="1" si="220"/>
        <v>0</v>
      </c>
      <c r="CE76" s="15">
        <f t="shared" ca="1" si="179"/>
        <v>0</v>
      </c>
      <c r="CF76" s="15">
        <f t="shared" ca="1" si="180"/>
        <v>0</v>
      </c>
      <c r="CG76" s="286">
        <f t="shared" ca="1" si="181"/>
        <v>0</v>
      </c>
      <c r="CH76" s="15">
        <f t="shared" ca="1" si="182"/>
        <v>0</v>
      </c>
      <c r="CI76" s="288">
        <f t="shared" ca="1" si="183"/>
        <v>0</v>
      </c>
      <c r="CJ76" s="15">
        <f t="shared" ca="1" si="184"/>
        <v>0</v>
      </c>
      <c r="CK76" s="15">
        <f t="shared" ca="1" si="185"/>
        <v>0</v>
      </c>
      <c r="CL76" s="15">
        <f t="shared" ca="1" si="186"/>
        <v>0</v>
      </c>
      <c r="CM76" s="313">
        <f t="shared" ca="1" si="187"/>
        <v>1</v>
      </c>
      <c r="CO76" s="320">
        <f t="shared" ca="1" si="221"/>
        <v>65</v>
      </c>
      <c r="CP76" s="22">
        <f ca="1">COUNTIFS($C$10:$C75,"&lt;"&amp;$C76,$M$10:$M75,$D76&amp;"_"&amp;CP$9)</f>
        <v>0</v>
      </c>
      <c r="CQ76" s="7">
        <f ca="1">COUNTIFS($C$10:$C75,"&lt;"&amp;$C76,$M$10:$M75,$D76&amp;"_"&amp;CQ$9)</f>
        <v>0</v>
      </c>
      <c r="CR76" s="7">
        <f ca="1">COUNTIFS($C$10:$C75,"&lt;"&amp;$C76,$M$10:$M75,$D76&amp;"_"&amp;CR$9)</f>
        <v>0</v>
      </c>
      <c r="CS76" s="17">
        <f ca="1">COUNTIFS($C$10:$C75,"&lt;"&amp;$C76,$M$10:$M75,$D76&amp;"_"&amp;CS$9)</f>
        <v>0</v>
      </c>
      <c r="CT76" s="7">
        <f ca="1">COUNTIFS($C$10:$C75,"&lt;"&amp;$C76,$M$10:$M75,$D76&amp;"_"&amp;CT$9)</f>
        <v>0</v>
      </c>
      <c r="CU76" s="18">
        <f ca="1">COUNTIFS($C$10:$C75,"&lt;"&amp;$C76,$M$10:$M75,$D76&amp;"_"&amp;CU$9)</f>
        <v>0</v>
      </c>
      <c r="CV76" s="7">
        <f ca="1">COUNTIFS($C$10:$C75,"&lt;"&amp;$C76,$M$10:$M75,$D76&amp;"_"&amp;CV$9)</f>
        <v>0</v>
      </c>
      <c r="CW76" s="7">
        <f ca="1">COUNTIFS($C$10:$C75,"&lt;"&amp;$C76,$M$10:$M75,$D76&amp;"_"&amp;CW$9)</f>
        <v>0</v>
      </c>
      <c r="CX76" s="7">
        <f ca="1">COUNTIFS($C$10:$C75,"&lt;"&amp;$C76,$M$10:$M75,$D76&amp;"_"&amp;CX$9)</f>
        <v>0</v>
      </c>
      <c r="CY76" s="221">
        <f ca="1">COUNTIFS($C$10:$C75,"&lt;"&amp;$C76,$M$10:$M75,$D76&amp;"_"&amp;CY$9)</f>
        <v>65</v>
      </c>
      <c r="DA76" s="20"/>
      <c r="DB76" s="308">
        <f ca="1">IF(CP76=0,0,SUMIFS($P$10:$P75, $C$10:$C75,"&lt;"&amp;$C76, $M$10:$M75,$D76&amp;"_"&amp;DB$9)/CP76)</f>
        <v>0</v>
      </c>
      <c r="DC76" s="263">
        <f ca="1">IF(CQ76=0,0,SUMIFS($P$10:$P75, $C$10:$C75,"&lt;"&amp;$C76, $M$10:$M75,$D76&amp;"_"&amp;DC$9)/CQ76)</f>
        <v>0</v>
      </c>
      <c r="DD76" s="263">
        <f ca="1">IF(CR76=0,0,SUMIFS($P$10:$P75, $C$10:$C75,"&lt;"&amp;$C76, $M$10:$M75,$D76&amp;"_"&amp;DD$9)/CR76)</f>
        <v>0</v>
      </c>
      <c r="DE76" s="262">
        <f ca="1">IF(CS76=0,0,SUMIFS($P$10:$P75, $C$10:$C75,"&lt;"&amp;$C76, $M$10:$M75,$D76&amp;"_"&amp;DE$9)/CS76)</f>
        <v>0</v>
      </c>
      <c r="DF76" s="263">
        <f ca="1">IF(CT76=0,0,SUMIFS($P$10:$P75, $C$10:$C75,"&lt;"&amp;$C76, $M$10:$M75,$D76&amp;"_"&amp;DF$9)/CT76)</f>
        <v>0</v>
      </c>
      <c r="DG76" s="310">
        <f ca="1">IF(CU76=0,0,SUMIFS($P$10:$P75, $C$10:$C75,"&lt;"&amp;$C76, $M$10:$M75,$D76&amp;"_"&amp;DG$9)/CU76)</f>
        <v>0</v>
      </c>
      <c r="DH76" s="263">
        <f ca="1">IF(CV76=0,0,SUMIFS($P$10:$P75, $C$10:$C75,"&lt;"&amp;$C76, $M$10:$M75,$D76&amp;"_"&amp;DH$9)/CV76)</f>
        <v>0</v>
      </c>
      <c r="DI76" s="263">
        <f ca="1">IF(CW76=0,0,SUMIFS($P$10:$P75, $C$10:$C75,"&lt;"&amp;$C76, $M$10:$M75,$D76&amp;"_"&amp;DI$9)/CW76)</f>
        <v>0</v>
      </c>
      <c r="DJ76" s="264">
        <f ca="1">IF(CX76=0,0,SUMIFS($P$10:$P75, $C$10:$C75,"&lt;"&amp;$C76, $M$10:$M75,$D76&amp;"_"&amp;DJ$9)/CX76)</f>
        <v>0</v>
      </c>
      <c r="DK76" s="264">
        <f ca="1">IF(CY76=0,0,SUMIFS($P$10:$P75, $C$10:$C75,"&lt;"&amp;$C76, $M$10:$M75,$D76&amp;"_"&amp;DK$9)/CY76)</f>
        <v>-1</v>
      </c>
      <c r="DM76" s="104"/>
      <c r="DN76" s="306">
        <f t="shared" ca="1" si="222"/>
        <v>-9999</v>
      </c>
      <c r="DO76" s="15">
        <f t="shared" ca="1" si="188"/>
        <v>-9999</v>
      </c>
      <c r="DP76" s="15">
        <f t="shared" ca="1" si="189"/>
        <v>-9999</v>
      </c>
      <c r="DQ76" s="15">
        <f t="shared" ca="1" si="190"/>
        <v>-9999</v>
      </c>
      <c r="DR76" s="15">
        <f t="shared" ca="1" si="191"/>
        <v>-9999</v>
      </c>
      <c r="DS76" s="15">
        <f t="shared" ca="1" si="192"/>
        <v>-9999</v>
      </c>
      <c r="DT76" s="15">
        <f t="shared" ca="1" si="193"/>
        <v>-9999</v>
      </c>
      <c r="DU76" s="15">
        <f t="shared" ca="1" si="194"/>
        <v>-9999</v>
      </c>
      <c r="DV76" s="52">
        <f t="shared" ca="1" si="195"/>
        <v>-9999</v>
      </c>
      <c r="DW76" s="313">
        <f t="shared" ca="1" si="196"/>
        <v>-0.87784457957123407</v>
      </c>
      <c r="DX76" s="52"/>
      <c r="DY76" s="402">
        <f t="shared" ca="1" si="223"/>
        <v>9</v>
      </c>
      <c r="ED76" s="19">
        <f t="shared" ca="1" si="197"/>
        <v>-1</v>
      </c>
      <c r="EE76" s="1">
        <f t="shared" ca="1" si="198"/>
        <v>1</v>
      </c>
      <c r="EF76" s="1">
        <f t="shared" ca="1" si="199"/>
        <v>-1</v>
      </c>
      <c r="EG76" s="2">
        <f t="shared" ca="1" si="200"/>
        <v>1</v>
      </c>
      <c r="EH76" s="1">
        <f t="shared" ca="1" si="201"/>
        <v>-1</v>
      </c>
      <c r="EI76" s="3">
        <f t="shared" ca="1" si="202"/>
        <v>1</v>
      </c>
      <c r="EJ76" s="1">
        <f t="shared" ca="1" si="203"/>
        <v>0</v>
      </c>
      <c r="EK76" s="1">
        <f t="shared" ca="1" si="204"/>
        <v>0</v>
      </c>
      <c r="EL76" s="20">
        <f t="shared" ca="1" si="205"/>
        <v>-1</v>
      </c>
      <c r="EN76" s="86">
        <f ca="1">MAX(0, SUMPRODUCT($ED76:$EL76,OFFSET(DNN!$E$9:$M$9,EN$9,0)) + OFFSET(DNN!$D$9,EN$9,0))</f>
        <v>0</v>
      </c>
      <c r="EO76" s="84">
        <f ca="1">MAX(0, SUMPRODUCT($ED76:$EL76,OFFSET(DNN!$E$9:$M$9,EO$9,0)) + OFFSET(DNN!$D$9,EO$9,0))</f>
        <v>7.2346022384755949E-3</v>
      </c>
      <c r="EP76" s="84">
        <f ca="1">MAX(0, SUMPRODUCT($ED76:$EL76,OFFSET(DNN!$E$9:$M$9,EP$9,0)) + OFFSET(DNN!$D$9,EP$9,0))</f>
        <v>3.6951849750035152E-3</v>
      </c>
      <c r="EQ76" s="84">
        <f ca="1">MAX(0, SUMPRODUCT($ED76:$EL76,OFFSET(DNN!$E$9:$M$9,EQ$9,0)) + OFFSET(DNN!$D$9,EQ$9,0))</f>
        <v>0</v>
      </c>
      <c r="ER76" s="85">
        <f ca="1">MAX(0, SUMPRODUCT($ED76:$EL76,OFFSET(DNN!$E$9:$M$9,ER$9,0)) + OFFSET(DNN!$D$9,ER$9,0))</f>
        <v>0</v>
      </c>
      <c r="ET76" s="86">
        <f ca="1">MAX(0, SUMPRODUCT($EN76:$ER76,OFFSET(DNN!$Q$9:$U$9,ET$9,0)) + OFFSET(DNN!$P$9,ET$9,0))</f>
        <v>4.3954959453478351E-4</v>
      </c>
      <c r="EU76" s="84">
        <f ca="1">MAX(0, SUMPRODUCT($EN76:$ER76,OFFSET(DNN!$Q$9:$U$9,EU$9,0)) + OFFSET(DNN!$P$9,EU$9,0))</f>
        <v>0</v>
      </c>
      <c r="EV76" s="84">
        <f ca="1">MAX(0, SUMPRODUCT($EN76:$ER76,OFFSET(DNN!$Q$9:$U$9,EV$9,0)) + OFFSET(DNN!$P$9,EV$9,0))</f>
        <v>1.2810123361902579E-3</v>
      </c>
      <c r="EW76" s="84">
        <f ca="1">MAX(0, SUMPRODUCT($EN76:$ER76,OFFSET(DNN!$Q$9:$U$9,EW$9,0)) + OFFSET(DNN!$P$9,EW$9,0))</f>
        <v>7.8382123007882457E-4</v>
      </c>
      <c r="EX76" s="85">
        <f ca="1">MAX(0, SUMPRODUCT($EN76:$ER76,OFFSET(DNN!$Q$9:$U$9,EX$9,0)) + OFFSET(DNN!$P$9,EX$9,0))</f>
        <v>0</v>
      </c>
      <c r="EZ76" s="111">
        <f ca="1">SUMPRODUCT($ET76:$EX76,OFFSET(DNN!$Y$9:$AC$9,EZ$9,0)) + OFFSET(DNN!$X$9,EZ$9,0)</f>
        <v>0.43031618918982212</v>
      </c>
      <c r="FA76" s="97">
        <f ca="1">SUMPRODUCT($ET76:$EX76,OFFSET(DNN!$Y$9:$AC$9,FA$9,0)) + OFFSET(DNN!$X$9,FA$9,0)</f>
        <v>-1.2643439935754107E-5</v>
      </c>
      <c r="FB76" s="97">
        <f ca="1">SUMPRODUCT($ET76:$EX76,OFFSET(DNN!$Y$9:$AC$9,FB$9,0)) + OFFSET(DNN!$X$9,FB$9,0)</f>
        <v>1.5239793458415756E-2</v>
      </c>
      <c r="FC76" s="97">
        <f ca="1">SUMPRODUCT($ET76:$EX76,OFFSET(DNN!$Y$9:$AC$9,FC$9,0)) + OFFSET(DNN!$X$9,FC$9,0)</f>
        <v>-8.8749521084055777E-4</v>
      </c>
      <c r="FD76" s="97">
        <f ca="1">SUMPRODUCT($ET76:$EX76,OFFSET(DNN!$Y$9:$AC$9,FD$9,0)) + OFFSET(DNN!$X$9,FD$9,0)</f>
        <v>-4.235816470721872E-4</v>
      </c>
      <c r="FE76" s="97">
        <f ca="1">SUMPRODUCT($ET76:$EX76,OFFSET(DNN!$Y$9:$AC$9,FE$9,0)) + OFFSET(DNN!$X$9,FE$9,0)</f>
        <v>-1.574182761064886E-5</v>
      </c>
      <c r="FF76" s="97">
        <f ca="1">SUMPRODUCT($ET76:$EX76,OFFSET(DNN!$Y$9:$AC$9,FF$9,0)) + OFFSET(DNN!$X$9,FF$9,0)</f>
        <v>-1.3491460223194656E-3</v>
      </c>
      <c r="FG76" s="97">
        <f ca="1">SUMPRODUCT($ET76:$EX76,OFFSET(DNN!$Y$9:$AC$9,FG$9,0)) + OFFSET(DNN!$X$9,FG$9,0)</f>
        <v>-6.2604808096248285E-2</v>
      </c>
      <c r="FH76" s="97">
        <f ca="1">SUMPRODUCT($ET76:$EX76,OFFSET(DNN!$Y$9:$AC$9,FH$9,0)) + OFFSET(DNN!$X$9,FH$9,0)</f>
        <v>8.6810016937029894E-4</v>
      </c>
      <c r="FI76" s="108">
        <f ca="1">SUMPRODUCT($ET76:$EX76,OFFSET(DNN!$Y$9:$AC$9,FI$9,0)) + OFFSET(DNN!$X$9,FI$9,0)</f>
        <v>-1.3182687612562751</v>
      </c>
      <c r="FJ76" s="98">
        <f ca="1">SUMPRODUCT($ET76:$EX76,OFFSET(DNN!$Y$9:$AC$9,FJ$9,0)) + OFFSET(DNN!$X$9,FJ$9,0)</f>
        <v>-2.2535161745939301E-5</v>
      </c>
      <c r="FL76" s="415">
        <f t="shared" ca="1" si="224"/>
        <v>0.43031618918982212</v>
      </c>
      <c r="FM76" s="130">
        <f t="shared" ca="1" si="225"/>
        <v>1</v>
      </c>
      <c r="FN76" s="131">
        <f t="shared" ca="1" si="226"/>
        <v>0.65029522127322903</v>
      </c>
      <c r="FO76" s="131">
        <f t="shared" ca="1" si="227"/>
        <v>0.66028983545318687</v>
      </c>
      <c r="FP76" s="131">
        <f t="shared" ca="1" si="228"/>
        <v>0.64972655813153501</v>
      </c>
      <c r="FQ76" s="131">
        <f t="shared" ca="1" si="229"/>
        <v>0.65002804502111444</v>
      </c>
      <c r="FR76" s="131">
        <f t="shared" ca="1" si="230"/>
        <v>0.65029320640965171</v>
      </c>
      <c r="FS76" s="131">
        <f t="shared" ca="1" si="231"/>
        <v>0.64942668056342145</v>
      </c>
      <c r="FT76" s="131">
        <f t="shared" ca="1" si="232"/>
        <v>0.61083952513994022</v>
      </c>
      <c r="FU76" s="132">
        <f t="shared" ca="1" si="233"/>
        <v>0.6508682169276182</v>
      </c>
      <c r="FV76" s="131">
        <f t="shared" ca="1" si="234"/>
        <v>0.17402001625314881</v>
      </c>
      <c r="FW76" s="83">
        <f t="shared" ca="1" si="235"/>
        <v>-2.2535161742124597E-5</v>
      </c>
    </row>
    <row r="77" spans="1:179">
      <c r="A77" s="19">
        <f t="shared" si="117"/>
        <v>67</v>
      </c>
      <c r="B77" s="1">
        <f t="shared" ca="1" si="236"/>
        <v>0</v>
      </c>
      <c r="C77" s="20">
        <f t="shared" ca="1" si="237"/>
        <v>67</v>
      </c>
      <c r="D77" s="19" t="str">
        <f t="shared" ca="1" si="238"/>
        <v>〇×〇×〇×--〇</v>
      </c>
      <c r="E77" s="7">
        <f t="shared" ca="1" si="206"/>
        <v>9</v>
      </c>
      <c r="F77" s="7">
        <f t="shared" ca="1" si="207"/>
        <v>1</v>
      </c>
      <c r="G77" s="1" t="str">
        <f t="shared" ca="1" si="139"/>
        <v>〇×〇×〇×--〇</v>
      </c>
      <c r="H77" s="20" t="b">
        <f t="shared" ca="1" si="140"/>
        <v>1</v>
      </c>
      <c r="I77" s="22">
        <f t="shared" ca="1" si="239"/>
        <v>-1</v>
      </c>
      <c r="J77" s="1" t="b">
        <f ca="1">(1&lt;COUNTIF(D$10:D77,D77))</f>
        <v>1</v>
      </c>
      <c r="K77" s="1" t="b">
        <f t="shared" ca="1" si="141"/>
        <v>1</v>
      </c>
      <c r="L77" s="7">
        <f ca="1">MATCH(TRUE,K77:K$1048576,FALSE)-1</f>
        <v>0</v>
      </c>
      <c r="M77" s="24" t="str">
        <f t="shared" ca="1" si="142"/>
        <v>〇×〇×〇×--〇_9</v>
      </c>
      <c r="N77" s="25">
        <f t="shared" ca="1" si="208"/>
        <v>-2.2535161742124597E-5</v>
      </c>
      <c r="O77" s="26">
        <f t="shared" ca="1" si="209"/>
        <v>-1</v>
      </c>
      <c r="P77" s="27">
        <f t="shared" ca="1" si="210"/>
        <v>-1</v>
      </c>
      <c r="R77" s="41" t="str">
        <f ca="1">VLOOKUP(S77,cvt!$B$2:$C$4,2,FALSE)&amp;VLOOKUP(T77,cvt!$B$2:$C$4,2,FALSE)&amp;VLOOKUP(U77,cvt!$B$2:$C$4,2,FALSE)
&amp;VLOOKUP(V77,cvt!$B$2:$C$4,2,FALSE)&amp;VLOOKUP(W77,cvt!$B$2:$C$4,2,FALSE)&amp;VLOOKUP(X77,cvt!$B$2:$C$4,2,FALSE)
&amp;VLOOKUP(Y77,cvt!$B$2:$C$4,2,FALSE)&amp;VLOOKUP(Z77,cvt!$B$2:$C$4,2,FALSE)&amp;VLOOKUP(AA77,cvt!$B$2:$C$4,2,FALSE)</f>
        <v>〇×〇×〇×--〇</v>
      </c>
      <c r="S77" s="7">
        <f ca="1">VLOOKUP(MID($D77,S$9+1,1), cvt!$A$2:$B$4,2, FALSE)</f>
        <v>1</v>
      </c>
      <c r="T77" s="7">
        <f ca="1">VLOOKUP(MID($D77,T$9+1,1), cvt!$A$2:$B$4,2, FALSE)</f>
        <v>-1</v>
      </c>
      <c r="U77" s="7">
        <f ca="1">VLOOKUP(MID($D77,U$9+1,1), cvt!$A$2:$B$4,2, FALSE)</f>
        <v>1</v>
      </c>
      <c r="V77" s="17">
        <f ca="1">VLOOKUP(MID($D77,V$9+1,1), cvt!$A$2:$B$4,2, FALSE)</f>
        <v>-1</v>
      </c>
      <c r="W77" s="7">
        <f ca="1">VLOOKUP(MID($D77,W$9+1,1), cvt!$A$2:$B$4,2, FALSE)</f>
        <v>1</v>
      </c>
      <c r="X77" s="18">
        <f ca="1">VLOOKUP(MID($D77,X$9+1,1), cvt!$A$2:$B$4,2, FALSE)</f>
        <v>-1</v>
      </c>
      <c r="Y77" s="7">
        <f ca="1">VLOOKUP(MID($D77,Y$9+1,1), cvt!$A$2:$B$4,2, FALSE)</f>
        <v>0</v>
      </c>
      <c r="Z77" s="7">
        <f ca="1">VLOOKUP(MID($D77,Z$9+1,1), cvt!$A$2:$B$4,2, FALSE)</f>
        <v>0</v>
      </c>
      <c r="AA77" s="42">
        <f ca="1">VLOOKUP(MID($D77,AA$9+1,1), cvt!$A$2:$B$4,2, FALSE)</f>
        <v>1</v>
      </c>
      <c r="AB77" s="7">
        <f t="shared" ca="1" si="211"/>
        <v>1</v>
      </c>
      <c r="AC77" s="50" t="b">
        <f t="shared" ca="1" si="212"/>
        <v>1</v>
      </c>
      <c r="AE77" s="19" t="str">
        <f ca="1">VLOOKUP(AF77,cvt!$B$2:$C$4,2,FALSE)&amp;VLOOKUP(AG77,cvt!$B$2:$C$4,2,FALSE)&amp;VLOOKUP(AH77,cvt!$B$2:$C$4,2,FALSE)
&amp;VLOOKUP(AI77,cvt!$B$2:$C$4,2,FALSE)&amp;VLOOKUP(AJ77,cvt!$B$2:$C$4,2,FALSE)&amp;VLOOKUP(AK77,cvt!$B$2:$C$4,2,FALSE)
&amp;VLOOKUP(AL77,cvt!$B$2:$C$4,2,FALSE)&amp;VLOOKUP(AM77,cvt!$B$2:$C$4,2,FALSE)&amp;VLOOKUP(AN77,cvt!$B$2:$C$4,2,FALSE)</f>
        <v>〇×〇×〇×--〇</v>
      </c>
      <c r="AF77" s="17">
        <f t="shared" ca="1" si="143"/>
        <v>1</v>
      </c>
      <c r="AG77" s="7">
        <f t="shared" ca="1" si="144"/>
        <v>-1</v>
      </c>
      <c r="AH77" s="7">
        <f t="shared" ca="1" si="145"/>
        <v>1</v>
      </c>
      <c r="AI77" s="17">
        <f t="shared" ca="1" si="146"/>
        <v>-1</v>
      </c>
      <c r="AJ77" s="7">
        <f t="shared" ca="1" si="147"/>
        <v>1</v>
      </c>
      <c r="AK77" s="18">
        <f t="shared" ca="1" si="148"/>
        <v>-1</v>
      </c>
      <c r="AL77" s="7">
        <f t="shared" ca="1" si="149"/>
        <v>0</v>
      </c>
      <c r="AM77" s="7">
        <f t="shared" ca="1" si="150"/>
        <v>0</v>
      </c>
      <c r="AN77" s="18">
        <f t="shared" ca="1" si="151"/>
        <v>1</v>
      </c>
      <c r="AO77" s="7">
        <f t="shared" ca="1" si="213"/>
        <v>1</v>
      </c>
      <c r="AP77" s="50" t="b">
        <f t="shared" ca="1" si="152"/>
        <v>1</v>
      </c>
      <c r="AS77" s="22">
        <f t="shared" ca="1" si="214"/>
        <v>0</v>
      </c>
      <c r="AT77" s="7">
        <f t="shared" ca="1" si="153"/>
        <v>0</v>
      </c>
      <c r="AU77" s="7">
        <f t="shared" ca="1" si="154"/>
        <v>0</v>
      </c>
      <c r="AV77" s="7">
        <f t="shared" ca="1" si="155"/>
        <v>0</v>
      </c>
      <c r="AW77" s="7">
        <f t="shared" ca="1" si="156"/>
        <v>0</v>
      </c>
      <c r="AX77" s="7">
        <f t="shared" ca="1" si="157"/>
        <v>0</v>
      </c>
      <c r="AY77" s="7">
        <f t="shared" ca="1" si="158"/>
        <v>0</v>
      </c>
      <c r="AZ77" s="7">
        <f t="shared" ca="1" si="159"/>
        <v>0</v>
      </c>
      <c r="BA77" s="18">
        <f t="shared" ca="1" si="160"/>
        <v>0</v>
      </c>
      <c r="BB77" s="295">
        <f t="shared" ca="1" si="215"/>
        <v>1</v>
      </c>
      <c r="BD77" s="132"/>
      <c r="BE77" s="297">
        <f t="shared" ca="1" si="216"/>
        <v>1</v>
      </c>
      <c r="BF77" s="298">
        <f t="shared" ca="1" si="161"/>
        <v>0.65029522127322903</v>
      </c>
      <c r="BG77" s="298">
        <f t="shared" ca="1" si="162"/>
        <v>0.66028983545318687</v>
      </c>
      <c r="BH77" s="318">
        <f t="shared" ca="1" si="163"/>
        <v>0.64972655813153501</v>
      </c>
      <c r="BI77" s="298">
        <f t="shared" ca="1" si="164"/>
        <v>0.65002804502111444</v>
      </c>
      <c r="BJ77" s="299">
        <f t="shared" ca="1" si="165"/>
        <v>0.65029320640965171</v>
      </c>
      <c r="BK77" s="298">
        <f t="shared" ca="1" si="166"/>
        <v>0.64942668056342145</v>
      </c>
      <c r="BL77" s="298">
        <f t="shared" ca="1" si="167"/>
        <v>0.61083952513994022</v>
      </c>
      <c r="BM77" s="299">
        <f t="shared" ca="1" si="168"/>
        <v>0.6508682169276182</v>
      </c>
      <c r="BN77" s="295">
        <f t="shared" ca="1" si="169"/>
        <v>0.17402001625314881</v>
      </c>
      <c r="BO77" s="248">
        <f t="shared" ca="1" si="217"/>
        <v>-2.2535161742124597E-5</v>
      </c>
      <c r="BQ77" s="304">
        <f t="shared" ca="1" si="218"/>
        <v>0.42412001625314877</v>
      </c>
      <c r="BR77" s="297">
        <f t="shared" ca="1" si="219"/>
        <v>0</v>
      </c>
      <c r="BS77" s="298">
        <f t="shared" ca="1" si="170"/>
        <v>0</v>
      </c>
      <c r="BT77" s="298">
        <f t="shared" ca="1" si="171"/>
        <v>0</v>
      </c>
      <c r="BU77" s="318">
        <f t="shared" ca="1" si="172"/>
        <v>0</v>
      </c>
      <c r="BV77" s="298">
        <f t="shared" ca="1" si="173"/>
        <v>0</v>
      </c>
      <c r="BW77" s="299">
        <f t="shared" ca="1" si="174"/>
        <v>0</v>
      </c>
      <c r="BX77" s="298">
        <f t="shared" ca="1" si="175"/>
        <v>0</v>
      </c>
      <c r="BY77" s="298">
        <f t="shared" ca="1" si="176"/>
        <v>0</v>
      </c>
      <c r="BZ77" s="298">
        <f t="shared" ca="1" si="177"/>
        <v>0</v>
      </c>
      <c r="CA77" s="315">
        <f t="shared" ca="1" si="178"/>
        <v>0.42412001625314877</v>
      </c>
      <c r="CC77" s="52"/>
      <c r="CD77" s="306">
        <f t="shared" ca="1" si="220"/>
        <v>0</v>
      </c>
      <c r="CE77" s="15">
        <f t="shared" ca="1" si="179"/>
        <v>0</v>
      </c>
      <c r="CF77" s="15">
        <f t="shared" ca="1" si="180"/>
        <v>0</v>
      </c>
      <c r="CG77" s="286">
        <f t="shared" ca="1" si="181"/>
        <v>0</v>
      </c>
      <c r="CH77" s="15">
        <f t="shared" ca="1" si="182"/>
        <v>0</v>
      </c>
      <c r="CI77" s="288">
        <f t="shared" ca="1" si="183"/>
        <v>0</v>
      </c>
      <c r="CJ77" s="15">
        <f t="shared" ca="1" si="184"/>
        <v>0</v>
      </c>
      <c r="CK77" s="15">
        <f t="shared" ca="1" si="185"/>
        <v>0</v>
      </c>
      <c r="CL77" s="15">
        <f t="shared" ca="1" si="186"/>
        <v>0</v>
      </c>
      <c r="CM77" s="313">
        <f t="shared" ca="1" si="187"/>
        <v>1</v>
      </c>
      <c r="CO77" s="320">
        <f t="shared" ca="1" si="221"/>
        <v>66</v>
      </c>
      <c r="CP77" s="22">
        <f ca="1">COUNTIFS($C$10:$C76,"&lt;"&amp;$C77,$M$10:$M76,$D77&amp;"_"&amp;CP$9)</f>
        <v>0</v>
      </c>
      <c r="CQ77" s="7">
        <f ca="1">COUNTIFS($C$10:$C76,"&lt;"&amp;$C77,$M$10:$M76,$D77&amp;"_"&amp;CQ$9)</f>
        <v>0</v>
      </c>
      <c r="CR77" s="7">
        <f ca="1">COUNTIFS($C$10:$C76,"&lt;"&amp;$C77,$M$10:$M76,$D77&amp;"_"&amp;CR$9)</f>
        <v>0</v>
      </c>
      <c r="CS77" s="17">
        <f ca="1">COUNTIFS($C$10:$C76,"&lt;"&amp;$C77,$M$10:$M76,$D77&amp;"_"&amp;CS$9)</f>
        <v>0</v>
      </c>
      <c r="CT77" s="7">
        <f ca="1">COUNTIFS($C$10:$C76,"&lt;"&amp;$C77,$M$10:$M76,$D77&amp;"_"&amp;CT$9)</f>
        <v>0</v>
      </c>
      <c r="CU77" s="18">
        <f ca="1">COUNTIFS($C$10:$C76,"&lt;"&amp;$C77,$M$10:$M76,$D77&amp;"_"&amp;CU$9)</f>
        <v>0</v>
      </c>
      <c r="CV77" s="7">
        <f ca="1">COUNTIFS($C$10:$C76,"&lt;"&amp;$C77,$M$10:$M76,$D77&amp;"_"&amp;CV$9)</f>
        <v>0</v>
      </c>
      <c r="CW77" s="7">
        <f ca="1">COUNTIFS($C$10:$C76,"&lt;"&amp;$C77,$M$10:$M76,$D77&amp;"_"&amp;CW$9)</f>
        <v>0</v>
      </c>
      <c r="CX77" s="7">
        <f ca="1">COUNTIFS($C$10:$C76,"&lt;"&amp;$C77,$M$10:$M76,$D77&amp;"_"&amp;CX$9)</f>
        <v>0</v>
      </c>
      <c r="CY77" s="221">
        <f ca="1">COUNTIFS($C$10:$C76,"&lt;"&amp;$C77,$M$10:$M76,$D77&amp;"_"&amp;CY$9)</f>
        <v>66</v>
      </c>
      <c r="DA77" s="20"/>
      <c r="DB77" s="308">
        <f ca="1">IF(CP77=0,0,SUMIFS($P$10:$P76, $C$10:$C76,"&lt;"&amp;$C77, $M$10:$M76,$D77&amp;"_"&amp;DB$9)/CP77)</f>
        <v>0</v>
      </c>
      <c r="DC77" s="263">
        <f ca="1">IF(CQ77=0,0,SUMIFS($P$10:$P76, $C$10:$C76,"&lt;"&amp;$C77, $M$10:$M76,$D77&amp;"_"&amp;DC$9)/CQ77)</f>
        <v>0</v>
      </c>
      <c r="DD77" s="263">
        <f ca="1">IF(CR77=0,0,SUMIFS($P$10:$P76, $C$10:$C76,"&lt;"&amp;$C77, $M$10:$M76,$D77&amp;"_"&amp;DD$9)/CR77)</f>
        <v>0</v>
      </c>
      <c r="DE77" s="262">
        <f ca="1">IF(CS77=0,0,SUMIFS($P$10:$P76, $C$10:$C76,"&lt;"&amp;$C77, $M$10:$M76,$D77&amp;"_"&amp;DE$9)/CS77)</f>
        <v>0</v>
      </c>
      <c r="DF77" s="263">
        <f ca="1">IF(CT77=0,0,SUMIFS($P$10:$P76, $C$10:$C76,"&lt;"&amp;$C77, $M$10:$M76,$D77&amp;"_"&amp;DF$9)/CT77)</f>
        <v>0</v>
      </c>
      <c r="DG77" s="310">
        <f ca="1">IF(CU77=0,0,SUMIFS($P$10:$P76, $C$10:$C76,"&lt;"&amp;$C77, $M$10:$M76,$D77&amp;"_"&amp;DG$9)/CU77)</f>
        <v>0</v>
      </c>
      <c r="DH77" s="263">
        <f ca="1">IF(CV77=0,0,SUMIFS($P$10:$P76, $C$10:$C76,"&lt;"&amp;$C77, $M$10:$M76,$D77&amp;"_"&amp;DH$9)/CV77)</f>
        <v>0</v>
      </c>
      <c r="DI77" s="263">
        <f ca="1">IF(CW77=0,0,SUMIFS($P$10:$P76, $C$10:$C76,"&lt;"&amp;$C77, $M$10:$M76,$D77&amp;"_"&amp;DI$9)/CW77)</f>
        <v>0</v>
      </c>
      <c r="DJ77" s="264">
        <f ca="1">IF(CX77=0,0,SUMIFS($P$10:$P76, $C$10:$C76,"&lt;"&amp;$C77, $M$10:$M76,$D77&amp;"_"&amp;DJ$9)/CX77)</f>
        <v>0</v>
      </c>
      <c r="DK77" s="264">
        <f ca="1">IF(CY77=0,0,SUMIFS($P$10:$P76, $C$10:$C76,"&lt;"&amp;$C77, $M$10:$M76,$D77&amp;"_"&amp;DK$9)/CY77)</f>
        <v>-1</v>
      </c>
      <c r="DM77" s="104"/>
      <c r="DN77" s="306">
        <f t="shared" ca="1" si="222"/>
        <v>-9999</v>
      </c>
      <c r="DO77" s="15">
        <f t="shared" ca="1" si="188"/>
        <v>-9999</v>
      </c>
      <c r="DP77" s="15">
        <f t="shared" ca="1" si="189"/>
        <v>-9999</v>
      </c>
      <c r="DQ77" s="15">
        <f t="shared" ca="1" si="190"/>
        <v>-9999</v>
      </c>
      <c r="DR77" s="15">
        <f t="shared" ca="1" si="191"/>
        <v>-9999</v>
      </c>
      <c r="DS77" s="15">
        <f t="shared" ca="1" si="192"/>
        <v>-9999</v>
      </c>
      <c r="DT77" s="15">
        <f t="shared" ca="1" si="193"/>
        <v>-9999</v>
      </c>
      <c r="DU77" s="15">
        <f t="shared" ca="1" si="194"/>
        <v>-9999</v>
      </c>
      <c r="DV77" s="52">
        <f t="shared" ca="1" si="195"/>
        <v>-9999</v>
      </c>
      <c r="DW77" s="313">
        <f t="shared" ca="1" si="196"/>
        <v>-0.87874569545319459</v>
      </c>
      <c r="DX77" s="52"/>
      <c r="DY77" s="402">
        <f t="shared" ca="1" si="223"/>
        <v>9</v>
      </c>
      <c r="ED77" s="19">
        <f t="shared" ca="1" si="197"/>
        <v>-1</v>
      </c>
      <c r="EE77" s="1">
        <f t="shared" ca="1" si="198"/>
        <v>1</v>
      </c>
      <c r="EF77" s="1">
        <f t="shared" ca="1" si="199"/>
        <v>-1</v>
      </c>
      <c r="EG77" s="2">
        <f t="shared" ca="1" si="200"/>
        <v>1</v>
      </c>
      <c r="EH77" s="1">
        <f t="shared" ca="1" si="201"/>
        <v>-1</v>
      </c>
      <c r="EI77" s="3">
        <f t="shared" ca="1" si="202"/>
        <v>1</v>
      </c>
      <c r="EJ77" s="1">
        <f t="shared" ca="1" si="203"/>
        <v>0</v>
      </c>
      <c r="EK77" s="1">
        <f t="shared" ca="1" si="204"/>
        <v>0</v>
      </c>
      <c r="EL77" s="20">
        <f t="shared" ca="1" si="205"/>
        <v>-1</v>
      </c>
      <c r="EN77" s="86">
        <f ca="1">MAX(0, SUMPRODUCT($ED77:$EL77,OFFSET(DNN!$E$9:$M$9,EN$9,0)) + OFFSET(DNN!$D$9,EN$9,0))</f>
        <v>0</v>
      </c>
      <c r="EO77" s="84">
        <f ca="1">MAX(0, SUMPRODUCT($ED77:$EL77,OFFSET(DNN!$E$9:$M$9,EO$9,0)) + OFFSET(DNN!$D$9,EO$9,0))</f>
        <v>7.2346022384755949E-3</v>
      </c>
      <c r="EP77" s="84">
        <f ca="1">MAX(0, SUMPRODUCT($ED77:$EL77,OFFSET(DNN!$E$9:$M$9,EP$9,0)) + OFFSET(DNN!$D$9,EP$9,0))</f>
        <v>3.6951849750035152E-3</v>
      </c>
      <c r="EQ77" s="84">
        <f ca="1">MAX(0, SUMPRODUCT($ED77:$EL77,OFFSET(DNN!$E$9:$M$9,EQ$9,0)) + OFFSET(DNN!$D$9,EQ$9,0))</f>
        <v>0</v>
      </c>
      <c r="ER77" s="85">
        <f ca="1">MAX(0, SUMPRODUCT($ED77:$EL77,OFFSET(DNN!$E$9:$M$9,ER$9,0)) + OFFSET(DNN!$D$9,ER$9,0))</f>
        <v>0</v>
      </c>
      <c r="ET77" s="86">
        <f ca="1">MAX(0, SUMPRODUCT($EN77:$ER77,OFFSET(DNN!$Q$9:$U$9,ET$9,0)) + OFFSET(DNN!$P$9,ET$9,0))</f>
        <v>4.3954959453478351E-4</v>
      </c>
      <c r="EU77" s="84">
        <f ca="1">MAX(0, SUMPRODUCT($EN77:$ER77,OFFSET(DNN!$Q$9:$U$9,EU$9,0)) + OFFSET(DNN!$P$9,EU$9,0))</f>
        <v>0</v>
      </c>
      <c r="EV77" s="84">
        <f ca="1">MAX(0, SUMPRODUCT($EN77:$ER77,OFFSET(DNN!$Q$9:$U$9,EV$9,0)) + OFFSET(DNN!$P$9,EV$9,0))</f>
        <v>1.2810123361902579E-3</v>
      </c>
      <c r="EW77" s="84">
        <f ca="1">MAX(0, SUMPRODUCT($EN77:$ER77,OFFSET(DNN!$Q$9:$U$9,EW$9,0)) + OFFSET(DNN!$P$9,EW$9,0))</f>
        <v>7.8382123007882457E-4</v>
      </c>
      <c r="EX77" s="85">
        <f ca="1">MAX(0, SUMPRODUCT($EN77:$ER77,OFFSET(DNN!$Q$9:$U$9,EX$9,0)) + OFFSET(DNN!$P$9,EX$9,0))</f>
        <v>0</v>
      </c>
      <c r="EZ77" s="111">
        <f ca="1">SUMPRODUCT($ET77:$EX77,OFFSET(DNN!$Y$9:$AC$9,EZ$9,0)) + OFFSET(DNN!$X$9,EZ$9,0)</f>
        <v>0.43031618918982212</v>
      </c>
      <c r="FA77" s="97">
        <f ca="1">SUMPRODUCT($ET77:$EX77,OFFSET(DNN!$Y$9:$AC$9,FA$9,0)) + OFFSET(DNN!$X$9,FA$9,0)</f>
        <v>-1.2643439935754107E-5</v>
      </c>
      <c r="FB77" s="97">
        <f ca="1">SUMPRODUCT($ET77:$EX77,OFFSET(DNN!$Y$9:$AC$9,FB$9,0)) + OFFSET(DNN!$X$9,FB$9,0)</f>
        <v>1.5239793458415756E-2</v>
      </c>
      <c r="FC77" s="97">
        <f ca="1">SUMPRODUCT($ET77:$EX77,OFFSET(DNN!$Y$9:$AC$9,FC$9,0)) + OFFSET(DNN!$X$9,FC$9,0)</f>
        <v>-8.8749521084055777E-4</v>
      </c>
      <c r="FD77" s="97">
        <f ca="1">SUMPRODUCT($ET77:$EX77,OFFSET(DNN!$Y$9:$AC$9,FD$9,0)) + OFFSET(DNN!$X$9,FD$9,0)</f>
        <v>-4.235816470721872E-4</v>
      </c>
      <c r="FE77" s="97">
        <f ca="1">SUMPRODUCT($ET77:$EX77,OFFSET(DNN!$Y$9:$AC$9,FE$9,0)) + OFFSET(DNN!$X$9,FE$9,0)</f>
        <v>-1.574182761064886E-5</v>
      </c>
      <c r="FF77" s="97">
        <f ca="1">SUMPRODUCT($ET77:$EX77,OFFSET(DNN!$Y$9:$AC$9,FF$9,0)) + OFFSET(DNN!$X$9,FF$9,0)</f>
        <v>-1.3491460223194656E-3</v>
      </c>
      <c r="FG77" s="97">
        <f ca="1">SUMPRODUCT($ET77:$EX77,OFFSET(DNN!$Y$9:$AC$9,FG$9,0)) + OFFSET(DNN!$X$9,FG$9,0)</f>
        <v>-6.2604808096248285E-2</v>
      </c>
      <c r="FH77" s="97">
        <f ca="1">SUMPRODUCT($ET77:$EX77,OFFSET(DNN!$Y$9:$AC$9,FH$9,0)) + OFFSET(DNN!$X$9,FH$9,0)</f>
        <v>8.6810016937029894E-4</v>
      </c>
      <c r="FI77" s="108">
        <f ca="1">SUMPRODUCT($ET77:$EX77,OFFSET(DNN!$Y$9:$AC$9,FI$9,0)) + OFFSET(DNN!$X$9,FI$9,0)</f>
        <v>-1.3182687612562751</v>
      </c>
      <c r="FJ77" s="98">
        <f ca="1">SUMPRODUCT($ET77:$EX77,OFFSET(DNN!$Y$9:$AC$9,FJ$9,0)) + OFFSET(DNN!$X$9,FJ$9,0)</f>
        <v>-2.2535161745939301E-5</v>
      </c>
      <c r="FL77" s="415">
        <f t="shared" ca="1" si="224"/>
        <v>0.43031618918982212</v>
      </c>
      <c r="FM77" s="130">
        <f t="shared" ca="1" si="225"/>
        <v>1</v>
      </c>
      <c r="FN77" s="131">
        <f t="shared" ca="1" si="226"/>
        <v>0.65029522127322903</v>
      </c>
      <c r="FO77" s="131">
        <f t="shared" ca="1" si="227"/>
        <v>0.66028983545318687</v>
      </c>
      <c r="FP77" s="131">
        <f t="shared" ca="1" si="228"/>
        <v>0.64972655813153501</v>
      </c>
      <c r="FQ77" s="131">
        <f t="shared" ca="1" si="229"/>
        <v>0.65002804502111444</v>
      </c>
      <c r="FR77" s="131">
        <f t="shared" ca="1" si="230"/>
        <v>0.65029320640965171</v>
      </c>
      <c r="FS77" s="131">
        <f t="shared" ca="1" si="231"/>
        <v>0.64942668056342145</v>
      </c>
      <c r="FT77" s="131">
        <f t="shared" ca="1" si="232"/>
        <v>0.61083952513994022</v>
      </c>
      <c r="FU77" s="132">
        <f t="shared" ca="1" si="233"/>
        <v>0.6508682169276182</v>
      </c>
      <c r="FV77" s="131">
        <f t="shared" ca="1" si="234"/>
        <v>0.17402001625314881</v>
      </c>
      <c r="FW77" s="83">
        <f t="shared" ca="1" si="235"/>
        <v>-2.2535161742124597E-5</v>
      </c>
    </row>
    <row r="78" spans="1:179">
      <c r="A78" s="19">
        <f t="shared" si="117"/>
        <v>68</v>
      </c>
      <c r="B78" s="1">
        <f t="shared" ca="1" si="236"/>
        <v>0</v>
      </c>
      <c r="C78" s="20">
        <f t="shared" ca="1" si="237"/>
        <v>68</v>
      </c>
      <c r="D78" s="19" t="str">
        <f t="shared" ca="1" si="238"/>
        <v>〇×〇×〇×--〇</v>
      </c>
      <c r="E78" s="7">
        <f t="shared" ca="1" si="206"/>
        <v>9</v>
      </c>
      <c r="F78" s="7">
        <f t="shared" ca="1" si="207"/>
        <v>1</v>
      </c>
      <c r="G78" s="1" t="str">
        <f t="shared" ca="1" si="139"/>
        <v>〇×〇×〇×--〇</v>
      </c>
      <c r="H78" s="20" t="b">
        <f t="shared" ca="1" si="140"/>
        <v>1</v>
      </c>
      <c r="I78" s="22">
        <f t="shared" ca="1" si="239"/>
        <v>-1</v>
      </c>
      <c r="J78" s="1" t="b">
        <f ca="1">(1&lt;COUNTIF(D$10:D78,D78))</f>
        <v>1</v>
      </c>
      <c r="K78" s="1" t="b">
        <f t="shared" ca="1" si="141"/>
        <v>1</v>
      </c>
      <c r="L78" s="7">
        <f ca="1">MATCH(TRUE,K78:K$1048576,FALSE)-1</f>
        <v>0</v>
      </c>
      <c r="M78" s="24" t="str">
        <f t="shared" ca="1" si="142"/>
        <v>〇×〇×〇×--〇_9</v>
      </c>
      <c r="N78" s="25">
        <f t="shared" ca="1" si="208"/>
        <v>-2.2535161742124597E-5</v>
      </c>
      <c r="O78" s="26">
        <f t="shared" ca="1" si="209"/>
        <v>-1</v>
      </c>
      <c r="P78" s="27">
        <f t="shared" ca="1" si="210"/>
        <v>-1</v>
      </c>
      <c r="R78" s="41" t="str">
        <f ca="1">VLOOKUP(S78,cvt!$B$2:$C$4,2,FALSE)&amp;VLOOKUP(T78,cvt!$B$2:$C$4,2,FALSE)&amp;VLOOKUP(U78,cvt!$B$2:$C$4,2,FALSE)
&amp;VLOOKUP(V78,cvt!$B$2:$C$4,2,FALSE)&amp;VLOOKUP(W78,cvt!$B$2:$C$4,2,FALSE)&amp;VLOOKUP(X78,cvt!$B$2:$C$4,2,FALSE)
&amp;VLOOKUP(Y78,cvt!$B$2:$C$4,2,FALSE)&amp;VLOOKUP(Z78,cvt!$B$2:$C$4,2,FALSE)&amp;VLOOKUP(AA78,cvt!$B$2:$C$4,2,FALSE)</f>
        <v>〇×〇×〇×--〇</v>
      </c>
      <c r="S78" s="7">
        <f ca="1">VLOOKUP(MID($D78,S$9+1,1), cvt!$A$2:$B$4,2, FALSE)</f>
        <v>1</v>
      </c>
      <c r="T78" s="7">
        <f ca="1">VLOOKUP(MID($D78,T$9+1,1), cvt!$A$2:$B$4,2, FALSE)</f>
        <v>-1</v>
      </c>
      <c r="U78" s="7">
        <f ca="1">VLOOKUP(MID($D78,U$9+1,1), cvt!$A$2:$B$4,2, FALSE)</f>
        <v>1</v>
      </c>
      <c r="V78" s="17">
        <f ca="1">VLOOKUP(MID($D78,V$9+1,1), cvt!$A$2:$B$4,2, FALSE)</f>
        <v>-1</v>
      </c>
      <c r="W78" s="7">
        <f ca="1">VLOOKUP(MID($D78,W$9+1,1), cvt!$A$2:$B$4,2, FALSE)</f>
        <v>1</v>
      </c>
      <c r="X78" s="18">
        <f ca="1">VLOOKUP(MID($D78,X$9+1,1), cvt!$A$2:$B$4,2, FALSE)</f>
        <v>-1</v>
      </c>
      <c r="Y78" s="7">
        <f ca="1">VLOOKUP(MID($D78,Y$9+1,1), cvt!$A$2:$B$4,2, FALSE)</f>
        <v>0</v>
      </c>
      <c r="Z78" s="7">
        <f ca="1">VLOOKUP(MID($D78,Z$9+1,1), cvt!$A$2:$B$4,2, FALSE)</f>
        <v>0</v>
      </c>
      <c r="AA78" s="42">
        <f ca="1">VLOOKUP(MID($D78,AA$9+1,1), cvt!$A$2:$B$4,2, FALSE)</f>
        <v>1</v>
      </c>
      <c r="AB78" s="7">
        <f t="shared" ca="1" si="211"/>
        <v>1</v>
      </c>
      <c r="AC78" s="50" t="b">
        <f t="shared" ca="1" si="212"/>
        <v>1</v>
      </c>
      <c r="AE78" s="19" t="str">
        <f ca="1">VLOOKUP(AF78,cvt!$B$2:$C$4,2,FALSE)&amp;VLOOKUP(AG78,cvt!$B$2:$C$4,2,FALSE)&amp;VLOOKUP(AH78,cvt!$B$2:$C$4,2,FALSE)
&amp;VLOOKUP(AI78,cvt!$B$2:$C$4,2,FALSE)&amp;VLOOKUP(AJ78,cvt!$B$2:$C$4,2,FALSE)&amp;VLOOKUP(AK78,cvt!$B$2:$C$4,2,FALSE)
&amp;VLOOKUP(AL78,cvt!$B$2:$C$4,2,FALSE)&amp;VLOOKUP(AM78,cvt!$B$2:$C$4,2,FALSE)&amp;VLOOKUP(AN78,cvt!$B$2:$C$4,2,FALSE)</f>
        <v>〇×〇×〇×--〇</v>
      </c>
      <c r="AF78" s="17">
        <f t="shared" ca="1" si="143"/>
        <v>1</v>
      </c>
      <c r="AG78" s="7">
        <f t="shared" ca="1" si="144"/>
        <v>-1</v>
      </c>
      <c r="AH78" s="7">
        <f t="shared" ca="1" si="145"/>
        <v>1</v>
      </c>
      <c r="AI78" s="17">
        <f t="shared" ca="1" si="146"/>
        <v>-1</v>
      </c>
      <c r="AJ78" s="7">
        <f t="shared" ca="1" si="147"/>
        <v>1</v>
      </c>
      <c r="AK78" s="18">
        <f t="shared" ca="1" si="148"/>
        <v>-1</v>
      </c>
      <c r="AL78" s="7">
        <f t="shared" ca="1" si="149"/>
        <v>0</v>
      </c>
      <c r="AM78" s="7">
        <f t="shared" ca="1" si="150"/>
        <v>0</v>
      </c>
      <c r="AN78" s="18">
        <f t="shared" ca="1" si="151"/>
        <v>1</v>
      </c>
      <c r="AO78" s="7">
        <f t="shared" ca="1" si="213"/>
        <v>1</v>
      </c>
      <c r="AP78" s="50" t="b">
        <f t="shared" ca="1" si="152"/>
        <v>1</v>
      </c>
      <c r="AS78" s="22">
        <f t="shared" ca="1" si="214"/>
        <v>0</v>
      </c>
      <c r="AT78" s="7">
        <f t="shared" ca="1" si="153"/>
        <v>0</v>
      </c>
      <c r="AU78" s="7">
        <f t="shared" ca="1" si="154"/>
        <v>0</v>
      </c>
      <c r="AV78" s="7">
        <f t="shared" ca="1" si="155"/>
        <v>0</v>
      </c>
      <c r="AW78" s="7">
        <f t="shared" ca="1" si="156"/>
        <v>0</v>
      </c>
      <c r="AX78" s="7">
        <f t="shared" ca="1" si="157"/>
        <v>0</v>
      </c>
      <c r="AY78" s="7">
        <f t="shared" ca="1" si="158"/>
        <v>0</v>
      </c>
      <c r="AZ78" s="7">
        <f t="shared" ca="1" si="159"/>
        <v>0</v>
      </c>
      <c r="BA78" s="18">
        <f t="shared" ca="1" si="160"/>
        <v>0</v>
      </c>
      <c r="BB78" s="295">
        <f t="shared" ca="1" si="215"/>
        <v>1</v>
      </c>
      <c r="BD78" s="132"/>
      <c r="BE78" s="297">
        <f t="shared" ca="1" si="216"/>
        <v>1</v>
      </c>
      <c r="BF78" s="298">
        <f t="shared" ca="1" si="161"/>
        <v>0.65029522127322903</v>
      </c>
      <c r="BG78" s="298">
        <f t="shared" ca="1" si="162"/>
        <v>0.66028983545318687</v>
      </c>
      <c r="BH78" s="318">
        <f t="shared" ca="1" si="163"/>
        <v>0.64972655813153501</v>
      </c>
      <c r="BI78" s="298">
        <f t="shared" ca="1" si="164"/>
        <v>0.65002804502111444</v>
      </c>
      <c r="BJ78" s="299">
        <f t="shared" ca="1" si="165"/>
        <v>0.65029320640965171</v>
      </c>
      <c r="BK78" s="298">
        <f t="shared" ca="1" si="166"/>
        <v>0.64942668056342145</v>
      </c>
      <c r="BL78" s="298">
        <f t="shared" ca="1" si="167"/>
        <v>0.61083952513994022</v>
      </c>
      <c r="BM78" s="299">
        <f t="shared" ca="1" si="168"/>
        <v>0.6508682169276182</v>
      </c>
      <c r="BN78" s="295">
        <f t="shared" ca="1" si="169"/>
        <v>0.17402001625314881</v>
      </c>
      <c r="BO78" s="248">
        <f t="shared" ca="1" si="217"/>
        <v>-2.2535161742124597E-5</v>
      </c>
      <c r="BQ78" s="304">
        <f t="shared" ca="1" si="218"/>
        <v>0.1741200162531488</v>
      </c>
      <c r="BR78" s="297">
        <f t="shared" ca="1" si="219"/>
        <v>0</v>
      </c>
      <c r="BS78" s="298">
        <f t="shared" ca="1" si="170"/>
        <v>0</v>
      </c>
      <c r="BT78" s="298">
        <f t="shared" ca="1" si="171"/>
        <v>0</v>
      </c>
      <c r="BU78" s="318">
        <f t="shared" ca="1" si="172"/>
        <v>0</v>
      </c>
      <c r="BV78" s="298">
        <f t="shared" ca="1" si="173"/>
        <v>0</v>
      </c>
      <c r="BW78" s="299">
        <f t="shared" ca="1" si="174"/>
        <v>0</v>
      </c>
      <c r="BX78" s="298">
        <f t="shared" ca="1" si="175"/>
        <v>0</v>
      </c>
      <c r="BY78" s="298">
        <f t="shared" ca="1" si="176"/>
        <v>0</v>
      </c>
      <c r="BZ78" s="298">
        <f t="shared" ca="1" si="177"/>
        <v>0</v>
      </c>
      <c r="CA78" s="315">
        <f t="shared" ca="1" si="178"/>
        <v>0.1741200162531488</v>
      </c>
      <c r="CC78" s="52"/>
      <c r="CD78" s="306">
        <f t="shared" ca="1" si="220"/>
        <v>0</v>
      </c>
      <c r="CE78" s="15">
        <f t="shared" ca="1" si="179"/>
        <v>0</v>
      </c>
      <c r="CF78" s="15">
        <f t="shared" ca="1" si="180"/>
        <v>0</v>
      </c>
      <c r="CG78" s="286">
        <f t="shared" ca="1" si="181"/>
        <v>0</v>
      </c>
      <c r="CH78" s="15">
        <f t="shared" ca="1" si="182"/>
        <v>0</v>
      </c>
      <c r="CI78" s="288">
        <f t="shared" ca="1" si="183"/>
        <v>0</v>
      </c>
      <c r="CJ78" s="15">
        <f t="shared" ca="1" si="184"/>
        <v>0</v>
      </c>
      <c r="CK78" s="15">
        <f t="shared" ca="1" si="185"/>
        <v>0</v>
      </c>
      <c r="CL78" s="15">
        <f t="shared" ca="1" si="186"/>
        <v>0</v>
      </c>
      <c r="CM78" s="313">
        <f t="shared" ca="1" si="187"/>
        <v>1</v>
      </c>
      <c r="CO78" s="320">
        <f t="shared" ca="1" si="221"/>
        <v>67</v>
      </c>
      <c r="CP78" s="22">
        <f ca="1">COUNTIFS($C$10:$C77,"&lt;"&amp;$C78,$M$10:$M77,$D78&amp;"_"&amp;CP$9)</f>
        <v>0</v>
      </c>
      <c r="CQ78" s="7">
        <f ca="1">COUNTIFS($C$10:$C77,"&lt;"&amp;$C78,$M$10:$M77,$D78&amp;"_"&amp;CQ$9)</f>
        <v>0</v>
      </c>
      <c r="CR78" s="7">
        <f ca="1">COUNTIFS($C$10:$C77,"&lt;"&amp;$C78,$M$10:$M77,$D78&amp;"_"&amp;CR$9)</f>
        <v>0</v>
      </c>
      <c r="CS78" s="17">
        <f ca="1">COUNTIFS($C$10:$C77,"&lt;"&amp;$C78,$M$10:$M77,$D78&amp;"_"&amp;CS$9)</f>
        <v>0</v>
      </c>
      <c r="CT78" s="7">
        <f ca="1">COUNTIFS($C$10:$C77,"&lt;"&amp;$C78,$M$10:$M77,$D78&amp;"_"&amp;CT$9)</f>
        <v>0</v>
      </c>
      <c r="CU78" s="18">
        <f ca="1">COUNTIFS($C$10:$C77,"&lt;"&amp;$C78,$M$10:$M77,$D78&amp;"_"&amp;CU$9)</f>
        <v>0</v>
      </c>
      <c r="CV78" s="7">
        <f ca="1">COUNTIFS($C$10:$C77,"&lt;"&amp;$C78,$M$10:$M77,$D78&amp;"_"&amp;CV$9)</f>
        <v>0</v>
      </c>
      <c r="CW78" s="7">
        <f ca="1">COUNTIFS($C$10:$C77,"&lt;"&amp;$C78,$M$10:$M77,$D78&amp;"_"&amp;CW$9)</f>
        <v>0</v>
      </c>
      <c r="CX78" s="7">
        <f ca="1">COUNTIFS($C$10:$C77,"&lt;"&amp;$C78,$M$10:$M77,$D78&amp;"_"&amp;CX$9)</f>
        <v>0</v>
      </c>
      <c r="CY78" s="221">
        <f ca="1">COUNTIFS($C$10:$C77,"&lt;"&amp;$C78,$M$10:$M77,$D78&amp;"_"&amp;CY$9)</f>
        <v>67</v>
      </c>
      <c r="DA78" s="20"/>
      <c r="DB78" s="308">
        <f ca="1">IF(CP78=0,0,SUMIFS($P$10:$P77, $C$10:$C77,"&lt;"&amp;$C78, $M$10:$M77,$D78&amp;"_"&amp;DB$9)/CP78)</f>
        <v>0</v>
      </c>
      <c r="DC78" s="263">
        <f ca="1">IF(CQ78=0,0,SUMIFS($P$10:$P77, $C$10:$C77,"&lt;"&amp;$C78, $M$10:$M77,$D78&amp;"_"&amp;DC$9)/CQ78)</f>
        <v>0</v>
      </c>
      <c r="DD78" s="263">
        <f ca="1">IF(CR78=0,0,SUMIFS($P$10:$P77, $C$10:$C77,"&lt;"&amp;$C78, $M$10:$M77,$D78&amp;"_"&amp;DD$9)/CR78)</f>
        <v>0</v>
      </c>
      <c r="DE78" s="262">
        <f ca="1">IF(CS78=0,0,SUMIFS($P$10:$P77, $C$10:$C77,"&lt;"&amp;$C78, $M$10:$M77,$D78&amp;"_"&amp;DE$9)/CS78)</f>
        <v>0</v>
      </c>
      <c r="DF78" s="263">
        <f ca="1">IF(CT78=0,0,SUMIFS($P$10:$P77, $C$10:$C77,"&lt;"&amp;$C78, $M$10:$M77,$D78&amp;"_"&amp;DF$9)/CT78)</f>
        <v>0</v>
      </c>
      <c r="DG78" s="310">
        <f ca="1">IF(CU78=0,0,SUMIFS($P$10:$P77, $C$10:$C77,"&lt;"&amp;$C78, $M$10:$M77,$D78&amp;"_"&amp;DG$9)/CU78)</f>
        <v>0</v>
      </c>
      <c r="DH78" s="263">
        <f ca="1">IF(CV78=0,0,SUMIFS($P$10:$P77, $C$10:$C77,"&lt;"&amp;$C78, $M$10:$M77,$D78&amp;"_"&amp;DH$9)/CV78)</f>
        <v>0</v>
      </c>
      <c r="DI78" s="263">
        <f ca="1">IF(CW78=0,0,SUMIFS($P$10:$P77, $C$10:$C77,"&lt;"&amp;$C78, $M$10:$M77,$D78&amp;"_"&amp;DI$9)/CW78)</f>
        <v>0</v>
      </c>
      <c r="DJ78" s="264">
        <f ca="1">IF(CX78=0,0,SUMIFS($P$10:$P77, $C$10:$C77,"&lt;"&amp;$C78, $M$10:$M77,$D78&amp;"_"&amp;DJ$9)/CX78)</f>
        <v>0</v>
      </c>
      <c r="DK78" s="264">
        <f ca="1">IF(CY78=0,0,SUMIFS($P$10:$P77, $C$10:$C77,"&lt;"&amp;$C78, $M$10:$M77,$D78&amp;"_"&amp;DK$9)/CY78)</f>
        <v>-1</v>
      </c>
      <c r="DM78" s="104"/>
      <c r="DN78" s="306">
        <f t="shared" ca="1" si="222"/>
        <v>-9999</v>
      </c>
      <c r="DO78" s="15">
        <f t="shared" ca="1" si="188"/>
        <v>-9999</v>
      </c>
      <c r="DP78" s="15">
        <f t="shared" ca="1" si="189"/>
        <v>-9999</v>
      </c>
      <c r="DQ78" s="15">
        <f t="shared" ca="1" si="190"/>
        <v>-9999</v>
      </c>
      <c r="DR78" s="15">
        <f t="shared" ca="1" si="191"/>
        <v>-9999</v>
      </c>
      <c r="DS78" s="15">
        <f t="shared" ca="1" si="192"/>
        <v>-9999</v>
      </c>
      <c r="DT78" s="15">
        <f t="shared" ca="1" si="193"/>
        <v>-9999</v>
      </c>
      <c r="DU78" s="15">
        <f t="shared" ca="1" si="194"/>
        <v>-9999</v>
      </c>
      <c r="DV78" s="52">
        <f t="shared" ca="1" si="195"/>
        <v>-9999</v>
      </c>
      <c r="DW78" s="313">
        <f t="shared" ca="1" si="196"/>
        <v>-0.87962716511952277</v>
      </c>
      <c r="DX78" s="52"/>
      <c r="DY78" s="402">
        <f t="shared" ca="1" si="223"/>
        <v>9</v>
      </c>
      <c r="ED78" s="19">
        <f t="shared" ca="1" si="197"/>
        <v>-1</v>
      </c>
      <c r="EE78" s="1">
        <f t="shared" ca="1" si="198"/>
        <v>1</v>
      </c>
      <c r="EF78" s="1">
        <f t="shared" ca="1" si="199"/>
        <v>-1</v>
      </c>
      <c r="EG78" s="2">
        <f t="shared" ca="1" si="200"/>
        <v>1</v>
      </c>
      <c r="EH78" s="1">
        <f t="shared" ca="1" si="201"/>
        <v>-1</v>
      </c>
      <c r="EI78" s="3">
        <f t="shared" ca="1" si="202"/>
        <v>1</v>
      </c>
      <c r="EJ78" s="1">
        <f t="shared" ca="1" si="203"/>
        <v>0</v>
      </c>
      <c r="EK78" s="1">
        <f t="shared" ca="1" si="204"/>
        <v>0</v>
      </c>
      <c r="EL78" s="20">
        <f t="shared" ca="1" si="205"/>
        <v>-1</v>
      </c>
      <c r="EN78" s="86">
        <f ca="1">MAX(0, SUMPRODUCT($ED78:$EL78,OFFSET(DNN!$E$9:$M$9,EN$9,0)) + OFFSET(DNN!$D$9,EN$9,0))</f>
        <v>0</v>
      </c>
      <c r="EO78" s="84">
        <f ca="1">MAX(0, SUMPRODUCT($ED78:$EL78,OFFSET(DNN!$E$9:$M$9,EO$9,0)) + OFFSET(DNN!$D$9,EO$9,0))</f>
        <v>7.2346022384755949E-3</v>
      </c>
      <c r="EP78" s="84">
        <f ca="1">MAX(0, SUMPRODUCT($ED78:$EL78,OFFSET(DNN!$E$9:$M$9,EP$9,0)) + OFFSET(DNN!$D$9,EP$9,0))</f>
        <v>3.6951849750035152E-3</v>
      </c>
      <c r="EQ78" s="84">
        <f ca="1">MAX(0, SUMPRODUCT($ED78:$EL78,OFFSET(DNN!$E$9:$M$9,EQ$9,0)) + OFFSET(DNN!$D$9,EQ$9,0))</f>
        <v>0</v>
      </c>
      <c r="ER78" s="85">
        <f ca="1">MAX(0, SUMPRODUCT($ED78:$EL78,OFFSET(DNN!$E$9:$M$9,ER$9,0)) + OFFSET(DNN!$D$9,ER$9,0))</f>
        <v>0</v>
      </c>
      <c r="ET78" s="86">
        <f ca="1">MAX(0, SUMPRODUCT($EN78:$ER78,OFFSET(DNN!$Q$9:$U$9,ET$9,0)) + OFFSET(DNN!$P$9,ET$9,0))</f>
        <v>4.3954959453478351E-4</v>
      </c>
      <c r="EU78" s="84">
        <f ca="1">MAX(0, SUMPRODUCT($EN78:$ER78,OFFSET(DNN!$Q$9:$U$9,EU$9,0)) + OFFSET(DNN!$P$9,EU$9,0))</f>
        <v>0</v>
      </c>
      <c r="EV78" s="84">
        <f ca="1">MAX(0, SUMPRODUCT($EN78:$ER78,OFFSET(DNN!$Q$9:$U$9,EV$9,0)) + OFFSET(DNN!$P$9,EV$9,0))</f>
        <v>1.2810123361902579E-3</v>
      </c>
      <c r="EW78" s="84">
        <f ca="1">MAX(0, SUMPRODUCT($EN78:$ER78,OFFSET(DNN!$Q$9:$U$9,EW$9,0)) + OFFSET(DNN!$P$9,EW$9,0))</f>
        <v>7.8382123007882457E-4</v>
      </c>
      <c r="EX78" s="85">
        <f ca="1">MAX(0, SUMPRODUCT($EN78:$ER78,OFFSET(DNN!$Q$9:$U$9,EX$9,0)) + OFFSET(DNN!$P$9,EX$9,0))</f>
        <v>0</v>
      </c>
      <c r="EZ78" s="111">
        <f ca="1">SUMPRODUCT($ET78:$EX78,OFFSET(DNN!$Y$9:$AC$9,EZ$9,0)) + OFFSET(DNN!$X$9,EZ$9,0)</f>
        <v>0.43031618918982212</v>
      </c>
      <c r="FA78" s="97">
        <f ca="1">SUMPRODUCT($ET78:$EX78,OFFSET(DNN!$Y$9:$AC$9,FA$9,0)) + OFFSET(DNN!$X$9,FA$9,0)</f>
        <v>-1.2643439935754107E-5</v>
      </c>
      <c r="FB78" s="97">
        <f ca="1">SUMPRODUCT($ET78:$EX78,OFFSET(DNN!$Y$9:$AC$9,FB$9,0)) + OFFSET(DNN!$X$9,FB$9,0)</f>
        <v>1.5239793458415756E-2</v>
      </c>
      <c r="FC78" s="97">
        <f ca="1">SUMPRODUCT($ET78:$EX78,OFFSET(DNN!$Y$9:$AC$9,FC$9,0)) + OFFSET(DNN!$X$9,FC$9,0)</f>
        <v>-8.8749521084055777E-4</v>
      </c>
      <c r="FD78" s="97">
        <f ca="1">SUMPRODUCT($ET78:$EX78,OFFSET(DNN!$Y$9:$AC$9,FD$9,0)) + OFFSET(DNN!$X$9,FD$9,0)</f>
        <v>-4.235816470721872E-4</v>
      </c>
      <c r="FE78" s="97">
        <f ca="1">SUMPRODUCT($ET78:$EX78,OFFSET(DNN!$Y$9:$AC$9,FE$9,0)) + OFFSET(DNN!$X$9,FE$9,0)</f>
        <v>-1.574182761064886E-5</v>
      </c>
      <c r="FF78" s="97">
        <f ca="1">SUMPRODUCT($ET78:$EX78,OFFSET(DNN!$Y$9:$AC$9,FF$9,0)) + OFFSET(DNN!$X$9,FF$9,0)</f>
        <v>-1.3491460223194656E-3</v>
      </c>
      <c r="FG78" s="97">
        <f ca="1">SUMPRODUCT($ET78:$EX78,OFFSET(DNN!$Y$9:$AC$9,FG$9,0)) + OFFSET(DNN!$X$9,FG$9,0)</f>
        <v>-6.2604808096248285E-2</v>
      </c>
      <c r="FH78" s="97">
        <f ca="1">SUMPRODUCT($ET78:$EX78,OFFSET(DNN!$Y$9:$AC$9,FH$9,0)) + OFFSET(DNN!$X$9,FH$9,0)</f>
        <v>8.6810016937029894E-4</v>
      </c>
      <c r="FI78" s="108">
        <f ca="1">SUMPRODUCT($ET78:$EX78,OFFSET(DNN!$Y$9:$AC$9,FI$9,0)) + OFFSET(DNN!$X$9,FI$9,0)</f>
        <v>-1.3182687612562751</v>
      </c>
      <c r="FJ78" s="98">
        <f ca="1">SUMPRODUCT($ET78:$EX78,OFFSET(DNN!$Y$9:$AC$9,FJ$9,0)) + OFFSET(DNN!$X$9,FJ$9,0)</f>
        <v>-2.2535161745939301E-5</v>
      </c>
      <c r="FL78" s="415">
        <f t="shared" ca="1" si="224"/>
        <v>0.43031618918982212</v>
      </c>
      <c r="FM78" s="130">
        <f t="shared" ca="1" si="225"/>
        <v>1</v>
      </c>
      <c r="FN78" s="131">
        <f t="shared" ca="1" si="226"/>
        <v>0.65029522127322903</v>
      </c>
      <c r="FO78" s="131">
        <f t="shared" ca="1" si="227"/>
        <v>0.66028983545318687</v>
      </c>
      <c r="FP78" s="131">
        <f t="shared" ca="1" si="228"/>
        <v>0.64972655813153501</v>
      </c>
      <c r="FQ78" s="131">
        <f t="shared" ca="1" si="229"/>
        <v>0.65002804502111444</v>
      </c>
      <c r="FR78" s="131">
        <f t="shared" ca="1" si="230"/>
        <v>0.65029320640965171</v>
      </c>
      <c r="FS78" s="131">
        <f t="shared" ca="1" si="231"/>
        <v>0.64942668056342145</v>
      </c>
      <c r="FT78" s="131">
        <f t="shared" ca="1" si="232"/>
        <v>0.61083952513994022</v>
      </c>
      <c r="FU78" s="132">
        <f t="shared" ca="1" si="233"/>
        <v>0.6508682169276182</v>
      </c>
      <c r="FV78" s="131">
        <f t="shared" ca="1" si="234"/>
        <v>0.17402001625314881</v>
      </c>
      <c r="FW78" s="83">
        <f t="shared" ca="1" si="235"/>
        <v>-2.2535161742124597E-5</v>
      </c>
    </row>
    <row r="79" spans="1:179">
      <c r="A79" s="19">
        <f t="shared" si="117"/>
        <v>69</v>
      </c>
      <c r="B79" s="1">
        <f t="shared" ca="1" si="236"/>
        <v>0</v>
      </c>
      <c r="C79" s="20">
        <f t="shared" ca="1" si="237"/>
        <v>69</v>
      </c>
      <c r="D79" s="19" t="str">
        <f t="shared" ca="1" si="238"/>
        <v>〇×〇×〇×--〇</v>
      </c>
      <c r="E79" s="7">
        <f t="shared" ca="1" si="206"/>
        <v>9</v>
      </c>
      <c r="F79" s="7">
        <f t="shared" ca="1" si="207"/>
        <v>1</v>
      </c>
      <c r="G79" s="1" t="str">
        <f t="shared" ca="1" si="139"/>
        <v>〇×〇×〇×--〇</v>
      </c>
      <c r="H79" s="20" t="b">
        <f t="shared" ca="1" si="140"/>
        <v>1</v>
      </c>
      <c r="I79" s="22">
        <f t="shared" ca="1" si="239"/>
        <v>-1</v>
      </c>
      <c r="J79" s="1" t="b">
        <f ca="1">(1&lt;COUNTIF(D$10:D79,D79))</f>
        <v>1</v>
      </c>
      <c r="K79" s="1" t="b">
        <f t="shared" ca="1" si="141"/>
        <v>1</v>
      </c>
      <c r="L79" s="7">
        <f ca="1">MATCH(TRUE,K79:K$1048576,FALSE)-1</f>
        <v>0</v>
      </c>
      <c r="M79" s="24" t="str">
        <f t="shared" ca="1" si="142"/>
        <v>〇×〇×〇×--〇_9</v>
      </c>
      <c r="N79" s="25">
        <f t="shared" ca="1" si="208"/>
        <v>-2.2535161742124597E-5</v>
      </c>
      <c r="O79" s="26">
        <f t="shared" ca="1" si="209"/>
        <v>-1</v>
      </c>
      <c r="P79" s="27">
        <f t="shared" ca="1" si="210"/>
        <v>-1</v>
      </c>
      <c r="R79" s="41" t="str">
        <f ca="1">VLOOKUP(S79,cvt!$B$2:$C$4,2,FALSE)&amp;VLOOKUP(T79,cvt!$B$2:$C$4,2,FALSE)&amp;VLOOKUP(U79,cvt!$B$2:$C$4,2,FALSE)
&amp;VLOOKUP(V79,cvt!$B$2:$C$4,2,FALSE)&amp;VLOOKUP(W79,cvt!$B$2:$C$4,2,FALSE)&amp;VLOOKUP(X79,cvt!$B$2:$C$4,2,FALSE)
&amp;VLOOKUP(Y79,cvt!$B$2:$C$4,2,FALSE)&amp;VLOOKUP(Z79,cvt!$B$2:$C$4,2,FALSE)&amp;VLOOKUP(AA79,cvt!$B$2:$C$4,2,FALSE)</f>
        <v>〇×〇×〇×--〇</v>
      </c>
      <c r="S79" s="7">
        <f ca="1">VLOOKUP(MID($D79,S$9+1,1), cvt!$A$2:$B$4,2, FALSE)</f>
        <v>1</v>
      </c>
      <c r="T79" s="7">
        <f ca="1">VLOOKUP(MID($D79,T$9+1,1), cvt!$A$2:$B$4,2, FALSE)</f>
        <v>-1</v>
      </c>
      <c r="U79" s="7">
        <f ca="1">VLOOKUP(MID($D79,U$9+1,1), cvt!$A$2:$B$4,2, FALSE)</f>
        <v>1</v>
      </c>
      <c r="V79" s="17">
        <f ca="1">VLOOKUP(MID($D79,V$9+1,1), cvt!$A$2:$B$4,2, FALSE)</f>
        <v>-1</v>
      </c>
      <c r="W79" s="7">
        <f ca="1">VLOOKUP(MID($D79,W$9+1,1), cvt!$A$2:$B$4,2, FALSE)</f>
        <v>1</v>
      </c>
      <c r="X79" s="18">
        <f ca="1">VLOOKUP(MID($D79,X$9+1,1), cvt!$A$2:$B$4,2, FALSE)</f>
        <v>-1</v>
      </c>
      <c r="Y79" s="7">
        <f ca="1">VLOOKUP(MID($D79,Y$9+1,1), cvt!$A$2:$B$4,2, FALSE)</f>
        <v>0</v>
      </c>
      <c r="Z79" s="7">
        <f ca="1">VLOOKUP(MID($D79,Z$9+1,1), cvt!$A$2:$B$4,2, FALSE)</f>
        <v>0</v>
      </c>
      <c r="AA79" s="42">
        <f ca="1">VLOOKUP(MID($D79,AA$9+1,1), cvt!$A$2:$B$4,2, FALSE)</f>
        <v>1</v>
      </c>
      <c r="AB79" s="7">
        <f t="shared" ca="1" si="211"/>
        <v>1</v>
      </c>
      <c r="AC79" s="50" t="b">
        <f t="shared" ca="1" si="212"/>
        <v>1</v>
      </c>
      <c r="AE79" s="19" t="str">
        <f ca="1">VLOOKUP(AF79,cvt!$B$2:$C$4,2,FALSE)&amp;VLOOKUP(AG79,cvt!$B$2:$C$4,2,FALSE)&amp;VLOOKUP(AH79,cvt!$B$2:$C$4,2,FALSE)
&amp;VLOOKUP(AI79,cvt!$B$2:$C$4,2,FALSE)&amp;VLOOKUP(AJ79,cvt!$B$2:$C$4,2,FALSE)&amp;VLOOKUP(AK79,cvt!$B$2:$C$4,2,FALSE)
&amp;VLOOKUP(AL79,cvt!$B$2:$C$4,2,FALSE)&amp;VLOOKUP(AM79,cvt!$B$2:$C$4,2,FALSE)&amp;VLOOKUP(AN79,cvt!$B$2:$C$4,2,FALSE)</f>
        <v>〇×〇×〇×--〇</v>
      </c>
      <c r="AF79" s="17">
        <f t="shared" ca="1" si="143"/>
        <v>1</v>
      </c>
      <c r="AG79" s="7">
        <f t="shared" ca="1" si="144"/>
        <v>-1</v>
      </c>
      <c r="AH79" s="7">
        <f t="shared" ca="1" si="145"/>
        <v>1</v>
      </c>
      <c r="AI79" s="17">
        <f t="shared" ca="1" si="146"/>
        <v>-1</v>
      </c>
      <c r="AJ79" s="7">
        <f t="shared" ca="1" si="147"/>
        <v>1</v>
      </c>
      <c r="AK79" s="18">
        <f t="shared" ca="1" si="148"/>
        <v>-1</v>
      </c>
      <c r="AL79" s="7">
        <f t="shared" ca="1" si="149"/>
        <v>0</v>
      </c>
      <c r="AM79" s="7">
        <f t="shared" ca="1" si="150"/>
        <v>0</v>
      </c>
      <c r="AN79" s="18">
        <f t="shared" ca="1" si="151"/>
        <v>1</v>
      </c>
      <c r="AO79" s="7">
        <f t="shared" ca="1" si="213"/>
        <v>1</v>
      </c>
      <c r="AP79" s="50" t="b">
        <f t="shared" ca="1" si="152"/>
        <v>1</v>
      </c>
      <c r="AS79" s="22">
        <f t="shared" ca="1" si="214"/>
        <v>0</v>
      </c>
      <c r="AT79" s="7">
        <f t="shared" ca="1" si="153"/>
        <v>0</v>
      </c>
      <c r="AU79" s="7">
        <f t="shared" ca="1" si="154"/>
        <v>0</v>
      </c>
      <c r="AV79" s="7">
        <f t="shared" ca="1" si="155"/>
        <v>0</v>
      </c>
      <c r="AW79" s="7">
        <f t="shared" ca="1" si="156"/>
        <v>0</v>
      </c>
      <c r="AX79" s="7">
        <f t="shared" ca="1" si="157"/>
        <v>0</v>
      </c>
      <c r="AY79" s="7">
        <f t="shared" ca="1" si="158"/>
        <v>0</v>
      </c>
      <c r="AZ79" s="7">
        <f t="shared" ca="1" si="159"/>
        <v>0</v>
      </c>
      <c r="BA79" s="18">
        <f t="shared" ca="1" si="160"/>
        <v>0</v>
      </c>
      <c r="BB79" s="295">
        <f t="shared" ca="1" si="215"/>
        <v>1</v>
      </c>
      <c r="BD79" s="132"/>
      <c r="BE79" s="297">
        <f t="shared" ca="1" si="216"/>
        <v>1</v>
      </c>
      <c r="BF79" s="298">
        <f t="shared" ca="1" si="161"/>
        <v>0.65029522127322903</v>
      </c>
      <c r="BG79" s="298">
        <f t="shared" ca="1" si="162"/>
        <v>0.66028983545318687</v>
      </c>
      <c r="BH79" s="318">
        <f t="shared" ca="1" si="163"/>
        <v>0.64972655813153501</v>
      </c>
      <c r="BI79" s="298">
        <f t="shared" ca="1" si="164"/>
        <v>0.65002804502111444</v>
      </c>
      <c r="BJ79" s="299">
        <f t="shared" ca="1" si="165"/>
        <v>0.65029320640965171</v>
      </c>
      <c r="BK79" s="298">
        <f t="shared" ca="1" si="166"/>
        <v>0.64942668056342145</v>
      </c>
      <c r="BL79" s="298">
        <f t="shared" ca="1" si="167"/>
        <v>0.61083952513994022</v>
      </c>
      <c r="BM79" s="299">
        <f t="shared" ca="1" si="168"/>
        <v>0.6508682169276182</v>
      </c>
      <c r="BN79" s="295">
        <f t="shared" ca="1" si="169"/>
        <v>0.17402001625314881</v>
      </c>
      <c r="BO79" s="248">
        <f t="shared" ca="1" si="217"/>
        <v>-2.2535161742124597E-5</v>
      </c>
      <c r="BQ79" s="304">
        <f t="shared" ca="1" si="218"/>
        <v>0.42412001625314877</v>
      </c>
      <c r="BR79" s="297">
        <f t="shared" ca="1" si="219"/>
        <v>0</v>
      </c>
      <c r="BS79" s="298">
        <f t="shared" ca="1" si="170"/>
        <v>0</v>
      </c>
      <c r="BT79" s="298">
        <f t="shared" ca="1" si="171"/>
        <v>0</v>
      </c>
      <c r="BU79" s="318">
        <f t="shared" ca="1" si="172"/>
        <v>0</v>
      </c>
      <c r="BV79" s="298">
        <f t="shared" ca="1" si="173"/>
        <v>0</v>
      </c>
      <c r="BW79" s="299">
        <f t="shared" ca="1" si="174"/>
        <v>0</v>
      </c>
      <c r="BX79" s="298">
        <f t="shared" ca="1" si="175"/>
        <v>0</v>
      </c>
      <c r="BY79" s="298">
        <f t="shared" ca="1" si="176"/>
        <v>0</v>
      </c>
      <c r="BZ79" s="298">
        <f t="shared" ca="1" si="177"/>
        <v>0</v>
      </c>
      <c r="CA79" s="315">
        <f t="shared" ca="1" si="178"/>
        <v>0.42412001625314877</v>
      </c>
      <c r="CC79" s="52"/>
      <c r="CD79" s="306">
        <f t="shared" ca="1" si="220"/>
        <v>0</v>
      </c>
      <c r="CE79" s="15">
        <f t="shared" ca="1" si="179"/>
        <v>0</v>
      </c>
      <c r="CF79" s="15">
        <f t="shared" ca="1" si="180"/>
        <v>0</v>
      </c>
      <c r="CG79" s="286">
        <f t="shared" ca="1" si="181"/>
        <v>0</v>
      </c>
      <c r="CH79" s="15">
        <f t="shared" ca="1" si="182"/>
        <v>0</v>
      </c>
      <c r="CI79" s="288">
        <f t="shared" ca="1" si="183"/>
        <v>0</v>
      </c>
      <c r="CJ79" s="15">
        <f t="shared" ca="1" si="184"/>
        <v>0</v>
      </c>
      <c r="CK79" s="15">
        <f t="shared" ca="1" si="185"/>
        <v>0</v>
      </c>
      <c r="CL79" s="15">
        <f t="shared" ca="1" si="186"/>
        <v>0</v>
      </c>
      <c r="CM79" s="313">
        <f t="shared" ca="1" si="187"/>
        <v>1</v>
      </c>
      <c r="CO79" s="320">
        <f t="shared" ca="1" si="221"/>
        <v>68</v>
      </c>
      <c r="CP79" s="22">
        <f ca="1">COUNTIFS($C$10:$C78,"&lt;"&amp;$C79,$M$10:$M78,$D79&amp;"_"&amp;CP$9)</f>
        <v>0</v>
      </c>
      <c r="CQ79" s="7">
        <f ca="1">COUNTIFS($C$10:$C78,"&lt;"&amp;$C79,$M$10:$M78,$D79&amp;"_"&amp;CQ$9)</f>
        <v>0</v>
      </c>
      <c r="CR79" s="7">
        <f ca="1">COUNTIFS($C$10:$C78,"&lt;"&amp;$C79,$M$10:$M78,$D79&amp;"_"&amp;CR$9)</f>
        <v>0</v>
      </c>
      <c r="CS79" s="17">
        <f ca="1">COUNTIFS($C$10:$C78,"&lt;"&amp;$C79,$M$10:$M78,$D79&amp;"_"&amp;CS$9)</f>
        <v>0</v>
      </c>
      <c r="CT79" s="7">
        <f ca="1">COUNTIFS($C$10:$C78,"&lt;"&amp;$C79,$M$10:$M78,$D79&amp;"_"&amp;CT$9)</f>
        <v>0</v>
      </c>
      <c r="CU79" s="18">
        <f ca="1">COUNTIFS($C$10:$C78,"&lt;"&amp;$C79,$M$10:$M78,$D79&amp;"_"&amp;CU$9)</f>
        <v>0</v>
      </c>
      <c r="CV79" s="7">
        <f ca="1">COUNTIFS($C$10:$C78,"&lt;"&amp;$C79,$M$10:$M78,$D79&amp;"_"&amp;CV$9)</f>
        <v>0</v>
      </c>
      <c r="CW79" s="7">
        <f ca="1">COUNTIFS($C$10:$C78,"&lt;"&amp;$C79,$M$10:$M78,$D79&amp;"_"&amp;CW$9)</f>
        <v>0</v>
      </c>
      <c r="CX79" s="7">
        <f ca="1">COUNTIFS($C$10:$C78,"&lt;"&amp;$C79,$M$10:$M78,$D79&amp;"_"&amp;CX$9)</f>
        <v>0</v>
      </c>
      <c r="CY79" s="221">
        <f ca="1">COUNTIFS($C$10:$C78,"&lt;"&amp;$C79,$M$10:$M78,$D79&amp;"_"&amp;CY$9)</f>
        <v>68</v>
      </c>
      <c r="DA79" s="20"/>
      <c r="DB79" s="308">
        <f ca="1">IF(CP79=0,0,SUMIFS($P$10:$P78, $C$10:$C78,"&lt;"&amp;$C79, $M$10:$M78,$D79&amp;"_"&amp;DB$9)/CP79)</f>
        <v>0</v>
      </c>
      <c r="DC79" s="263">
        <f ca="1">IF(CQ79=0,0,SUMIFS($P$10:$P78, $C$10:$C78,"&lt;"&amp;$C79, $M$10:$M78,$D79&amp;"_"&amp;DC$9)/CQ79)</f>
        <v>0</v>
      </c>
      <c r="DD79" s="263">
        <f ca="1">IF(CR79=0,0,SUMIFS($P$10:$P78, $C$10:$C78,"&lt;"&amp;$C79, $M$10:$M78,$D79&amp;"_"&amp;DD$9)/CR79)</f>
        <v>0</v>
      </c>
      <c r="DE79" s="262">
        <f ca="1">IF(CS79=0,0,SUMIFS($P$10:$P78, $C$10:$C78,"&lt;"&amp;$C79, $M$10:$M78,$D79&amp;"_"&amp;DE$9)/CS79)</f>
        <v>0</v>
      </c>
      <c r="DF79" s="263">
        <f ca="1">IF(CT79=0,0,SUMIFS($P$10:$P78, $C$10:$C78,"&lt;"&amp;$C79, $M$10:$M78,$D79&amp;"_"&amp;DF$9)/CT79)</f>
        <v>0</v>
      </c>
      <c r="DG79" s="310">
        <f ca="1">IF(CU79=0,0,SUMIFS($P$10:$P78, $C$10:$C78,"&lt;"&amp;$C79, $M$10:$M78,$D79&amp;"_"&amp;DG$9)/CU79)</f>
        <v>0</v>
      </c>
      <c r="DH79" s="263">
        <f ca="1">IF(CV79=0,0,SUMIFS($P$10:$P78, $C$10:$C78,"&lt;"&amp;$C79, $M$10:$M78,$D79&amp;"_"&amp;DH$9)/CV79)</f>
        <v>0</v>
      </c>
      <c r="DI79" s="263">
        <f ca="1">IF(CW79=0,0,SUMIFS($P$10:$P78, $C$10:$C78,"&lt;"&amp;$C79, $M$10:$M78,$D79&amp;"_"&amp;DI$9)/CW79)</f>
        <v>0</v>
      </c>
      <c r="DJ79" s="264">
        <f ca="1">IF(CX79=0,0,SUMIFS($P$10:$P78, $C$10:$C78,"&lt;"&amp;$C79, $M$10:$M78,$D79&amp;"_"&amp;DJ$9)/CX79)</f>
        <v>0</v>
      </c>
      <c r="DK79" s="264">
        <f ca="1">IF(CY79=0,0,SUMIFS($P$10:$P78, $C$10:$C78,"&lt;"&amp;$C79, $M$10:$M78,$D79&amp;"_"&amp;DK$9)/CY79)</f>
        <v>-1</v>
      </c>
      <c r="DM79" s="104"/>
      <c r="DN79" s="306">
        <f t="shared" ca="1" si="222"/>
        <v>-9999</v>
      </c>
      <c r="DO79" s="15">
        <f t="shared" ca="1" si="188"/>
        <v>-9999</v>
      </c>
      <c r="DP79" s="15">
        <f t="shared" ca="1" si="189"/>
        <v>-9999</v>
      </c>
      <c r="DQ79" s="15">
        <f t="shared" ca="1" si="190"/>
        <v>-9999</v>
      </c>
      <c r="DR79" s="15">
        <f t="shared" ca="1" si="191"/>
        <v>-9999</v>
      </c>
      <c r="DS79" s="15">
        <f t="shared" ca="1" si="192"/>
        <v>-9999</v>
      </c>
      <c r="DT79" s="15">
        <f t="shared" ca="1" si="193"/>
        <v>-9999</v>
      </c>
      <c r="DU79" s="15">
        <f t="shared" ca="1" si="194"/>
        <v>-9999</v>
      </c>
      <c r="DV79" s="52">
        <f t="shared" ca="1" si="195"/>
        <v>-9999</v>
      </c>
      <c r="DW79" s="313">
        <f t="shared" ca="1" si="196"/>
        <v>-0.88048969201108229</v>
      </c>
      <c r="DX79" s="52"/>
      <c r="DY79" s="402">
        <f t="shared" ca="1" si="223"/>
        <v>9</v>
      </c>
      <c r="ED79" s="19">
        <f t="shared" ca="1" si="197"/>
        <v>-1</v>
      </c>
      <c r="EE79" s="1">
        <f t="shared" ca="1" si="198"/>
        <v>1</v>
      </c>
      <c r="EF79" s="1">
        <f t="shared" ca="1" si="199"/>
        <v>-1</v>
      </c>
      <c r="EG79" s="2">
        <f t="shared" ca="1" si="200"/>
        <v>1</v>
      </c>
      <c r="EH79" s="1">
        <f t="shared" ca="1" si="201"/>
        <v>-1</v>
      </c>
      <c r="EI79" s="3">
        <f t="shared" ca="1" si="202"/>
        <v>1</v>
      </c>
      <c r="EJ79" s="1">
        <f t="shared" ca="1" si="203"/>
        <v>0</v>
      </c>
      <c r="EK79" s="1">
        <f t="shared" ca="1" si="204"/>
        <v>0</v>
      </c>
      <c r="EL79" s="20">
        <f t="shared" ca="1" si="205"/>
        <v>-1</v>
      </c>
      <c r="EN79" s="86">
        <f ca="1">MAX(0, SUMPRODUCT($ED79:$EL79,OFFSET(DNN!$E$9:$M$9,EN$9,0)) + OFFSET(DNN!$D$9,EN$9,0))</f>
        <v>0</v>
      </c>
      <c r="EO79" s="84">
        <f ca="1">MAX(0, SUMPRODUCT($ED79:$EL79,OFFSET(DNN!$E$9:$M$9,EO$9,0)) + OFFSET(DNN!$D$9,EO$9,0))</f>
        <v>7.2346022384755949E-3</v>
      </c>
      <c r="EP79" s="84">
        <f ca="1">MAX(0, SUMPRODUCT($ED79:$EL79,OFFSET(DNN!$E$9:$M$9,EP$9,0)) + OFFSET(DNN!$D$9,EP$9,0))</f>
        <v>3.6951849750035152E-3</v>
      </c>
      <c r="EQ79" s="84">
        <f ca="1">MAX(0, SUMPRODUCT($ED79:$EL79,OFFSET(DNN!$E$9:$M$9,EQ$9,0)) + OFFSET(DNN!$D$9,EQ$9,0))</f>
        <v>0</v>
      </c>
      <c r="ER79" s="85">
        <f ca="1">MAX(0, SUMPRODUCT($ED79:$EL79,OFFSET(DNN!$E$9:$M$9,ER$9,0)) + OFFSET(DNN!$D$9,ER$9,0))</f>
        <v>0</v>
      </c>
      <c r="ET79" s="86">
        <f ca="1">MAX(0, SUMPRODUCT($EN79:$ER79,OFFSET(DNN!$Q$9:$U$9,ET$9,0)) + OFFSET(DNN!$P$9,ET$9,0))</f>
        <v>4.3954959453478351E-4</v>
      </c>
      <c r="EU79" s="84">
        <f ca="1">MAX(0, SUMPRODUCT($EN79:$ER79,OFFSET(DNN!$Q$9:$U$9,EU$9,0)) + OFFSET(DNN!$P$9,EU$9,0))</f>
        <v>0</v>
      </c>
      <c r="EV79" s="84">
        <f ca="1">MAX(0, SUMPRODUCT($EN79:$ER79,OFFSET(DNN!$Q$9:$U$9,EV$9,0)) + OFFSET(DNN!$P$9,EV$9,0))</f>
        <v>1.2810123361902579E-3</v>
      </c>
      <c r="EW79" s="84">
        <f ca="1">MAX(0, SUMPRODUCT($EN79:$ER79,OFFSET(DNN!$Q$9:$U$9,EW$9,0)) + OFFSET(DNN!$P$9,EW$9,0))</f>
        <v>7.8382123007882457E-4</v>
      </c>
      <c r="EX79" s="85">
        <f ca="1">MAX(0, SUMPRODUCT($EN79:$ER79,OFFSET(DNN!$Q$9:$U$9,EX$9,0)) + OFFSET(DNN!$P$9,EX$9,0))</f>
        <v>0</v>
      </c>
      <c r="EZ79" s="111">
        <f ca="1">SUMPRODUCT($ET79:$EX79,OFFSET(DNN!$Y$9:$AC$9,EZ$9,0)) + OFFSET(DNN!$X$9,EZ$9,0)</f>
        <v>0.43031618918982212</v>
      </c>
      <c r="FA79" s="97">
        <f ca="1">SUMPRODUCT($ET79:$EX79,OFFSET(DNN!$Y$9:$AC$9,FA$9,0)) + OFFSET(DNN!$X$9,FA$9,0)</f>
        <v>-1.2643439935754107E-5</v>
      </c>
      <c r="FB79" s="97">
        <f ca="1">SUMPRODUCT($ET79:$EX79,OFFSET(DNN!$Y$9:$AC$9,FB$9,0)) + OFFSET(DNN!$X$9,FB$9,0)</f>
        <v>1.5239793458415756E-2</v>
      </c>
      <c r="FC79" s="97">
        <f ca="1">SUMPRODUCT($ET79:$EX79,OFFSET(DNN!$Y$9:$AC$9,FC$9,0)) + OFFSET(DNN!$X$9,FC$9,0)</f>
        <v>-8.8749521084055777E-4</v>
      </c>
      <c r="FD79" s="97">
        <f ca="1">SUMPRODUCT($ET79:$EX79,OFFSET(DNN!$Y$9:$AC$9,FD$9,0)) + OFFSET(DNN!$X$9,FD$9,0)</f>
        <v>-4.235816470721872E-4</v>
      </c>
      <c r="FE79" s="97">
        <f ca="1">SUMPRODUCT($ET79:$EX79,OFFSET(DNN!$Y$9:$AC$9,FE$9,0)) + OFFSET(DNN!$X$9,FE$9,0)</f>
        <v>-1.574182761064886E-5</v>
      </c>
      <c r="FF79" s="97">
        <f ca="1">SUMPRODUCT($ET79:$EX79,OFFSET(DNN!$Y$9:$AC$9,FF$9,0)) + OFFSET(DNN!$X$9,FF$9,0)</f>
        <v>-1.3491460223194656E-3</v>
      </c>
      <c r="FG79" s="97">
        <f ca="1">SUMPRODUCT($ET79:$EX79,OFFSET(DNN!$Y$9:$AC$9,FG$9,0)) + OFFSET(DNN!$X$9,FG$9,0)</f>
        <v>-6.2604808096248285E-2</v>
      </c>
      <c r="FH79" s="97">
        <f ca="1">SUMPRODUCT($ET79:$EX79,OFFSET(DNN!$Y$9:$AC$9,FH$9,0)) + OFFSET(DNN!$X$9,FH$9,0)</f>
        <v>8.6810016937029894E-4</v>
      </c>
      <c r="FI79" s="108">
        <f ca="1">SUMPRODUCT($ET79:$EX79,OFFSET(DNN!$Y$9:$AC$9,FI$9,0)) + OFFSET(DNN!$X$9,FI$9,0)</f>
        <v>-1.3182687612562751</v>
      </c>
      <c r="FJ79" s="98">
        <f ca="1">SUMPRODUCT($ET79:$EX79,OFFSET(DNN!$Y$9:$AC$9,FJ$9,0)) + OFFSET(DNN!$X$9,FJ$9,0)</f>
        <v>-2.2535161745939301E-5</v>
      </c>
      <c r="FL79" s="415">
        <f t="shared" ca="1" si="224"/>
        <v>0.43031618918982212</v>
      </c>
      <c r="FM79" s="130">
        <f t="shared" ca="1" si="225"/>
        <v>1</v>
      </c>
      <c r="FN79" s="131">
        <f t="shared" ca="1" si="226"/>
        <v>0.65029522127322903</v>
      </c>
      <c r="FO79" s="131">
        <f t="shared" ca="1" si="227"/>
        <v>0.66028983545318687</v>
      </c>
      <c r="FP79" s="131">
        <f t="shared" ca="1" si="228"/>
        <v>0.64972655813153501</v>
      </c>
      <c r="FQ79" s="131">
        <f t="shared" ca="1" si="229"/>
        <v>0.65002804502111444</v>
      </c>
      <c r="FR79" s="131">
        <f t="shared" ca="1" si="230"/>
        <v>0.65029320640965171</v>
      </c>
      <c r="FS79" s="131">
        <f t="shared" ca="1" si="231"/>
        <v>0.64942668056342145</v>
      </c>
      <c r="FT79" s="131">
        <f t="shared" ca="1" si="232"/>
        <v>0.61083952513994022</v>
      </c>
      <c r="FU79" s="132">
        <f t="shared" ca="1" si="233"/>
        <v>0.6508682169276182</v>
      </c>
      <c r="FV79" s="131">
        <f t="shared" ca="1" si="234"/>
        <v>0.17402001625314881</v>
      </c>
      <c r="FW79" s="83">
        <f t="shared" ca="1" si="235"/>
        <v>-2.2535161742124597E-5</v>
      </c>
    </row>
    <row r="80" spans="1:179">
      <c r="A80" s="19">
        <f t="shared" si="117"/>
        <v>70</v>
      </c>
      <c r="B80" s="1">
        <f t="shared" ca="1" si="236"/>
        <v>0</v>
      </c>
      <c r="C80" s="20">
        <f t="shared" ca="1" si="237"/>
        <v>70</v>
      </c>
      <c r="D80" s="19" t="str">
        <f t="shared" ca="1" si="238"/>
        <v>〇×〇×〇×--〇</v>
      </c>
      <c r="E80" s="7">
        <f t="shared" ca="1" si="206"/>
        <v>9</v>
      </c>
      <c r="F80" s="7">
        <f t="shared" ca="1" si="207"/>
        <v>1</v>
      </c>
      <c r="G80" s="1" t="str">
        <f t="shared" ca="1" si="139"/>
        <v>〇×〇×〇×--〇</v>
      </c>
      <c r="H80" s="20" t="b">
        <f t="shared" ca="1" si="140"/>
        <v>1</v>
      </c>
      <c r="I80" s="22">
        <f t="shared" ca="1" si="239"/>
        <v>-1</v>
      </c>
      <c r="J80" s="1" t="b">
        <f ca="1">(1&lt;COUNTIF(D$10:D80,D80))</f>
        <v>1</v>
      </c>
      <c r="K80" s="1" t="b">
        <f t="shared" ca="1" si="141"/>
        <v>1</v>
      </c>
      <c r="L80" s="7">
        <f ca="1">MATCH(TRUE,K80:K$1048576,FALSE)-1</f>
        <v>0</v>
      </c>
      <c r="M80" s="24" t="str">
        <f t="shared" ca="1" si="142"/>
        <v>〇×〇×〇×--〇_9</v>
      </c>
      <c r="N80" s="25">
        <f t="shared" ca="1" si="208"/>
        <v>-2.2535161742124597E-5</v>
      </c>
      <c r="O80" s="26">
        <f t="shared" ca="1" si="209"/>
        <v>-1</v>
      </c>
      <c r="P80" s="27">
        <f t="shared" ca="1" si="210"/>
        <v>-1</v>
      </c>
      <c r="R80" s="41" t="str">
        <f ca="1">VLOOKUP(S80,cvt!$B$2:$C$4,2,FALSE)&amp;VLOOKUP(T80,cvt!$B$2:$C$4,2,FALSE)&amp;VLOOKUP(U80,cvt!$B$2:$C$4,2,FALSE)
&amp;VLOOKUP(V80,cvt!$B$2:$C$4,2,FALSE)&amp;VLOOKUP(W80,cvt!$B$2:$C$4,2,FALSE)&amp;VLOOKUP(X80,cvt!$B$2:$C$4,2,FALSE)
&amp;VLOOKUP(Y80,cvt!$B$2:$C$4,2,FALSE)&amp;VLOOKUP(Z80,cvt!$B$2:$C$4,2,FALSE)&amp;VLOOKUP(AA80,cvt!$B$2:$C$4,2,FALSE)</f>
        <v>〇×〇×〇×--〇</v>
      </c>
      <c r="S80" s="7">
        <f ca="1">VLOOKUP(MID($D80,S$9+1,1), cvt!$A$2:$B$4,2, FALSE)</f>
        <v>1</v>
      </c>
      <c r="T80" s="7">
        <f ca="1">VLOOKUP(MID($D80,T$9+1,1), cvt!$A$2:$B$4,2, FALSE)</f>
        <v>-1</v>
      </c>
      <c r="U80" s="7">
        <f ca="1">VLOOKUP(MID($D80,U$9+1,1), cvt!$A$2:$B$4,2, FALSE)</f>
        <v>1</v>
      </c>
      <c r="V80" s="17">
        <f ca="1">VLOOKUP(MID($D80,V$9+1,1), cvt!$A$2:$B$4,2, FALSE)</f>
        <v>-1</v>
      </c>
      <c r="W80" s="7">
        <f ca="1">VLOOKUP(MID($D80,W$9+1,1), cvt!$A$2:$B$4,2, FALSE)</f>
        <v>1</v>
      </c>
      <c r="X80" s="18">
        <f ca="1">VLOOKUP(MID($D80,X$9+1,1), cvt!$A$2:$B$4,2, FALSE)</f>
        <v>-1</v>
      </c>
      <c r="Y80" s="7">
        <f ca="1">VLOOKUP(MID($D80,Y$9+1,1), cvt!$A$2:$B$4,2, FALSE)</f>
        <v>0</v>
      </c>
      <c r="Z80" s="7">
        <f ca="1">VLOOKUP(MID($D80,Z$9+1,1), cvt!$A$2:$B$4,2, FALSE)</f>
        <v>0</v>
      </c>
      <c r="AA80" s="42">
        <f ca="1">VLOOKUP(MID($D80,AA$9+1,1), cvt!$A$2:$B$4,2, FALSE)</f>
        <v>1</v>
      </c>
      <c r="AB80" s="7">
        <f t="shared" ca="1" si="211"/>
        <v>1</v>
      </c>
      <c r="AC80" s="50" t="b">
        <f t="shared" ca="1" si="212"/>
        <v>1</v>
      </c>
      <c r="AE80" s="19" t="str">
        <f ca="1">VLOOKUP(AF80,cvt!$B$2:$C$4,2,FALSE)&amp;VLOOKUP(AG80,cvt!$B$2:$C$4,2,FALSE)&amp;VLOOKUP(AH80,cvt!$B$2:$C$4,2,FALSE)
&amp;VLOOKUP(AI80,cvt!$B$2:$C$4,2,FALSE)&amp;VLOOKUP(AJ80,cvt!$B$2:$C$4,2,FALSE)&amp;VLOOKUP(AK80,cvt!$B$2:$C$4,2,FALSE)
&amp;VLOOKUP(AL80,cvt!$B$2:$C$4,2,FALSE)&amp;VLOOKUP(AM80,cvt!$B$2:$C$4,2,FALSE)&amp;VLOOKUP(AN80,cvt!$B$2:$C$4,2,FALSE)</f>
        <v>〇×〇×〇×--〇</v>
      </c>
      <c r="AF80" s="17">
        <f t="shared" ca="1" si="143"/>
        <v>1</v>
      </c>
      <c r="AG80" s="7">
        <f t="shared" ca="1" si="144"/>
        <v>-1</v>
      </c>
      <c r="AH80" s="7">
        <f t="shared" ca="1" si="145"/>
        <v>1</v>
      </c>
      <c r="AI80" s="17">
        <f t="shared" ca="1" si="146"/>
        <v>-1</v>
      </c>
      <c r="AJ80" s="7">
        <f t="shared" ca="1" si="147"/>
        <v>1</v>
      </c>
      <c r="AK80" s="18">
        <f t="shared" ca="1" si="148"/>
        <v>-1</v>
      </c>
      <c r="AL80" s="7">
        <f t="shared" ca="1" si="149"/>
        <v>0</v>
      </c>
      <c r="AM80" s="7">
        <f t="shared" ca="1" si="150"/>
        <v>0</v>
      </c>
      <c r="AN80" s="18">
        <f t="shared" ca="1" si="151"/>
        <v>1</v>
      </c>
      <c r="AO80" s="7">
        <f t="shared" ca="1" si="213"/>
        <v>1</v>
      </c>
      <c r="AP80" s="50" t="b">
        <f t="shared" ca="1" si="152"/>
        <v>1</v>
      </c>
      <c r="AS80" s="22">
        <f t="shared" ca="1" si="214"/>
        <v>0</v>
      </c>
      <c r="AT80" s="7">
        <f t="shared" ca="1" si="153"/>
        <v>0</v>
      </c>
      <c r="AU80" s="7">
        <f t="shared" ca="1" si="154"/>
        <v>0</v>
      </c>
      <c r="AV80" s="7">
        <f t="shared" ca="1" si="155"/>
        <v>0</v>
      </c>
      <c r="AW80" s="7">
        <f t="shared" ca="1" si="156"/>
        <v>0</v>
      </c>
      <c r="AX80" s="7">
        <f t="shared" ca="1" si="157"/>
        <v>0</v>
      </c>
      <c r="AY80" s="7">
        <f t="shared" ca="1" si="158"/>
        <v>0</v>
      </c>
      <c r="AZ80" s="7">
        <f t="shared" ca="1" si="159"/>
        <v>0</v>
      </c>
      <c r="BA80" s="18">
        <f t="shared" ca="1" si="160"/>
        <v>0</v>
      </c>
      <c r="BB80" s="295">
        <f t="shared" ca="1" si="215"/>
        <v>1</v>
      </c>
      <c r="BD80" s="132"/>
      <c r="BE80" s="297">
        <f t="shared" ca="1" si="216"/>
        <v>1</v>
      </c>
      <c r="BF80" s="298">
        <f t="shared" ca="1" si="161"/>
        <v>0.65029522127322903</v>
      </c>
      <c r="BG80" s="298">
        <f t="shared" ca="1" si="162"/>
        <v>0.66028983545318687</v>
      </c>
      <c r="BH80" s="318">
        <f t="shared" ca="1" si="163"/>
        <v>0.64972655813153501</v>
      </c>
      <c r="BI80" s="298">
        <f t="shared" ca="1" si="164"/>
        <v>0.65002804502111444</v>
      </c>
      <c r="BJ80" s="299">
        <f t="shared" ca="1" si="165"/>
        <v>0.65029320640965171</v>
      </c>
      <c r="BK80" s="298">
        <f t="shared" ca="1" si="166"/>
        <v>0.64942668056342145</v>
      </c>
      <c r="BL80" s="298">
        <f t="shared" ca="1" si="167"/>
        <v>0.61083952513994022</v>
      </c>
      <c r="BM80" s="299">
        <f t="shared" ca="1" si="168"/>
        <v>0.6508682169276182</v>
      </c>
      <c r="BN80" s="295">
        <f t="shared" ca="1" si="169"/>
        <v>0.17402001625314881</v>
      </c>
      <c r="BO80" s="248">
        <f t="shared" ca="1" si="217"/>
        <v>-2.2535161742124597E-5</v>
      </c>
      <c r="BQ80" s="304">
        <f t="shared" ca="1" si="218"/>
        <v>0.42412001625314877</v>
      </c>
      <c r="BR80" s="297">
        <f t="shared" ca="1" si="219"/>
        <v>0</v>
      </c>
      <c r="BS80" s="298">
        <f t="shared" ca="1" si="170"/>
        <v>0</v>
      </c>
      <c r="BT80" s="298">
        <f t="shared" ca="1" si="171"/>
        <v>0</v>
      </c>
      <c r="BU80" s="318">
        <f t="shared" ca="1" si="172"/>
        <v>0</v>
      </c>
      <c r="BV80" s="298">
        <f t="shared" ca="1" si="173"/>
        <v>0</v>
      </c>
      <c r="BW80" s="299">
        <f t="shared" ca="1" si="174"/>
        <v>0</v>
      </c>
      <c r="BX80" s="298">
        <f t="shared" ca="1" si="175"/>
        <v>0</v>
      </c>
      <c r="BY80" s="298">
        <f t="shared" ca="1" si="176"/>
        <v>0</v>
      </c>
      <c r="BZ80" s="298">
        <f t="shared" ca="1" si="177"/>
        <v>0</v>
      </c>
      <c r="CA80" s="315">
        <f t="shared" ca="1" si="178"/>
        <v>0.42412001625314877</v>
      </c>
      <c r="CC80" s="52"/>
      <c r="CD80" s="306">
        <f t="shared" ca="1" si="220"/>
        <v>0</v>
      </c>
      <c r="CE80" s="15">
        <f t="shared" ca="1" si="179"/>
        <v>0</v>
      </c>
      <c r="CF80" s="15">
        <f t="shared" ca="1" si="180"/>
        <v>0</v>
      </c>
      <c r="CG80" s="286">
        <f t="shared" ca="1" si="181"/>
        <v>0</v>
      </c>
      <c r="CH80" s="15">
        <f t="shared" ca="1" si="182"/>
        <v>0</v>
      </c>
      <c r="CI80" s="288">
        <f t="shared" ca="1" si="183"/>
        <v>0</v>
      </c>
      <c r="CJ80" s="15">
        <f t="shared" ca="1" si="184"/>
        <v>0</v>
      </c>
      <c r="CK80" s="15">
        <f t="shared" ca="1" si="185"/>
        <v>0</v>
      </c>
      <c r="CL80" s="15">
        <f t="shared" ca="1" si="186"/>
        <v>0</v>
      </c>
      <c r="CM80" s="313">
        <f t="shared" ca="1" si="187"/>
        <v>1</v>
      </c>
      <c r="CO80" s="320">
        <f t="shared" ca="1" si="221"/>
        <v>69</v>
      </c>
      <c r="CP80" s="22">
        <f ca="1">COUNTIFS($C$10:$C79,"&lt;"&amp;$C80,$M$10:$M79,$D80&amp;"_"&amp;CP$9)</f>
        <v>0</v>
      </c>
      <c r="CQ80" s="7">
        <f ca="1">COUNTIFS($C$10:$C79,"&lt;"&amp;$C80,$M$10:$M79,$D80&amp;"_"&amp;CQ$9)</f>
        <v>0</v>
      </c>
      <c r="CR80" s="7">
        <f ca="1">COUNTIFS($C$10:$C79,"&lt;"&amp;$C80,$M$10:$M79,$D80&amp;"_"&amp;CR$9)</f>
        <v>0</v>
      </c>
      <c r="CS80" s="17">
        <f ca="1">COUNTIFS($C$10:$C79,"&lt;"&amp;$C80,$M$10:$M79,$D80&amp;"_"&amp;CS$9)</f>
        <v>0</v>
      </c>
      <c r="CT80" s="7">
        <f ca="1">COUNTIFS($C$10:$C79,"&lt;"&amp;$C80,$M$10:$M79,$D80&amp;"_"&amp;CT$9)</f>
        <v>0</v>
      </c>
      <c r="CU80" s="18">
        <f ca="1">COUNTIFS($C$10:$C79,"&lt;"&amp;$C80,$M$10:$M79,$D80&amp;"_"&amp;CU$9)</f>
        <v>0</v>
      </c>
      <c r="CV80" s="7">
        <f ca="1">COUNTIFS($C$10:$C79,"&lt;"&amp;$C80,$M$10:$M79,$D80&amp;"_"&amp;CV$9)</f>
        <v>0</v>
      </c>
      <c r="CW80" s="7">
        <f ca="1">COUNTIFS($C$10:$C79,"&lt;"&amp;$C80,$M$10:$M79,$D80&amp;"_"&amp;CW$9)</f>
        <v>0</v>
      </c>
      <c r="CX80" s="7">
        <f ca="1">COUNTIFS($C$10:$C79,"&lt;"&amp;$C80,$M$10:$M79,$D80&amp;"_"&amp;CX$9)</f>
        <v>0</v>
      </c>
      <c r="CY80" s="221">
        <f ca="1">COUNTIFS($C$10:$C79,"&lt;"&amp;$C80,$M$10:$M79,$D80&amp;"_"&amp;CY$9)</f>
        <v>69</v>
      </c>
      <c r="DA80" s="20"/>
      <c r="DB80" s="308">
        <f ca="1">IF(CP80=0,0,SUMIFS($P$10:$P79, $C$10:$C79,"&lt;"&amp;$C80, $M$10:$M79,$D80&amp;"_"&amp;DB$9)/CP80)</f>
        <v>0</v>
      </c>
      <c r="DC80" s="263">
        <f ca="1">IF(CQ80=0,0,SUMIFS($P$10:$P79, $C$10:$C79,"&lt;"&amp;$C80, $M$10:$M79,$D80&amp;"_"&amp;DC$9)/CQ80)</f>
        <v>0</v>
      </c>
      <c r="DD80" s="263">
        <f ca="1">IF(CR80=0,0,SUMIFS($P$10:$P79, $C$10:$C79,"&lt;"&amp;$C80, $M$10:$M79,$D80&amp;"_"&amp;DD$9)/CR80)</f>
        <v>0</v>
      </c>
      <c r="DE80" s="262">
        <f ca="1">IF(CS80=0,0,SUMIFS($P$10:$P79, $C$10:$C79,"&lt;"&amp;$C80, $M$10:$M79,$D80&amp;"_"&amp;DE$9)/CS80)</f>
        <v>0</v>
      </c>
      <c r="DF80" s="263">
        <f ca="1">IF(CT80=0,0,SUMIFS($P$10:$P79, $C$10:$C79,"&lt;"&amp;$C80, $M$10:$M79,$D80&amp;"_"&amp;DF$9)/CT80)</f>
        <v>0</v>
      </c>
      <c r="DG80" s="310">
        <f ca="1">IF(CU80=0,0,SUMIFS($P$10:$P79, $C$10:$C79,"&lt;"&amp;$C80, $M$10:$M79,$D80&amp;"_"&amp;DG$9)/CU80)</f>
        <v>0</v>
      </c>
      <c r="DH80" s="263">
        <f ca="1">IF(CV80=0,0,SUMIFS($P$10:$P79, $C$10:$C79,"&lt;"&amp;$C80, $M$10:$M79,$D80&amp;"_"&amp;DH$9)/CV80)</f>
        <v>0</v>
      </c>
      <c r="DI80" s="263">
        <f ca="1">IF(CW80=0,0,SUMIFS($P$10:$P79, $C$10:$C79,"&lt;"&amp;$C80, $M$10:$M79,$D80&amp;"_"&amp;DI$9)/CW80)</f>
        <v>0</v>
      </c>
      <c r="DJ80" s="264">
        <f ca="1">IF(CX80=0,0,SUMIFS($P$10:$P79, $C$10:$C79,"&lt;"&amp;$C80, $M$10:$M79,$D80&amp;"_"&amp;DJ$9)/CX80)</f>
        <v>0</v>
      </c>
      <c r="DK80" s="264">
        <f ca="1">IF(CY80=0,0,SUMIFS($P$10:$P79, $C$10:$C79,"&lt;"&amp;$C80, $M$10:$M79,$D80&amp;"_"&amp;DK$9)/CY80)</f>
        <v>-1</v>
      </c>
      <c r="DM80" s="104"/>
      <c r="DN80" s="306">
        <f t="shared" ca="1" si="222"/>
        <v>-9999</v>
      </c>
      <c r="DO80" s="15">
        <f t="shared" ca="1" si="188"/>
        <v>-9999</v>
      </c>
      <c r="DP80" s="15">
        <f t="shared" ca="1" si="189"/>
        <v>-9999</v>
      </c>
      <c r="DQ80" s="15">
        <f t="shared" ca="1" si="190"/>
        <v>-9999</v>
      </c>
      <c r="DR80" s="15">
        <f t="shared" ca="1" si="191"/>
        <v>-9999</v>
      </c>
      <c r="DS80" s="15">
        <f t="shared" ca="1" si="192"/>
        <v>-9999</v>
      </c>
      <c r="DT80" s="15">
        <f t="shared" ca="1" si="193"/>
        <v>-9999</v>
      </c>
      <c r="DU80" s="15">
        <f t="shared" ca="1" si="194"/>
        <v>-9999</v>
      </c>
      <c r="DV80" s="52">
        <f t="shared" ca="1" si="195"/>
        <v>-9999</v>
      </c>
      <c r="DW80" s="313">
        <f t="shared" ca="1" si="196"/>
        <v>-0.88133394481545602</v>
      </c>
      <c r="DX80" s="52"/>
      <c r="DY80" s="402">
        <f t="shared" ca="1" si="223"/>
        <v>9</v>
      </c>
      <c r="ED80" s="19">
        <f t="shared" ca="1" si="197"/>
        <v>-1</v>
      </c>
      <c r="EE80" s="1">
        <f t="shared" ca="1" si="198"/>
        <v>1</v>
      </c>
      <c r="EF80" s="1">
        <f t="shared" ca="1" si="199"/>
        <v>-1</v>
      </c>
      <c r="EG80" s="2">
        <f t="shared" ca="1" si="200"/>
        <v>1</v>
      </c>
      <c r="EH80" s="1">
        <f t="shared" ca="1" si="201"/>
        <v>-1</v>
      </c>
      <c r="EI80" s="3">
        <f t="shared" ca="1" si="202"/>
        <v>1</v>
      </c>
      <c r="EJ80" s="1">
        <f t="shared" ca="1" si="203"/>
        <v>0</v>
      </c>
      <c r="EK80" s="1">
        <f t="shared" ca="1" si="204"/>
        <v>0</v>
      </c>
      <c r="EL80" s="20">
        <f t="shared" ca="1" si="205"/>
        <v>-1</v>
      </c>
      <c r="EN80" s="86">
        <f ca="1">MAX(0, SUMPRODUCT($ED80:$EL80,OFFSET(DNN!$E$9:$M$9,EN$9,0)) + OFFSET(DNN!$D$9,EN$9,0))</f>
        <v>0</v>
      </c>
      <c r="EO80" s="84">
        <f ca="1">MAX(0, SUMPRODUCT($ED80:$EL80,OFFSET(DNN!$E$9:$M$9,EO$9,0)) + OFFSET(DNN!$D$9,EO$9,0))</f>
        <v>7.2346022384755949E-3</v>
      </c>
      <c r="EP80" s="84">
        <f ca="1">MAX(0, SUMPRODUCT($ED80:$EL80,OFFSET(DNN!$E$9:$M$9,EP$9,0)) + OFFSET(DNN!$D$9,EP$9,0))</f>
        <v>3.6951849750035152E-3</v>
      </c>
      <c r="EQ80" s="84">
        <f ca="1">MAX(0, SUMPRODUCT($ED80:$EL80,OFFSET(DNN!$E$9:$M$9,EQ$9,0)) + OFFSET(DNN!$D$9,EQ$9,0))</f>
        <v>0</v>
      </c>
      <c r="ER80" s="85">
        <f ca="1">MAX(0, SUMPRODUCT($ED80:$EL80,OFFSET(DNN!$E$9:$M$9,ER$9,0)) + OFFSET(DNN!$D$9,ER$9,0))</f>
        <v>0</v>
      </c>
      <c r="ET80" s="86">
        <f ca="1">MAX(0, SUMPRODUCT($EN80:$ER80,OFFSET(DNN!$Q$9:$U$9,ET$9,0)) + OFFSET(DNN!$P$9,ET$9,0))</f>
        <v>4.3954959453478351E-4</v>
      </c>
      <c r="EU80" s="84">
        <f ca="1">MAX(0, SUMPRODUCT($EN80:$ER80,OFFSET(DNN!$Q$9:$U$9,EU$9,0)) + OFFSET(DNN!$P$9,EU$9,0))</f>
        <v>0</v>
      </c>
      <c r="EV80" s="84">
        <f ca="1">MAX(0, SUMPRODUCT($EN80:$ER80,OFFSET(DNN!$Q$9:$U$9,EV$9,0)) + OFFSET(DNN!$P$9,EV$9,0))</f>
        <v>1.2810123361902579E-3</v>
      </c>
      <c r="EW80" s="84">
        <f ca="1">MAX(0, SUMPRODUCT($EN80:$ER80,OFFSET(DNN!$Q$9:$U$9,EW$9,0)) + OFFSET(DNN!$P$9,EW$9,0))</f>
        <v>7.8382123007882457E-4</v>
      </c>
      <c r="EX80" s="85">
        <f ca="1">MAX(0, SUMPRODUCT($EN80:$ER80,OFFSET(DNN!$Q$9:$U$9,EX$9,0)) + OFFSET(DNN!$P$9,EX$9,0))</f>
        <v>0</v>
      </c>
      <c r="EZ80" s="111">
        <f ca="1">SUMPRODUCT($ET80:$EX80,OFFSET(DNN!$Y$9:$AC$9,EZ$9,0)) + OFFSET(DNN!$X$9,EZ$9,0)</f>
        <v>0.43031618918982212</v>
      </c>
      <c r="FA80" s="97">
        <f ca="1">SUMPRODUCT($ET80:$EX80,OFFSET(DNN!$Y$9:$AC$9,FA$9,0)) + OFFSET(DNN!$X$9,FA$9,0)</f>
        <v>-1.2643439935754107E-5</v>
      </c>
      <c r="FB80" s="97">
        <f ca="1">SUMPRODUCT($ET80:$EX80,OFFSET(DNN!$Y$9:$AC$9,FB$9,0)) + OFFSET(DNN!$X$9,FB$9,0)</f>
        <v>1.5239793458415756E-2</v>
      </c>
      <c r="FC80" s="97">
        <f ca="1">SUMPRODUCT($ET80:$EX80,OFFSET(DNN!$Y$9:$AC$9,FC$9,0)) + OFFSET(DNN!$X$9,FC$9,0)</f>
        <v>-8.8749521084055777E-4</v>
      </c>
      <c r="FD80" s="97">
        <f ca="1">SUMPRODUCT($ET80:$EX80,OFFSET(DNN!$Y$9:$AC$9,FD$9,0)) + OFFSET(DNN!$X$9,FD$9,0)</f>
        <v>-4.235816470721872E-4</v>
      </c>
      <c r="FE80" s="97">
        <f ca="1">SUMPRODUCT($ET80:$EX80,OFFSET(DNN!$Y$9:$AC$9,FE$9,0)) + OFFSET(DNN!$X$9,FE$9,0)</f>
        <v>-1.574182761064886E-5</v>
      </c>
      <c r="FF80" s="97">
        <f ca="1">SUMPRODUCT($ET80:$EX80,OFFSET(DNN!$Y$9:$AC$9,FF$9,0)) + OFFSET(DNN!$X$9,FF$9,0)</f>
        <v>-1.3491460223194656E-3</v>
      </c>
      <c r="FG80" s="97">
        <f ca="1">SUMPRODUCT($ET80:$EX80,OFFSET(DNN!$Y$9:$AC$9,FG$9,0)) + OFFSET(DNN!$X$9,FG$9,0)</f>
        <v>-6.2604808096248285E-2</v>
      </c>
      <c r="FH80" s="97">
        <f ca="1">SUMPRODUCT($ET80:$EX80,OFFSET(DNN!$Y$9:$AC$9,FH$9,0)) + OFFSET(DNN!$X$9,FH$9,0)</f>
        <v>8.6810016937029894E-4</v>
      </c>
      <c r="FI80" s="108">
        <f ca="1">SUMPRODUCT($ET80:$EX80,OFFSET(DNN!$Y$9:$AC$9,FI$9,0)) + OFFSET(DNN!$X$9,FI$9,0)</f>
        <v>-1.3182687612562751</v>
      </c>
      <c r="FJ80" s="98">
        <f ca="1">SUMPRODUCT($ET80:$EX80,OFFSET(DNN!$Y$9:$AC$9,FJ$9,0)) + OFFSET(DNN!$X$9,FJ$9,0)</f>
        <v>-2.2535161745939301E-5</v>
      </c>
      <c r="FL80" s="415">
        <f t="shared" ca="1" si="224"/>
        <v>0.43031618918982212</v>
      </c>
      <c r="FM80" s="130">
        <f t="shared" ca="1" si="225"/>
        <v>1</v>
      </c>
      <c r="FN80" s="131">
        <f t="shared" ca="1" si="226"/>
        <v>0.65029522127322903</v>
      </c>
      <c r="FO80" s="131">
        <f t="shared" ca="1" si="227"/>
        <v>0.66028983545318687</v>
      </c>
      <c r="FP80" s="131">
        <f t="shared" ca="1" si="228"/>
        <v>0.64972655813153501</v>
      </c>
      <c r="FQ80" s="131">
        <f t="shared" ca="1" si="229"/>
        <v>0.65002804502111444</v>
      </c>
      <c r="FR80" s="131">
        <f t="shared" ca="1" si="230"/>
        <v>0.65029320640965171</v>
      </c>
      <c r="FS80" s="131">
        <f t="shared" ca="1" si="231"/>
        <v>0.64942668056342145</v>
      </c>
      <c r="FT80" s="131">
        <f t="shared" ca="1" si="232"/>
        <v>0.61083952513994022</v>
      </c>
      <c r="FU80" s="132">
        <f t="shared" ca="1" si="233"/>
        <v>0.6508682169276182</v>
      </c>
      <c r="FV80" s="131">
        <f t="shared" ca="1" si="234"/>
        <v>0.17402001625314881</v>
      </c>
      <c r="FW80" s="83">
        <f t="shared" ca="1" si="235"/>
        <v>-2.2535161742124597E-5</v>
      </c>
    </row>
    <row r="81" spans="1:179">
      <c r="A81" s="19">
        <f t="shared" si="117"/>
        <v>71</v>
      </c>
      <c r="B81" s="1">
        <f t="shared" ca="1" si="236"/>
        <v>0</v>
      </c>
      <c r="C81" s="20">
        <f t="shared" ca="1" si="237"/>
        <v>71</v>
      </c>
      <c r="D81" s="19" t="str">
        <f t="shared" ca="1" si="238"/>
        <v>〇×〇×〇×--〇</v>
      </c>
      <c r="E81" s="7">
        <f t="shared" ca="1" si="206"/>
        <v>9</v>
      </c>
      <c r="F81" s="7">
        <f t="shared" ca="1" si="207"/>
        <v>1</v>
      </c>
      <c r="G81" s="1" t="str">
        <f t="shared" ca="1" si="139"/>
        <v>〇×〇×〇×--〇</v>
      </c>
      <c r="H81" s="20" t="b">
        <f t="shared" ca="1" si="140"/>
        <v>1</v>
      </c>
      <c r="I81" s="22">
        <f t="shared" ca="1" si="239"/>
        <v>-1</v>
      </c>
      <c r="J81" s="1" t="b">
        <f ca="1">(1&lt;COUNTIF(D$10:D81,D81))</f>
        <v>1</v>
      </c>
      <c r="K81" s="1" t="b">
        <f t="shared" ca="1" si="141"/>
        <v>1</v>
      </c>
      <c r="L81" s="7">
        <f ca="1">MATCH(TRUE,K81:K$1048576,FALSE)-1</f>
        <v>0</v>
      </c>
      <c r="M81" s="24" t="str">
        <f t="shared" ca="1" si="142"/>
        <v>〇×〇×〇×--〇_9</v>
      </c>
      <c r="N81" s="25">
        <f t="shared" ca="1" si="208"/>
        <v>-2.2535161742124597E-5</v>
      </c>
      <c r="O81" s="26">
        <f t="shared" ca="1" si="209"/>
        <v>-1</v>
      </c>
      <c r="P81" s="27">
        <f t="shared" ca="1" si="210"/>
        <v>-1</v>
      </c>
      <c r="R81" s="41" t="str">
        <f ca="1">VLOOKUP(S81,cvt!$B$2:$C$4,2,FALSE)&amp;VLOOKUP(T81,cvt!$B$2:$C$4,2,FALSE)&amp;VLOOKUP(U81,cvt!$B$2:$C$4,2,FALSE)
&amp;VLOOKUP(V81,cvt!$B$2:$C$4,2,FALSE)&amp;VLOOKUP(W81,cvt!$B$2:$C$4,2,FALSE)&amp;VLOOKUP(X81,cvt!$B$2:$C$4,2,FALSE)
&amp;VLOOKUP(Y81,cvt!$B$2:$C$4,2,FALSE)&amp;VLOOKUP(Z81,cvt!$B$2:$C$4,2,FALSE)&amp;VLOOKUP(AA81,cvt!$B$2:$C$4,2,FALSE)</f>
        <v>〇×〇×〇×--〇</v>
      </c>
      <c r="S81" s="7">
        <f ca="1">VLOOKUP(MID($D81,S$9+1,1), cvt!$A$2:$B$4,2, FALSE)</f>
        <v>1</v>
      </c>
      <c r="T81" s="7">
        <f ca="1">VLOOKUP(MID($D81,T$9+1,1), cvt!$A$2:$B$4,2, FALSE)</f>
        <v>-1</v>
      </c>
      <c r="U81" s="7">
        <f ca="1">VLOOKUP(MID($D81,U$9+1,1), cvt!$A$2:$B$4,2, FALSE)</f>
        <v>1</v>
      </c>
      <c r="V81" s="17">
        <f ca="1">VLOOKUP(MID($D81,V$9+1,1), cvt!$A$2:$B$4,2, FALSE)</f>
        <v>-1</v>
      </c>
      <c r="W81" s="7">
        <f ca="1">VLOOKUP(MID($D81,W$9+1,1), cvt!$A$2:$B$4,2, FALSE)</f>
        <v>1</v>
      </c>
      <c r="X81" s="18">
        <f ca="1">VLOOKUP(MID($D81,X$9+1,1), cvt!$A$2:$B$4,2, FALSE)</f>
        <v>-1</v>
      </c>
      <c r="Y81" s="7">
        <f ca="1">VLOOKUP(MID($D81,Y$9+1,1), cvt!$A$2:$B$4,2, FALSE)</f>
        <v>0</v>
      </c>
      <c r="Z81" s="7">
        <f ca="1">VLOOKUP(MID($D81,Z$9+1,1), cvt!$A$2:$B$4,2, FALSE)</f>
        <v>0</v>
      </c>
      <c r="AA81" s="42">
        <f ca="1">VLOOKUP(MID($D81,AA$9+1,1), cvt!$A$2:$B$4,2, FALSE)</f>
        <v>1</v>
      </c>
      <c r="AB81" s="7">
        <f t="shared" ca="1" si="211"/>
        <v>1</v>
      </c>
      <c r="AC81" s="50" t="b">
        <f t="shared" ca="1" si="212"/>
        <v>1</v>
      </c>
      <c r="AE81" s="19" t="str">
        <f ca="1">VLOOKUP(AF81,cvt!$B$2:$C$4,2,FALSE)&amp;VLOOKUP(AG81,cvt!$B$2:$C$4,2,FALSE)&amp;VLOOKUP(AH81,cvt!$B$2:$C$4,2,FALSE)
&amp;VLOOKUP(AI81,cvt!$B$2:$C$4,2,FALSE)&amp;VLOOKUP(AJ81,cvt!$B$2:$C$4,2,FALSE)&amp;VLOOKUP(AK81,cvt!$B$2:$C$4,2,FALSE)
&amp;VLOOKUP(AL81,cvt!$B$2:$C$4,2,FALSE)&amp;VLOOKUP(AM81,cvt!$B$2:$C$4,2,FALSE)&amp;VLOOKUP(AN81,cvt!$B$2:$C$4,2,FALSE)</f>
        <v>〇×〇×〇×--〇</v>
      </c>
      <c r="AF81" s="17">
        <f t="shared" ca="1" si="143"/>
        <v>1</v>
      </c>
      <c r="AG81" s="7">
        <f t="shared" ca="1" si="144"/>
        <v>-1</v>
      </c>
      <c r="AH81" s="7">
        <f t="shared" ca="1" si="145"/>
        <v>1</v>
      </c>
      <c r="AI81" s="17">
        <f t="shared" ca="1" si="146"/>
        <v>-1</v>
      </c>
      <c r="AJ81" s="7">
        <f t="shared" ca="1" si="147"/>
        <v>1</v>
      </c>
      <c r="AK81" s="18">
        <f t="shared" ca="1" si="148"/>
        <v>-1</v>
      </c>
      <c r="AL81" s="7">
        <f t="shared" ca="1" si="149"/>
        <v>0</v>
      </c>
      <c r="AM81" s="7">
        <f t="shared" ca="1" si="150"/>
        <v>0</v>
      </c>
      <c r="AN81" s="18">
        <f t="shared" ca="1" si="151"/>
        <v>1</v>
      </c>
      <c r="AO81" s="7">
        <f t="shared" ca="1" si="213"/>
        <v>1</v>
      </c>
      <c r="AP81" s="50" t="b">
        <f t="shared" ca="1" si="152"/>
        <v>1</v>
      </c>
      <c r="AS81" s="22">
        <f t="shared" ca="1" si="214"/>
        <v>0</v>
      </c>
      <c r="AT81" s="7">
        <f t="shared" ca="1" si="153"/>
        <v>0</v>
      </c>
      <c r="AU81" s="7">
        <f t="shared" ca="1" si="154"/>
        <v>0</v>
      </c>
      <c r="AV81" s="7">
        <f t="shared" ca="1" si="155"/>
        <v>0</v>
      </c>
      <c r="AW81" s="7">
        <f t="shared" ca="1" si="156"/>
        <v>0</v>
      </c>
      <c r="AX81" s="7">
        <f t="shared" ca="1" si="157"/>
        <v>0</v>
      </c>
      <c r="AY81" s="7">
        <f t="shared" ca="1" si="158"/>
        <v>0</v>
      </c>
      <c r="AZ81" s="7">
        <f t="shared" ca="1" si="159"/>
        <v>0</v>
      </c>
      <c r="BA81" s="18">
        <f t="shared" ca="1" si="160"/>
        <v>0</v>
      </c>
      <c r="BB81" s="295">
        <f t="shared" ca="1" si="215"/>
        <v>1</v>
      </c>
      <c r="BD81" s="132"/>
      <c r="BE81" s="297">
        <f t="shared" ca="1" si="216"/>
        <v>1</v>
      </c>
      <c r="BF81" s="298">
        <f t="shared" ca="1" si="161"/>
        <v>0.65029522127322903</v>
      </c>
      <c r="BG81" s="298">
        <f t="shared" ca="1" si="162"/>
        <v>0.66028983545318687</v>
      </c>
      <c r="BH81" s="318">
        <f t="shared" ca="1" si="163"/>
        <v>0.64972655813153501</v>
      </c>
      <c r="BI81" s="298">
        <f t="shared" ca="1" si="164"/>
        <v>0.65002804502111444</v>
      </c>
      <c r="BJ81" s="299">
        <f t="shared" ca="1" si="165"/>
        <v>0.65029320640965171</v>
      </c>
      <c r="BK81" s="298">
        <f t="shared" ca="1" si="166"/>
        <v>0.64942668056342145</v>
      </c>
      <c r="BL81" s="298">
        <f t="shared" ca="1" si="167"/>
        <v>0.61083952513994022</v>
      </c>
      <c r="BM81" s="299">
        <f t="shared" ca="1" si="168"/>
        <v>0.6508682169276182</v>
      </c>
      <c r="BN81" s="295">
        <f t="shared" ca="1" si="169"/>
        <v>0.17402001625314881</v>
      </c>
      <c r="BO81" s="248">
        <f t="shared" ca="1" si="217"/>
        <v>-2.2535161742124597E-5</v>
      </c>
      <c r="BQ81" s="304">
        <f t="shared" ca="1" si="218"/>
        <v>0.42412001625314877</v>
      </c>
      <c r="BR81" s="297">
        <f t="shared" ca="1" si="219"/>
        <v>0</v>
      </c>
      <c r="BS81" s="298">
        <f t="shared" ca="1" si="170"/>
        <v>0</v>
      </c>
      <c r="BT81" s="298">
        <f t="shared" ca="1" si="171"/>
        <v>0</v>
      </c>
      <c r="BU81" s="318">
        <f t="shared" ca="1" si="172"/>
        <v>0</v>
      </c>
      <c r="BV81" s="298">
        <f t="shared" ca="1" si="173"/>
        <v>0</v>
      </c>
      <c r="BW81" s="299">
        <f t="shared" ca="1" si="174"/>
        <v>0</v>
      </c>
      <c r="BX81" s="298">
        <f t="shared" ca="1" si="175"/>
        <v>0</v>
      </c>
      <c r="BY81" s="298">
        <f t="shared" ca="1" si="176"/>
        <v>0</v>
      </c>
      <c r="BZ81" s="298">
        <f t="shared" ca="1" si="177"/>
        <v>0</v>
      </c>
      <c r="CA81" s="315">
        <f t="shared" ca="1" si="178"/>
        <v>0.42412001625314877</v>
      </c>
      <c r="CC81" s="52"/>
      <c r="CD81" s="306">
        <f t="shared" ca="1" si="220"/>
        <v>0</v>
      </c>
      <c r="CE81" s="15">
        <f t="shared" ca="1" si="179"/>
        <v>0</v>
      </c>
      <c r="CF81" s="15">
        <f t="shared" ca="1" si="180"/>
        <v>0</v>
      </c>
      <c r="CG81" s="286">
        <f t="shared" ca="1" si="181"/>
        <v>0</v>
      </c>
      <c r="CH81" s="15">
        <f t="shared" ca="1" si="182"/>
        <v>0</v>
      </c>
      <c r="CI81" s="288">
        <f t="shared" ca="1" si="183"/>
        <v>0</v>
      </c>
      <c r="CJ81" s="15">
        <f t="shared" ca="1" si="184"/>
        <v>0</v>
      </c>
      <c r="CK81" s="15">
        <f t="shared" ca="1" si="185"/>
        <v>0</v>
      </c>
      <c r="CL81" s="15">
        <f t="shared" ca="1" si="186"/>
        <v>0</v>
      </c>
      <c r="CM81" s="313">
        <f t="shared" ca="1" si="187"/>
        <v>1</v>
      </c>
      <c r="CO81" s="320">
        <f t="shared" ca="1" si="221"/>
        <v>70</v>
      </c>
      <c r="CP81" s="22">
        <f ca="1">COUNTIFS($C$10:$C80,"&lt;"&amp;$C81,$M$10:$M80,$D81&amp;"_"&amp;CP$9)</f>
        <v>0</v>
      </c>
      <c r="CQ81" s="7">
        <f ca="1">COUNTIFS($C$10:$C80,"&lt;"&amp;$C81,$M$10:$M80,$D81&amp;"_"&amp;CQ$9)</f>
        <v>0</v>
      </c>
      <c r="CR81" s="7">
        <f ca="1">COUNTIFS($C$10:$C80,"&lt;"&amp;$C81,$M$10:$M80,$D81&amp;"_"&amp;CR$9)</f>
        <v>0</v>
      </c>
      <c r="CS81" s="17">
        <f ca="1">COUNTIFS($C$10:$C80,"&lt;"&amp;$C81,$M$10:$M80,$D81&amp;"_"&amp;CS$9)</f>
        <v>0</v>
      </c>
      <c r="CT81" s="7">
        <f ca="1">COUNTIFS($C$10:$C80,"&lt;"&amp;$C81,$M$10:$M80,$D81&amp;"_"&amp;CT$9)</f>
        <v>0</v>
      </c>
      <c r="CU81" s="18">
        <f ca="1">COUNTIFS($C$10:$C80,"&lt;"&amp;$C81,$M$10:$M80,$D81&amp;"_"&amp;CU$9)</f>
        <v>0</v>
      </c>
      <c r="CV81" s="7">
        <f ca="1">COUNTIFS($C$10:$C80,"&lt;"&amp;$C81,$M$10:$M80,$D81&amp;"_"&amp;CV$9)</f>
        <v>0</v>
      </c>
      <c r="CW81" s="7">
        <f ca="1">COUNTIFS($C$10:$C80,"&lt;"&amp;$C81,$M$10:$M80,$D81&amp;"_"&amp;CW$9)</f>
        <v>0</v>
      </c>
      <c r="CX81" s="7">
        <f ca="1">COUNTIFS($C$10:$C80,"&lt;"&amp;$C81,$M$10:$M80,$D81&amp;"_"&amp;CX$9)</f>
        <v>0</v>
      </c>
      <c r="CY81" s="221">
        <f ca="1">COUNTIFS($C$10:$C80,"&lt;"&amp;$C81,$M$10:$M80,$D81&amp;"_"&amp;CY$9)</f>
        <v>70</v>
      </c>
      <c r="DA81" s="20"/>
      <c r="DB81" s="308">
        <f ca="1">IF(CP81=0,0,SUMIFS($P$10:$P80, $C$10:$C80,"&lt;"&amp;$C81, $M$10:$M80,$D81&amp;"_"&amp;DB$9)/CP81)</f>
        <v>0</v>
      </c>
      <c r="DC81" s="263">
        <f ca="1">IF(CQ81=0,0,SUMIFS($P$10:$P80, $C$10:$C80,"&lt;"&amp;$C81, $M$10:$M80,$D81&amp;"_"&amp;DC$9)/CQ81)</f>
        <v>0</v>
      </c>
      <c r="DD81" s="263">
        <f ca="1">IF(CR81=0,0,SUMIFS($P$10:$P80, $C$10:$C80,"&lt;"&amp;$C81, $M$10:$M80,$D81&amp;"_"&amp;DD$9)/CR81)</f>
        <v>0</v>
      </c>
      <c r="DE81" s="262">
        <f ca="1">IF(CS81=0,0,SUMIFS($P$10:$P80, $C$10:$C80,"&lt;"&amp;$C81, $M$10:$M80,$D81&amp;"_"&amp;DE$9)/CS81)</f>
        <v>0</v>
      </c>
      <c r="DF81" s="263">
        <f ca="1">IF(CT81=0,0,SUMIFS($P$10:$P80, $C$10:$C80,"&lt;"&amp;$C81, $M$10:$M80,$D81&amp;"_"&amp;DF$9)/CT81)</f>
        <v>0</v>
      </c>
      <c r="DG81" s="310">
        <f ca="1">IF(CU81=0,0,SUMIFS($P$10:$P80, $C$10:$C80,"&lt;"&amp;$C81, $M$10:$M80,$D81&amp;"_"&amp;DG$9)/CU81)</f>
        <v>0</v>
      </c>
      <c r="DH81" s="263">
        <f ca="1">IF(CV81=0,0,SUMIFS($P$10:$P80, $C$10:$C80,"&lt;"&amp;$C81, $M$10:$M80,$D81&amp;"_"&amp;DH$9)/CV81)</f>
        <v>0</v>
      </c>
      <c r="DI81" s="263">
        <f ca="1">IF(CW81=0,0,SUMIFS($P$10:$P80, $C$10:$C80,"&lt;"&amp;$C81, $M$10:$M80,$D81&amp;"_"&amp;DI$9)/CW81)</f>
        <v>0</v>
      </c>
      <c r="DJ81" s="264">
        <f ca="1">IF(CX81=0,0,SUMIFS($P$10:$P80, $C$10:$C80,"&lt;"&amp;$C81, $M$10:$M80,$D81&amp;"_"&amp;DJ$9)/CX81)</f>
        <v>0</v>
      </c>
      <c r="DK81" s="264">
        <f ca="1">IF(CY81=0,0,SUMIFS($P$10:$P80, $C$10:$C80,"&lt;"&amp;$C81, $M$10:$M80,$D81&amp;"_"&amp;DK$9)/CY81)</f>
        <v>-1</v>
      </c>
      <c r="DM81" s="104"/>
      <c r="DN81" s="306">
        <f t="shared" ca="1" si="222"/>
        <v>-9999</v>
      </c>
      <c r="DO81" s="15">
        <f t="shared" ca="1" si="188"/>
        <v>-9999</v>
      </c>
      <c r="DP81" s="15">
        <f t="shared" ca="1" si="189"/>
        <v>-9999</v>
      </c>
      <c r="DQ81" s="15">
        <f t="shared" ca="1" si="190"/>
        <v>-9999</v>
      </c>
      <c r="DR81" s="15">
        <f t="shared" ca="1" si="191"/>
        <v>-9999</v>
      </c>
      <c r="DS81" s="15">
        <f t="shared" ca="1" si="192"/>
        <v>-9999</v>
      </c>
      <c r="DT81" s="15">
        <f t="shared" ca="1" si="193"/>
        <v>-9999</v>
      </c>
      <c r="DU81" s="15">
        <f t="shared" ca="1" si="194"/>
        <v>-9999</v>
      </c>
      <c r="DV81" s="52">
        <f t="shared" ca="1" si="195"/>
        <v>-9999</v>
      </c>
      <c r="DW81" s="313">
        <f t="shared" ca="1" si="196"/>
        <v>-0.88216055964308793</v>
      </c>
      <c r="DX81" s="52"/>
      <c r="DY81" s="402">
        <f t="shared" ca="1" si="223"/>
        <v>9</v>
      </c>
      <c r="ED81" s="19">
        <f t="shared" ca="1" si="197"/>
        <v>-1</v>
      </c>
      <c r="EE81" s="1">
        <f t="shared" ca="1" si="198"/>
        <v>1</v>
      </c>
      <c r="EF81" s="1">
        <f t="shared" ca="1" si="199"/>
        <v>-1</v>
      </c>
      <c r="EG81" s="2">
        <f t="shared" ca="1" si="200"/>
        <v>1</v>
      </c>
      <c r="EH81" s="1">
        <f t="shared" ca="1" si="201"/>
        <v>-1</v>
      </c>
      <c r="EI81" s="3">
        <f t="shared" ca="1" si="202"/>
        <v>1</v>
      </c>
      <c r="EJ81" s="1">
        <f t="shared" ca="1" si="203"/>
        <v>0</v>
      </c>
      <c r="EK81" s="1">
        <f t="shared" ca="1" si="204"/>
        <v>0</v>
      </c>
      <c r="EL81" s="20">
        <f t="shared" ca="1" si="205"/>
        <v>-1</v>
      </c>
      <c r="EN81" s="86">
        <f ca="1">MAX(0, SUMPRODUCT($ED81:$EL81,OFFSET(DNN!$E$9:$M$9,EN$9,0)) + OFFSET(DNN!$D$9,EN$9,0))</f>
        <v>0</v>
      </c>
      <c r="EO81" s="84">
        <f ca="1">MAX(0, SUMPRODUCT($ED81:$EL81,OFFSET(DNN!$E$9:$M$9,EO$9,0)) + OFFSET(DNN!$D$9,EO$9,0))</f>
        <v>7.2346022384755949E-3</v>
      </c>
      <c r="EP81" s="84">
        <f ca="1">MAX(0, SUMPRODUCT($ED81:$EL81,OFFSET(DNN!$E$9:$M$9,EP$9,0)) + OFFSET(DNN!$D$9,EP$9,0))</f>
        <v>3.6951849750035152E-3</v>
      </c>
      <c r="EQ81" s="84">
        <f ca="1">MAX(0, SUMPRODUCT($ED81:$EL81,OFFSET(DNN!$E$9:$M$9,EQ$9,0)) + OFFSET(DNN!$D$9,EQ$9,0))</f>
        <v>0</v>
      </c>
      <c r="ER81" s="85">
        <f ca="1">MAX(0, SUMPRODUCT($ED81:$EL81,OFFSET(DNN!$E$9:$M$9,ER$9,0)) + OFFSET(DNN!$D$9,ER$9,0))</f>
        <v>0</v>
      </c>
      <c r="ET81" s="86">
        <f ca="1">MAX(0, SUMPRODUCT($EN81:$ER81,OFFSET(DNN!$Q$9:$U$9,ET$9,0)) + OFFSET(DNN!$P$9,ET$9,0))</f>
        <v>4.3954959453478351E-4</v>
      </c>
      <c r="EU81" s="84">
        <f ca="1">MAX(0, SUMPRODUCT($EN81:$ER81,OFFSET(DNN!$Q$9:$U$9,EU$9,0)) + OFFSET(DNN!$P$9,EU$9,0))</f>
        <v>0</v>
      </c>
      <c r="EV81" s="84">
        <f ca="1">MAX(0, SUMPRODUCT($EN81:$ER81,OFFSET(DNN!$Q$9:$U$9,EV$9,0)) + OFFSET(DNN!$P$9,EV$9,0))</f>
        <v>1.2810123361902579E-3</v>
      </c>
      <c r="EW81" s="84">
        <f ca="1">MAX(0, SUMPRODUCT($EN81:$ER81,OFFSET(DNN!$Q$9:$U$9,EW$9,0)) + OFFSET(DNN!$P$9,EW$9,0))</f>
        <v>7.8382123007882457E-4</v>
      </c>
      <c r="EX81" s="85">
        <f ca="1">MAX(0, SUMPRODUCT($EN81:$ER81,OFFSET(DNN!$Q$9:$U$9,EX$9,0)) + OFFSET(DNN!$P$9,EX$9,0))</f>
        <v>0</v>
      </c>
      <c r="EZ81" s="111">
        <f ca="1">SUMPRODUCT($ET81:$EX81,OFFSET(DNN!$Y$9:$AC$9,EZ$9,0)) + OFFSET(DNN!$X$9,EZ$9,0)</f>
        <v>0.43031618918982212</v>
      </c>
      <c r="FA81" s="97">
        <f ca="1">SUMPRODUCT($ET81:$EX81,OFFSET(DNN!$Y$9:$AC$9,FA$9,0)) + OFFSET(DNN!$X$9,FA$9,0)</f>
        <v>-1.2643439935754107E-5</v>
      </c>
      <c r="FB81" s="97">
        <f ca="1">SUMPRODUCT($ET81:$EX81,OFFSET(DNN!$Y$9:$AC$9,FB$9,0)) + OFFSET(DNN!$X$9,FB$9,0)</f>
        <v>1.5239793458415756E-2</v>
      </c>
      <c r="FC81" s="97">
        <f ca="1">SUMPRODUCT($ET81:$EX81,OFFSET(DNN!$Y$9:$AC$9,FC$9,0)) + OFFSET(DNN!$X$9,FC$9,0)</f>
        <v>-8.8749521084055777E-4</v>
      </c>
      <c r="FD81" s="97">
        <f ca="1">SUMPRODUCT($ET81:$EX81,OFFSET(DNN!$Y$9:$AC$9,FD$9,0)) + OFFSET(DNN!$X$9,FD$9,0)</f>
        <v>-4.235816470721872E-4</v>
      </c>
      <c r="FE81" s="97">
        <f ca="1">SUMPRODUCT($ET81:$EX81,OFFSET(DNN!$Y$9:$AC$9,FE$9,0)) + OFFSET(DNN!$X$9,FE$9,0)</f>
        <v>-1.574182761064886E-5</v>
      </c>
      <c r="FF81" s="97">
        <f ca="1">SUMPRODUCT($ET81:$EX81,OFFSET(DNN!$Y$9:$AC$9,FF$9,0)) + OFFSET(DNN!$X$9,FF$9,0)</f>
        <v>-1.3491460223194656E-3</v>
      </c>
      <c r="FG81" s="97">
        <f ca="1">SUMPRODUCT($ET81:$EX81,OFFSET(DNN!$Y$9:$AC$9,FG$9,0)) + OFFSET(DNN!$X$9,FG$9,0)</f>
        <v>-6.2604808096248285E-2</v>
      </c>
      <c r="FH81" s="97">
        <f ca="1">SUMPRODUCT($ET81:$EX81,OFFSET(DNN!$Y$9:$AC$9,FH$9,0)) + OFFSET(DNN!$X$9,FH$9,0)</f>
        <v>8.6810016937029894E-4</v>
      </c>
      <c r="FI81" s="108">
        <f ca="1">SUMPRODUCT($ET81:$EX81,OFFSET(DNN!$Y$9:$AC$9,FI$9,0)) + OFFSET(DNN!$X$9,FI$9,0)</f>
        <v>-1.3182687612562751</v>
      </c>
      <c r="FJ81" s="98">
        <f ca="1">SUMPRODUCT($ET81:$EX81,OFFSET(DNN!$Y$9:$AC$9,FJ$9,0)) + OFFSET(DNN!$X$9,FJ$9,0)</f>
        <v>-2.2535161745939301E-5</v>
      </c>
      <c r="FL81" s="415">
        <f t="shared" ca="1" si="224"/>
        <v>0.43031618918982212</v>
      </c>
      <c r="FM81" s="130">
        <f t="shared" ca="1" si="225"/>
        <v>1</v>
      </c>
      <c r="FN81" s="131">
        <f t="shared" ca="1" si="226"/>
        <v>0.65029522127322903</v>
      </c>
      <c r="FO81" s="131">
        <f t="shared" ca="1" si="227"/>
        <v>0.66028983545318687</v>
      </c>
      <c r="FP81" s="131">
        <f t="shared" ca="1" si="228"/>
        <v>0.64972655813153501</v>
      </c>
      <c r="FQ81" s="131">
        <f t="shared" ca="1" si="229"/>
        <v>0.65002804502111444</v>
      </c>
      <c r="FR81" s="131">
        <f t="shared" ca="1" si="230"/>
        <v>0.65029320640965171</v>
      </c>
      <c r="FS81" s="131">
        <f t="shared" ca="1" si="231"/>
        <v>0.64942668056342145</v>
      </c>
      <c r="FT81" s="131">
        <f t="shared" ca="1" si="232"/>
        <v>0.61083952513994022</v>
      </c>
      <c r="FU81" s="132">
        <f t="shared" ca="1" si="233"/>
        <v>0.6508682169276182</v>
      </c>
      <c r="FV81" s="131">
        <f t="shared" ca="1" si="234"/>
        <v>0.17402001625314881</v>
      </c>
      <c r="FW81" s="83">
        <f t="shared" ca="1" si="235"/>
        <v>-2.2535161742124597E-5</v>
      </c>
    </row>
    <row r="82" spans="1:179">
      <c r="A82" s="19">
        <f t="shared" si="117"/>
        <v>72</v>
      </c>
      <c r="B82" s="1">
        <f t="shared" ca="1" si="236"/>
        <v>0</v>
      </c>
      <c r="C82" s="20">
        <f t="shared" ca="1" si="237"/>
        <v>72</v>
      </c>
      <c r="D82" s="19" t="str">
        <f t="shared" ca="1" si="238"/>
        <v>〇×〇×〇×--〇</v>
      </c>
      <c r="E82" s="7">
        <f t="shared" ca="1" si="206"/>
        <v>9</v>
      </c>
      <c r="F82" s="7">
        <f t="shared" ca="1" si="207"/>
        <v>1</v>
      </c>
      <c r="G82" s="1" t="str">
        <f t="shared" ca="1" si="139"/>
        <v>〇×〇×〇×--〇</v>
      </c>
      <c r="H82" s="20" t="b">
        <f t="shared" ca="1" si="140"/>
        <v>1</v>
      </c>
      <c r="I82" s="22">
        <f t="shared" ca="1" si="239"/>
        <v>-1</v>
      </c>
      <c r="J82" s="1" t="b">
        <f ca="1">(1&lt;COUNTIF(D$10:D82,D82))</f>
        <v>1</v>
      </c>
      <c r="K82" s="1" t="b">
        <f t="shared" ca="1" si="141"/>
        <v>1</v>
      </c>
      <c r="L82" s="7">
        <f ca="1">MATCH(TRUE,K82:K$1048576,FALSE)-1</f>
        <v>0</v>
      </c>
      <c r="M82" s="24" t="str">
        <f t="shared" ca="1" si="142"/>
        <v>〇×〇×〇×--〇_9</v>
      </c>
      <c r="N82" s="25">
        <f t="shared" ca="1" si="208"/>
        <v>-2.2535161742124597E-5</v>
      </c>
      <c r="O82" s="26">
        <f t="shared" ca="1" si="209"/>
        <v>-1</v>
      </c>
      <c r="P82" s="27">
        <f t="shared" ca="1" si="210"/>
        <v>-1</v>
      </c>
      <c r="R82" s="41" t="str">
        <f ca="1">VLOOKUP(S82,cvt!$B$2:$C$4,2,FALSE)&amp;VLOOKUP(T82,cvt!$B$2:$C$4,2,FALSE)&amp;VLOOKUP(U82,cvt!$B$2:$C$4,2,FALSE)
&amp;VLOOKUP(V82,cvt!$B$2:$C$4,2,FALSE)&amp;VLOOKUP(W82,cvt!$B$2:$C$4,2,FALSE)&amp;VLOOKUP(X82,cvt!$B$2:$C$4,2,FALSE)
&amp;VLOOKUP(Y82,cvt!$B$2:$C$4,2,FALSE)&amp;VLOOKUP(Z82,cvt!$B$2:$C$4,2,FALSE)&amp;VLOOKUP(AA82,cvt!$B$2:$C$4,2,FALSE)</f>
        <v>〇×〇×〇×--〇</v>
      </c>
      <c r="S82" s="7">
        <f ca="1">VLOOKUP(MID($D82,S$9+1,1), cvt!$A$2:$B$4,2, FALSE)</f>
        <v>1</v>
      </c>
      <c r="T82" s="7">
        <f ca="1">VLOOKUP(MID($D82,T$9+1,1), cvt!$A$2:$B$4,2, FALSE)</f>
        <v>-1</v>
      </c>
      <c r="U82" s="7">
        <f ca="1">VLOOKUP(MID($D82,U$9+1,1), cvt!$A$2:$B$4,2, FALSE)</f>
        <v>1</v>
      </c>
      <c r="V82" s="17">
        <f ca="1">VLOOKUP(MID($D82,V$9+1,1), cvt!$A$2:$B$4,2, FALSE)</f>
        <v>-1</v>
      </c>
      <c r="W82" s="7">
        <f ca="1">VLOOKUP(MID($D82,W$9+1,1), cvt!$A$2:$B$4,2, FALSE)</f>
        <v>1</v>
      </c>
      <c r="X82" s="18">
        <f ca="1">VLOOKUP(MID($D82,X$9+1,1), cvt!$A$2:$B$4,2, FALSE)</f>
        <v>-1</v>
      </c>
      <c r="Y82" s="7">
        <f ca="1">VLOOKUP(MID($D82,Y$9+1,1), cvt!$A$2:$B$4,2, FALSE)</f>
        <v>0</v>
      </c>
      <c r="Z82" s="7">
        <f ca="1">VLOOKUP(MID($D82,Z$9+1,1), cvt!$A$2:$B$4,2, FALSE)</f>
        <v>0</v>
      </c>
      <c r="AA82" s="42">
        <f ca="1">VLOOKUP(MID($D82,AA$9+1,1), cvt!$A$2:$B$4,2, FALSE)</f>
        <v>1</v>
      </c>
      <c r="AB82" s="7">
        <f t="shared" ca="1" si="211"/>
        <v>1</v>
      </c>
      <c r="AC82" s="50" t="b">
        <f t="shared" ca="1" si="212"/>
        <v>1</v>
      </c>
      <c r="AE82" s="19" t="str">
        <f ca="1">VLOOKUP(AF82,cvt!$B$2:$C$4,2,FALSE)&amp;VLOOKUP(AG82,cvt!$B$2:$C$4,2,FALSE)&amp;VLOOKUP(AH82,cvt!$B$2:$C$4,2,FALSE)
&amp;VLOOKUP(AI82,cvt!$B$2:$C$4,2,FALSE)&amp;VLOOKUP(AJ82,cvt!$B$2:$C$4,2,FALSE)&amp;VLOOKUP(AK82,cvt!$B$2:$C$4,2,FALSE)
&amp;VLOOKUP(AL82,cvt!$B$2:$C$4,2,FALSE)&amp;VLOOKUP(AM82,cvt!$B$2:$C$4,2,FALSE)&amp;VLOOKUP(AN82,cvt!$B$2:$C$4,2,FALSE)</f>
        <v>〇×〇×〇×--〇</v>
      </c>
      <c r="AF82" s="17">
        <f t="shared" ca="1" si="143"/>
        <v>1</v>
      </c>
      <c r="AG82" s="7">
        <f t="shared" ca="1" si="144"/>
        <v>-1</v>
      </c>
      <c r="AH82" s="7">
        <f t="shared" ca="1" si="145"/>
        <v>1</v>
      </c>
      <c r="AI82" s="17">
        <f t="shared" ca="1" si="146"/>
        <v>-1</v>
      </c>
      <c r="AJ82" s="7">
        <f t="shared" ca="1" si="147"/>
        <v>1</v>
      </c>
      <c r="AK82" s="18">
        <f t="shared" ca="1" si="148"/>
        <v>-1</v>
      </c>
      <c r="AL82" s="7">
        <f t="shared" ca="1" si="149"/>
        <v>0</v>
      </c>
      <c r="AM82" s="7">
        <f t="shared" ca="1" si="150"/>
        <v>0</v>
      </c>
      <c r="AN82" s="18">
        <f t="shared" ca="1" si="151"/>
        <v>1</v>
      </c>
      <c r="AO82" s="7">
        <f t="shared" ca="1" si="213"/>
        <v>1</v>
      </c>
      <c r="AP82" s="50" t="b">
        <f t="shared" ca="1" si="152"/>
        <v>1</v>
      </c>
      <c r="AS82" s="22">
        <f t="shared" ca="1" si="214"/>
        <v>0</v>
      </c>
      <c r="AT82" s="7">
        <f t="shared" ca="1" si="153"/>
        <v>0</v>
      </c>
      <c r="AU82" s="7">
        <f t="shared" ca="1" si="154"/>
        <v>0</v>
      </c>
      <c r="AV82" s="7">
        <f t="shared" ca="1" si="155"/>
        <v>0</v>
      </c>
      <c r="AW82" s="7">
        <f t="shared" ca="1" si="156"/>
        <v>0</v>
      </c>
      <c r="AX82" s="7">
        <f t="shared" ca="1" si="157"/>
        <v>0</v>
      </c>
      <c r="AY82" s="7">
        <f t="shared" ca="1" si="158"/>
        <v>0</v>
      </c>
      <c r="AZ82" s="7">
        <f t="shared" ca="1" si="159"/>
        <v>0</v>
      </c>
      <c r="BA82" s="18">
        <f t="shared" ca="1" si="160"/>
        <v>0</v>
      </c>
      <c r="BB82" s="295">
        <f t="shared" ca="1" si="215"/>
        <v>1</v>
      </c>
      <c r="BD82" s="132"/>
      <c r="BE82" s="297">
        <f t="shared" ca="1" si="216"/>
        <v>1</v>
      </c>
      <c r="BF82" s="298">
        <f t="shared" ca="1" si="161"/>
        <v>0.65029522127322903</v>
      </c>
      <c r="BG82" s="298">
        <f t="shared" ca="1" si="162"/>
        <v>0.66028983545318687</v>
      </c>
      <c r="BH82" s="318">
        <f t="shared" ca="1" si="163"/>
        <v>0.64972655813153501</v>
      </c>
      <c r="BI82" s="298">
        <f t="shared" ca="1" si="164"/>
        <v>0.65002804502111444</v>
      </c>
      <c r="BJ82" s="299">
        <f t="shared" ca="1" si="165"/>
        <v>0.65029320640965171</v>
      </c>
      <c r="BK82" s="298">
        <f t="shared" ca="1" si="166"/>
        <v>0.64942668056342145</v>
      </c>
      <c r="BL82" s="298">
        <f t="shared" ca="1" si="167"/>
        <v>0.61083952513994022</v>
      </c>
      <c r="BM82" s="299">
        <f t="shared" ca="1" si="168"/>
        <v>0.6508682169276182</v>
      </c>
      <c r="BN82" s="295">
        <f t="shared" ca="1" si="169"/>
        <v>0.17402001625314881</v>
      </c>
      <c r="BO82" s="248">
        <f t="shared" ca="1" si="217"/>
        <v>-2.2535161742124597E-5</v>
      </c>
      <c r="BQ82" s="304">
        <f t="shared" ca="1" si="218"/>
        <v>0.42412001625314877</v>
      </c>
      <c r="BR82" s="297">
        <f t="shared" ca="1" si="219"/>
        <v>0</v>
      </c>
      <c r="BS82" s="298">
        <f t="shared" ca="1" si="170"/>
        <v>0</v>
      </c>
      <c r="BT82" s="298">
        <f t="shared" ca="1" si="171"/>
        <v>0</v>
      </c>
      <c r="BU82" s="318">
        <f t="shared" ca="1" si="172"/>
        <v>0</v>
      </c>
      <c r="BV82" s="298">
        <f t="shared" ca="1" si="173"/>
        <v>0</v>
      </c>
      <c r="BW82" s="299">
        <f t="shared" ca="1" si="174"/>
        <v>0</v>
      </c>
      <c r="BX82" s="298">
        <f t="shared" ca="1" si="175"/>
        <v>0</v>
      </c>
      <c r="BY82" s="298">
        <f t="shared" ca="1" si="176"/>
        <v>0</v>
      </c>
      <c r="BZ82" s="298">
        <f t="shared" ca="1" si="177"/>
        <v>0</v>
      </c>
      <c r="CA82" s="315">
        <f t="shared" ca="1" si="178"/>
        <v>0.42412001625314877</v>
      </c>
      <c r="CC82" s="52"/>
      <c r="CD82" s="306">
        <f t="shared" ca="1" si="220"/>
        <v>0</v>
      </c>
      <c r="CE82" s="15">
        <f t="shared" ca="1" si="179"/>
        <v>0</v>
      </c>
      <c r="CF82" s="15">
        <f t="shared" ca="1" si="180"/>
        <v>0</v>
      </c>
      <c r="CG82" s="286">
        <f t="shared" ca="1" si="181"/>
        <v>0</v>
      </c>
      <c r="CH82" s="15">
        <f t="shared" ca="1" si="182"/>
        <v>0</v>
      </c>
      <c r="CI82" s="288">
        <f t="shared" ca="1" si="183"/>
        <v>0</v>
      </c>
      <c r="CJ82" s="15">
        <f t="shared" ca="1" si="184"/>
        <v>0</v>
      </c>
      <c r="CK82" s="15">
        <f t="shared" ca="1" si="185"/>
        <v>0</v>
      </c>
      <c r="CL82" s="15">
        <f t="shared" ca="1" si="186"/>
        <v>0</v>
      </c>
      <c r="CM82" s="313">
        <f t="shared" ca="1" si="187"/>
        <v>1</v>
      </c>
      <c r="CO82" s="320">
        <f t="shared" ca="1" si="221"/>
        <v>71</v>
      </c>
      <c r="CP82" s="22">
        <f ca="1">COUNTIFS($C$10:$C81,"&lt;"&amp;$C82,$M$10:$M81,$D82&amp;"_"&amp;CP$9)</f>
        <v>0</v>
      </c>
      <c r="CQ82" s="7">
        <f ca="1">COUNTIFS($C$10:$C81,"&lt;"&amp;$C82,$M$10:$M81,$D82&amp;"_"&amp;CQ$9)</f>
        <v>0</v>
      </c>
      <c r="CR82" s="7">
        <f ca="1">COUNTIFS($C$10:$C81,"&lt;"&amp;$C82,$M$10:$M81,$D82&amp;"_"&amp;CR$9)</f>
        <v>0</v>
      </c>
      <c r="CS82" s="17">
        <f ca="1">COUNTIFS($C$10:$C81,"&lt;"&amp;$C82,$M$10:$M81,$D82&amp;"_"&amp;CS$9)</f>
        <v>0</v>
      </c>
      <c r="CT82" s="7">
        <f ca="1">COUNTIFS($C$10:$C81,"&lt;"&amp;$C82,$M$10:$M81,$D82&amp;"_"&amp;CT$9)</f>
        <v>0</v>
      </c>
      <c r="CU82" s="18">
        <f ca="1">COUNTIFS($C$10:$C81,"&lt;"&amp;$C82,$M$10:$M81,$D82&amp;"_"&amp;CU$9)</f>
        <v>0</v>
      </c>
      <c r="CV82" s="7">
        <f ca="1">COUNTIFS($C$10:$C81,"&lt;"&amp;$C82,$M$10:$M81,$D82&amp;"_"&amp;CV$9)</f>
        <v>0</v>
      </c>
      <c r="CW82" s="7">
        <f ca="1">COUNTIFS($C$10:$C81,"&lt;"&amp;$C82,$M$10:$M81,$D82&amp;"_"&amp;CW$9)</f>
        <v>0</v>
      </c>
      <c r="CX82" s="7">
        <f ca="1">COUNTIFS($C$10:$C81,"&lt;"&amp;$C82,$M$10:$M81,$D82&amp;"_"&amp;CX$9)</f>
        <v>0</v>
      </c>
      <c r="CY82" s="221">
        <f ca="1">COUNTIFS($C$10:$C81,"&lt;"&amp;$C82,$M$10:$M81,$D82&amp;"_"&amp;CY$9)</f>
        <v>71</v>
      </c>
      <c r="DA82" s="20"/>
      <c r="DB82" s="308">
        <f ca="1">IF(CP82=0,0,SUMIFS($P$10:$P81, $C$10:$C81,"&lt;"&amp;$C82, $M$10:$M81,$D82&amp;"_"&amp;DB$9)/CP82)</f>
        <v>0</v>
      </c>
      <c r="DC82" s="263">
        <f ca="1">IF(CQ82=0,0,SUMIFS($P$10:$P81, $C$10:$C81,"&lt;"&amp;$C82, $M$10:$M81,$D82&amp;"_"&amp;DC$9)/CQ82)</f>
        <v>0</v>
      </c>
      <c r="DD82" s="263">
        <f ca="1">IF(CR82=0,0,SUMIFS($P$10:$P81, $C$10:$C81,"&lt;"&amp;$C82, $M$10:$M81,$D82&amp;"_"&amp;DD$9)/CR82)</f>
        <v>0</v>
      </c>
      <c r="DE82" s="262">
        <f ca="1">IF(CS82=0,0,SUMIFS($P$10:$P81, $C$10:$C81,"&lt;"&amp;$C82, $M$10:$M81,$D82&amp;"_"&amp;DE$9)/CS82)</f>
        <v>0</v>
      </c>
      <c r="DF82" s="263">
        <f ca="1">IF(CT82=0,0,SUMIFS($P$10:$P81, $C$10:$C81,"&lt;"&amp;$C82, $M$10:$M81,$D82&amp;"_"&amp;DF$9)/CT82)</f>
        <v>0</v>
      </c>
      <c r="DG82" s="310">
        <f ca="1">IF(CU82=0,0,SUMIFS($P$10:$P81, $C$10:$C81,"&lt;"&amp;$C82, $M$10:$M81,$D82&amp;"_"&amp;DG$9)/CU82)</f>
        <v>0</v>
      </c>
      <c r="DH82" s="263">
        <f ca="1">IF(CV82=0,0,SUMIFS($P$10:$P81, $C$10:$C81,"&lt;"&amp;$C82, $M$10:$M81,$D82&amp;"_"&amp;DH$9)/CV82)</f>
        <v>0</v>
      </c>
      <c r="DI82" s="263">
        <f ca="1">IF(CW82=0,0,SUMIFS($P$10:$P81, $C$10:$C81,"&lt;"&amp;$C82, $M$10:$M81,$D82&amp;"_"&amp;DI$9)/CW82)</f>
        <v>0</v>
      </c>
      <c r="DJ82" s="264">
        <f ca="1">IF(CX82=0,0,SUMIFS($P$10:$P81, $C$10:$C81,"&lt;"&amp;$C82, $M$10:$M81,$D82&amp;"_"&amp;DJ$9)/CX82)</f>
        <v>0</v>
      </c>
      <c r="DK82" s="264">
        <f ca="1">IF(CY82=0,0,SUMIFS($P$10:$P81, $C$10:$C81,"&lt;"&amp;$C82, $M$10:$M81,$D82&amp;"_"&amp;DK$9)/CY82)</f>
        <v>-1</v>
      </c>
      <c r="DM82" s="104"/>
      <c r="DN82" s="306">
        <f t="shared" ca="1" si="222"/>
        <v>-9999</v>
      </c>
      <c r="DO82" s="15">
        <f t="shared" ca="1" si="188"/>
        <v>-9999</v>
      </c>
      <c r="DP82" s="15">
        <f t="shared" ca="1" si="189"/>
        <v>-9999</v>
      </c>
      <c r="DQ82" s="15">
        <f t="shared" ca="1" si="190"/>
        <v>-9999</v>
      </c>
      <c r="DR82" s="15">
        <f t="shared" ca="1" si="191"/>
        <v>-9999</v>
      </c>
      <c r="DS82" s="15">
        <f t="shared" ca="1" si="192"/>
        <v>-9999</v>
      </c>
      <c r="DT82" s="15">
        <f t="shared" ca="1" si="193"/>
        <v>-9999</v>
      </c>
      <c r="DU82" s="15">
        <f t="shared" ca="1" si="194"/>
        <v>-9999</v>
      </c>
      <c r="DV82" s="52">
        <f t="shared" ca="1" si="195"/>
        <v>-9999</v>
      </c>
      <c r="DW82" s="313">
        <f t="shared" ca="1" si="196"/>
        <v>-0.8829701420392172</v>
      </c>
      <c r="DX82" s="52"/>
      <c r="DY82" s="402">
        <f t="shared" ca="1" si="223"/>
        <v>9</v>
      </c>
      <c r="ED82" s="19">
        <f t="shared" ca="1" si="197"/>
        <v>-1</v>
      </c>
      <c r="EE82" s="1">
        <f t="shared" ca="1" si="198"/>
        <v>1</v>
      </c>
      <c r="EF82" s="1">
        <f t="shared" ca="1" si="199"/>
        <v>-1</v>
      </c>
      <c r="EG82" s="2">
        <f t="shared" ca="1" si="200"/>
        <v>1</v>
      </c>
      <c r="EH82" s="1">
        <f t="shared" ca="1" si="201"/>
        <v>-1</v>
      </c>
      <c r="EI82" s="3">
        <f t="shared" ca="1" si="202"/>
        <v>1</v>
      </c>
      <c r="EJ82" s="1">
        <f t="shared" ca="1" si="203"/>
        <v>0</v>
      </c>
      <c r="EK82" s="1">
        <f t="shared" ca="1" si="204"/>
        <v>0</v>
      </c>
      <c r="EL82" s="20">
        <f t="shared" ca="1" si="205"/>
        <v>-1</v>
      </c>
      <c r="EN82" s="86">
        <f ca="1">MAX(0, SUMPRODUCT($ED82:$EL82,OFFSET(DNN!$E$9:$M$9,EN$9,0)) + OFFSET(DNN!$D$9,EN$9,0))</f>
        <v>0</v>
      </c>
      <c r="EO82" s="84">
        <f ca="1">MAX(0, SUMPRODUCT($ED82:$EL82,OFFSET(DNN!$E$9:$M$9,EO$9,0)) + OFFSET(DNN!$D$9,EO$9,0))</f>
        <v>7.2346022384755949E-3</v>
      </c>
      <c r="EP82" s="84">
        <f ca="1">MAX(0, SUMPRODUCT($ED82:$EL82,OFFSET(DNN!$E$9:$M$9,EP$9,0)) + OFFSET(DNN!$D$9,EP$9,0))</f>
        <v>3.6951849750035152E-3</v>
      </c>
      <c r="EQ82" s="84">
        <f ca="1">MAX(0, SUMPRODUCT($ED82:$EL82,OFFSET(DNN!$E$9:$M$9,EQ$9,0)) + OFFSET(DNN!$D$9,EQ$9,0))</f>
        <v>0</v>
      </c>
      <c r="ER82" s="85">
        <f ca="1">MAX(0, SUMPRODUCT($ED82:$EL82,OFFSET(DNN!$E$9:$M$9,ER$9,0)) + OFFSET(DNN!$D$9,ER$9,0))</f>
        <v>0</v>
      </c>
      <c r="ET82" s="86">
        <f ca="1">MAX(0, SUMPRODUCT($EN82:$ER82,OFFSET(DNN!$Q$9:$U$9,ET$9,0)) + OFFSET(DNN!$P$9,ET$9,0))</f>
        <v>4.3954959453478351E-4</v>
      </c>
      <c r="EU82" s="84">
        <f ca="1">MAX(0, SUMPRODUCT($EN82:$ER82,OFFSET(DNN!$Q$9:$U$9,EU$9,0)) + OFFSET(DNN!$P$9,EU$9,0))</f>
        <v>0</v>
      </c>
      <c r="EV82" s="84">
        <f ca="1">MAX(0, SUMPRODUCT($EN82:$ER82,OFFSET(DNN!$Q$9:$U$9,EV$9,0)) + OFFSET(DNN!$P$9,EV$9,0))</f>
        <v>1.2810123361902579E-3</v>
      </c>
      <c r="EW82" s="84">
        <f ca="1">MAX(0, SUMPRODUCT($EN82:$ER82,OFFSET(DNN!$Q$9:$U$9,EW$9,0)) + OFFSET(DNN!$P$9,EW$9,0))</f>
        <v>7.8382123007882457E-4</v>
      </c>
      <c r="EX82" s="85">
        <f ca="1">MAX(0, SUMPRODUCT($EN82:$ER82,OFFSET(DNN!$Q$9:$U$9,EX$9,0)) + OFFSET(DNN!$P$9,EX$9,0))</f>
        <v>0</v>
      </c>
      <c r="EZ82" s="111">
        <f ca="1">SUMPRODUCT($ET82:$EX82,OFFSET(DNN!$Y$9:$AC$9,EZ$9,0)) + OFFSET(DNN!$X$9,EZ$9,0)</f>
        <v>0.43031618918982212</v>
      </c>
      <c r="FA82" s="97">
        <f ca="1">SUMPRODUCT($ET82:$EX82,OFFSET(DNN!$Y$9:$AC$9,FA$9,0)) + OFFSET(DNN!$X$9,FA$9,0)</f>
        <v>-1.2643439935754107E-5</v>
      </c>
      <c r="FB82" s="97">
        <f ca="1">SUMPRODUCT($ET82:$EX82,OFFSET(DNN!$Y$9:$AC$9,FB$9,0)) + OFFSET(DNN!$X$9,FB$9,0)</f>
        <v>1.5239793458415756E-2</v>
      </c>
      <c r="FC82" s="97">
        <f ca="1">SUMPRODUCT($ET82:$EX82,OFFSET(DNN!$Y$9:$AC$9,FC$9,0)) + OFFSET(DNN!$X$9,FC$9,0)</f>
        <v>-8.8749521084055777E-4</v>
      </c>
      <c r="FD82" s="97">
        <f ca="1">SUMPRODUCT($ET82:$EX82,OFFSET(DNN!$Y$9:$AC$9,FD$9,0)) + OFFSET(DNN!$X$9,FD$9,0)</f>
        <v>-4.235816470721872E-4</v>
      </c>
      <c r="FE82" s="97">
        <f ca="1">SUMPRODUCT($ET82:$EX82,OFFSET(DNN!$Y$9:$AC$9,FE$9,0)) + OFFSET(DNN!$X$9,FE$9,0)</f>
        <v>-1.574182761064886E-5</v>
      </c>
      <c r="FF82" s="97">
        <f ca="1">SUMPRODUCT($ET82:$EX82,OFFSET(DNN!$Y$9:$AC$9,FF$9,0)) + OFFSET(DNN!$X$9,FF$9,0)</f>
        <v>-1.3491460223194656E-3</v>
      </c>
      <c r="FG82" s="97">
        <f ca="1">SUMPRODUCT($ET82:$EX82,OFFSET(DNN!$Y$9:$AC$9,FG$9,0)) + OFFSET(DNN!$X$9,FG$9,0)</f>
        <v>-6.2604808096248285E-2</v>
      </c>
      <c r="FH82" s="97">
        <f ca="1">SUMPRODUCT($ET82:$EX82,OFFSET(DNN!$Y$9:$AC$9,FH$9,0)) + OFFSET(DNN!$X$9,FH$9,0)</f>
        <v>8.6810016937029894E-4</v>
      </c>
      <c r="FI82" s="108">
        <f ca="1">SUMPRODUCT($ET82:$EX82,OFFSET(DNN!$Y$9:$AC$9,FI$9,0)) + OFFSET(DNN!$X$9,FI$9,0)</f>
        <v>-1.3182687612562751</v>
      </c>
      <c r="FJ82" s="98">
        <f ca="1">SUMPRODUCT($ET82:$EX82,OFFSET(DNN!$Y$9:$AC$9,FJ$9,0)) + OFFSET(DNN!$X$9,FJ$9,0)</f>
        <v>-2.2535161745939301E-5</v>
      </c>
      <c r="FL82" s="415">
        <f t="shared" ca="1" si="224"/>
        <v>0.43031618918982212</v>
      </c>
      <c r="FM82" s="130">
        <f t="shared" ca="1" si="225"/>
        <v>1</v>
      </c>
      <c r="FN82" s="131">
        <f t="shared" ca="1" si="226"/>
        <v>0.65029522127322903</v>
      </c>
      <c r="FO82" s="131">
        <f t="shared" ca="1" si="227"/>
        <v>0.66028983545318687</v>
      </c>
      <c r="FP82" s="131">
        <f t="shared" ca="1" si="228"/>
        <v>0.64972655813153501</v>
      </c>
      <c r="FQ82" s="131">
        <f t="shared" ca="1" si="229"/>
        <v>0.65002804502111444</v>
      </c>
      <c r="FR82" s="131">
        <f t="shared" ca="1" si="230"/>
        <v>0.65029320640965171</v>
      </c>
      <c r="FS82" s="131">
        <f t="shared" ca="1" si="231"/>
        <v>0.64942668056342145</v>
      </c>
      <c r="FT82" s="131">
        <f t="shared" ca="1" si="232"/>
        <v>0.61083952513994022</v>
      </c>
      <c r="FU82" s="132">
        <f t="shared" ca="1" si="233"/>
        <v>0.6508682169276182</v>
      </c>
      <c r="FV82" s="131">
        <f t="shared" ca="1" si="234"/>
        <v>0.17402001625314881</v>
      </c>
      <c r="FW82" s="83">
        <f t="shared" ca="1" si="235"/>
        <v>-2.2535161742124597E-5</v>
      </c>
    </row>
    <row r="83" spans="1:179">
      <c r="A83" s="19">
        <f t="shared" ref="A83:A145" si="240">A82+1</f>
        <v>73</v>
      </c>
      <c r="B83" s="1">
        <f t="shared" ca="1" si="236"/>
        <v>0</v>
      </c>
      <c r="C83" s="20">
        <f t="shared" ca="1" si="237"/>
        <v>73</v>
      </c>
      <c r="D83" s="19" t="str">
        <f t="shared" ca="1" si="238"/>
        <v>〇×〇×〇×--〇</v>
      </c>
      <c r="E83" s="7">
        <f t="shared" ca="1" si="206"/>
        <v>9</v>
      </c>
      <c r="F83" s="7">
        <f t="shared" ca="1" si="207"/>
        <v>1</v>
      </c>
      <c r="G83" s="1" t="str">
        <f t="shared" ca="1" si="139"/>
        <v>〇×〇×〇×--〇</v>
      </c>
      <c r="H83" s="20" t="b">
        <f t="shared" ca="1" si="140"/>
        <v>1</v>
      </c>
      <c r="I83" s="22">
        <f t="shared" ca="1" si="239"/>
        <v>-1</v>
      </c>
      <c r="J83" s="1" t="b">
        <f ca="1">(1&lt;COUNTIF(D$10:D83,D83))</f>
        <v>1</v>
      </c>
      <c r="K83" s="1" t="b">
        <f t="shared" ca="1" si="141"/>
        <v>1</v>
      </c>
      <c r="L83" s="7">
        <f ca="1">MATCH(TRUE,K83:K$1048576,FALSE)-1</f>
        <v>0</v>
      </c>
      <c r="M83" s="24" t="str">
        <f t="shared" ca="1" si="142"/>
        <v>〇×〇×〇×--〇_9</v>
      </c>
      <c r="N83" s="25">
        <f t="shared" ca="1" si="208"/>
        <v>-2.2535161742124597E-5</v>
      </c>
      <c r="O83" s="26">
        <f t="shared" ca="1" si="209"/>
        <v>-1</v>
      </c>
      <c r="P83" s="27">
        <f t="shared" ca="1" si="210"/>
        <v>-1</v>
      </c>
      <c r="R83" s="41" t="str">
        <f ca="1">VLOOKUP(S83,cvt!$B$2:$C$4,2,FALSE)&amp;VLOOKUP(T83,cvt!$B$2:$C$4,2,FALSE)&amp;VLOOKUP(U83,cvt!$B$2:$C$4,2,FALSE)
&amp;VLOOKUP(V83,cvt!$B$2:$C$4,2,FALSE)&amp;VLOOKUP(W83,cvt!$B$2:$C$4,2,FALSE)&amp;VLOOKUP(X83,cvt!$B$2:$C$4,2,FALSE)
&amp;VLOOKUP(Y83,cvt!$B$2:$C$4,2,FALSE)&amp;VLOOKUP(Z83,cvt!$B$2:$C$4,2,FALSE)&amp;VLOOKUP(AA83,cvt!$B$2:$C$4,2,FALSE)</f>
        <v>〇×〇×〇×--〇</v>
      </c>
      <c r="S83" s="7">
        <f ca="1">VLOOKUP(MID($D83,S$9+1,1), cvt!$A$2:$B$4,2, FALSE)</f>
        <v>1</v>
      </c>
      <c r="T83" s="7">
        <f ca="1">VLOOKUP(MID($D83,T$9+1,1), cvt!$A$2:$B$4,2, FALSE)</f>
        <v>-1</v>
      </c>
      <c r="U83" s="7">
        <f ca="1">VLOOKUP(MID($D83,U$9+1,1), cvt!$A$2:$B$4,2, FALSE)</f>
        <v>1</v>
      </c>
      <c r="V83" s="17">
        <f ca="1">VLOOKUP(MID($D83,V$9+1,1), cvt!$A$2:$B$4,2, FALSE)</f>
        <v>-1</v>
      </c>
      <c r="W83" s="7">
        <f ca="1">VLOOKUP(MID($D83,W$9+1,1), cvt!$A$2:$B$4,2, FALSE)</f>
        <v>1</v>
      </c>
      <c r="X83" s="18">
        <f ca="1">VLOOKUP(MID($D83,X$9+1,1), cvt!$A$2:$B$4,2, FALSE)</f>
        <v>-1</v>
      </c>
      <c r="Y83" s="7">
        <f ca="1">VLOOKUP(MID($D83,Y$9+1,1), cvt!$A$2:$B$4,2, FALSE)</f>
        <v>0</v>
      </c>
      <c r="Z83" s="7">
        <f ca="1">VLOOKUP(MID($D83,Z$9+1,1), cvt!$A$2:$B$4,2, FALSE)</f>
        <v>0</v>
      </c>
      <c r="AA83" s="42">
        <f ca="1">VLOOKUP(MID($D83,AA$9+1,1), cvt!$A$2:$B$4,2, FALSE)</f>
        <v>1</v>
      </c>
      <c r="AB83" s="7">
        <f t="shared" ca="1" si="211"/>
        <v>1</v>
      </c>
      <c r="AC83" s="50" t="b">
        <f t="shared" ca="1" si="212"/>
        <v>1</v>
      </c>
      <c r="AE83" s="19" t="str">
        <f ca="1">VLOOKUP(AF83,cvt!$B$2:$C$4,2,FALSE)&amp;VLOOKUP(AG83,cvt!$B$2:$C$4,2,FALSE)&amp;VLOOKUP(AH83,cvt!$B$2:$C$4,2,FALSE)
&amp;VLOOKUP(AI83,cvt!$B$2:$C$4,2,FALSE)&amp;VLOOKUP(AJ83,cvt!$B$2:$C$4,2,FALSE)&amp;VLOOKUP(AK83,cvt!$B$2:$C$4,2,FALSE)
&amp;VLOOKUP(AL83,cvt!$B$2:$C$4,2,FALSE)&amp;VLOOKUP(AM83,cvt!$B$2:$C$4,2,FALSE)&amp;VLOOKUP(AN83,cvt!$B$2:$C$4,2,FALSE)</f>
        <v>〇×〇×〇×--〇</v>
      </c>
      <c r="AF83" s="17">
        <f t="shared" ca="1" si="143"/>
        <v>1</v>
      </c>
      <c r="AG83" s="7">
        <f t="shared" ca="1" si="144"/>
        <v>-1</v>
      </c>
      <c r="AH83" s="7">
        <f t="shared" ca="1" si="145"/>
        <v>1</v>
      </c>
      <c r="AI83" s="17">
        <f t="shared" ca="1" si="146"/>
        <v>-1</v>
      </c>
      <c r="AJ83" s="7">
        <f t="shared" ca="1" si="147"/>
        <v>1</v>
      </c>
      <c r="AK83" s="18">
        <f t="shared" ca="1" si="148"/>
        <v>-1</v>
      </c>
      <c r="AL83" s="7">
        <f t="shared" ca="1" si="149"/>
        <v>0</v>
      </c>
      <c r="AM83" s="7">
        <f t="shared" ca="1" si="150"/>
        <v>0</v>
      </c>
      <c r="AN83" s="18">
        <f t="shared" ca="1" si="151"/>
        <v>1</v>
      </c>
      <c r="AO83" s="7">
        <f t="shared" ca="1" si="213"/>
        <v>1</v>
      </c>
      <c r="AP83" s="50" t="b">
        <f t="shared" ca="1" si="152"/>
        <v>1</v>
      </c>
      <c r="AS83" s="22">
        <f t="shared" ca="1" si="214"/>
        <v>0</v>
      </c>
      <c r="AT83" s="7">
        <f t="shared" ca="1" si="153"/>
        <v>0</v>
      </c>
      <c r="AU83" s="7">
        <f t="shared" ca="1" si="154"/>
        <v>0</v>
      </c>
      <c r="AV83" s="7">
        <f t="shared" ca="1" si="155"/>
        <v>0</v>
      </c>
      <c r="AW83" s="7">
        <f t="shared" ca="1" si="156"/>
        <v>0</v>
      </c>
      <c r="AX83" s="7">
        <f t="shared" ca="1" si="157"/>
        <v>0</v>
      </c>
      <c r="AY83" s="7">
        <f t="shared" ca="1" si="158"/>
        <v>0</v>
      </c>
      <c r="AZ83" s="7">
        <f t="shared" ca="1" si="159"/>
        <v>0</v>
      </c>
      <c r="BA83" s="18">
        <f t="shared" ca="1" si="160"/>
        <v>0</v>
      </c>
      <c r="BB83" s="295">
        <f t="shared" ca="1" si="215"/>
        <v>1</v>
      </c>
      <c r="BD83" s="132"/>
      <c r="BE83" s="297">
        <f t="shared" ca="1" si="216"/>
        <v>1</v>
      </c>
      <c r="BF83" s="298">
        <f t="shared" ca="1" si="161"/>
        <v>0.65029522127322903</v>
      </c>
      <c r="BG83" s="298">
        <f t="shared" ca="1" si="162"/>
        <v>0.66028983545318687</v>
      </c>
      <c r="BH83" s="318">
        <f t="shared" ca="1" si="163"/>
        <v>0.64972655813153501</v>
      </c>
      <c r="BI83" s="298">
        <f t="shared" ca="1" si="164"/>
        <v>0.65002804502111444</v>
      </c>
      <c r="BJ83" s="299">
        <f t="shared" ca="1" si="165"/>
        <v>0.65029320640965171</v>
      </c>
      <c r="BK83" s="298">
        <f t="shared" ca="1" si="166"/>
        <v>0.64942668056342145</v>
      </c>
      <c r="BL83" s="298">
        <f t="shared" ca="1" si="167"/>
        <v>0.61083952513994022</v>
      </c>
      <c r="BM83" s="299">
        <f t="shared" ca="1" si="168"/>
        <v>0.6508682169276182</v>
      </c>
      <c r="BN83" s="295">
        <f t="shared" ca="1" si="169"/>
        <v>0.17402001625314881</v>
      </c>
      <c r="BO83" s="248">
        <f t="shared" ca="1" si="217"/>
        <v>-2.2535161742124597E-5</v>
      </c>
      <c r="BQ83" s="304">
        <f t="shared" ca="1" si="218"/>
        <v>0.42412001625314877</v>
      </c>
      <c r="BR83" s="297">
        <f t="shared" ca="1" si="219"/>
        <v>0</v>
      </c>
      <c r="BS83" s="298">
        <f t="shared" ca="1" si="170"/>
        <v>0</v>
      </c>
      <c r="BT83" s="298">
        <f t="shared" ca="1" si="171"/>
        <v>0</v>
      </c>
      <c r="BU83" s="318">
        <f t="shared" ca="1" si="172"/>
        <v>0</v>
      </c>
      <c r="BV83" s="298">
        <f t="shared" ca="1" si="173"/>
        <v>0</v>
      </c>
      <c r="BW83" s="299">
        <f t="shared" ca="1" si="174"/>
        <v>0</v>
      </c>
      <c r="BX83" s="298">
        <f t="shared" ca="1" si="175"/>
        <v>0</v>
      </c>
      <c r="BY83" s="298">
        <f t="shared" ca="1" si="176"/>
        <v>0</v>
      </c>
      <c r="BZ83" s="298">
        <f t="shared" ca="1" si="177"/>
        <v>0</v>
      </c>
      <c r="CA83" s="315">
        <f t="shared" ca="1" si="178"/>
        <v>0.42412001625314877</v>
      </c>
      <c r="CC83" s="52"/>
      <c r="CD83" s="306">
        <f t="shared" ca="1" si="220"/>
        <v>0</v>
      </c>
      <c r="CE83" s="15">
        <f t="shared" ca="1" si="179"/>
        <v>0</v>
      </c>
      <c r="CF83" s="15">
        <f t="shared" ca="1" si="180"/>
        <v>0</v>
      </c>
      <c r="CG83" s="286">
        <f t="shared" ca="1" si="181"/>
        <v>0</v>
      </c>
      <c r="CH83" s="15">
        <f t="shared" ca="1" si="182"/>
        <v>0</v>
      </c>
      <c r="CI83" s="288">
        <f t="shared" ca="1" si="183"/>
        <v>0</v>
      </c>
      <c r="CJ83" s="15">
        <f t="shared" ca="1" si="184"/>
        <v>0</v>
      </c>
      <c r="CK83" s="15">
        <f t="shared" ca="1" si="185"/>
        <v>0</v>
      </c>
      <c r="CL83" s="15">
        <f t="shared" ca="1" si="186"/>
        <v>0</v>
      </c>
      <c r="CM83" s="313">
        <f t="shared" ca="1" si="187"/>
        <v>1</v>
      </c>
      <c r="CO83" s="320">
        <f t="shared" ca="1" si="221"/>
        <v>72</v>
      </c>
      <c r="CP83" s="22">
        <f ca="1">COUNTIFS($C$10:$C82,"&lt;"&amp;$C83,$M$10:$M82,$D83&amp;"_"&amp;CP$9)</f>
        <v>0</v>
      </c>
      <c r="CQ83" s="7">
        <f ca="1">COUNTIFS($C$10:$C82,"&lt;"&amp;$C83,$M$10:$M82,$D83&amp;"_"&amp;CQ$9)</f>
        <v>0</v>
      </c>
      <c r="CR83" s="7">
        <f ca="1">COUNTIFS($C$10:$C82,"&lt;"&amp;$C83,$M$10:$M82,$D83&amp;"_"&amp;CR$9)</f>
        <v>0</v>
      </c>
      <c r="CS83" s="17">
        <f ca="1">COUNTIFS($C$10:$C82,"&lt;"&amp;$C83,$M$10:$M82,$D83&amp;"_"&amp;CS$9)</f>
        <v>0</v>
      </c>
      <c r="CT83" s="7">
        <f ca="1">COUNTIFS($C$10:$C82,"&lt;"&amp;$C83,$M$10:$M82,$D83&amp;"_"&amp;CT$9)</f>
        <v>0</v>
      </c>
      <c r="CU83" s="18">
        <f ca="1">COUNTIFS($C$10:$C82,"&lt;"&amp;$C83,$M$10:$M82,$D83&amp;"_"&amp;CU$9)</f>
        <v>0</v>
      </c>
      <c r="CV83" s="7">
        <f ca="1">COUNTIFS($C$10:$C82,"&lt;"&amp;$C83,$M$10:$M82,$D83&amp;"_"&amp;CV$9)</f>
        <v>0</v>
      </c>
      <c r="CW83" s="7">
        <f ca="1">COUNTIFS($C$10:$C82,"&lt;"&amp;$C83,$M$10:$M82,$D83&amp;"_"&amp;CW$9)</f>
        <v>0</v>
      </c>
      <c r="CX83" s="7">
        <f ca="1">COUNTIFS($C$10:$C82,"&lt;"&amp;$C83,$M$10:$M82,$D83&amp;"_"&amp;CX$9)</f>
        <v>0</v>
      </c>
      <c r="CY83" s="221">
        <f ca="1">COUNTIFS($C$10:$C82,"&lt;"&amp;$C83,$M$10:$M82,$D83&amp;"_"&amp;CY$9)</f>
        <v>72</v>
      </c>
      <c r="DA83" s="20"/>
      <c r="DB83" s="308">
        <f ca="1">IF(CP83=0,0,SUMIFS($P$10:$P82, $C$10:$C82,"&lt;"&amp;$C83, $M$10:$M82,$D83&amp;"_"&amp;DB$9)/CP83)</f>
        <v>0</v>
      </c>
      <c r="DC83" s="263">
        <f ca="1">IF(CQ83=0,0,SUMIFS($P$10:$P82, $C$10:$C82,"&lt;"&amp;$C83, $M$10:$M82,$D83&amp;"_"&amp;DC$9)/CQ83)</f>
        <v>0</v>
      </c>
      <c r="DD83" s="263">
        <f ca="1">IF(CR83=0,0,SUMIFS($P$10:$P82, $C$10:$C82,"&lt;"&amp;$C83, $M$10:$M82,$D83&amp;"_"&amp;DD$9)/CR83)</f>
        <v>0</v>
      </c>
      <c r="DE83" s="262">
        <f ca="1">IF(CS83=0,0,SUMIFS($P$10:$P82, $C$10:$C82,"&lt;"&amp;$C83, $M$10:$M82,$D83&amp;"_"&amp;DE$9)/CS83)</f>
        <v>0</v>
      </c>
      <c r="DF83" s="263">
        <f ca="1">IF(CT83=0,0,SUMIFS($P$10:$P82, $C$10:$C82,"&lt;"&amp;$C83, $M$10:$M82,$D83&amp;"_"&amp;DF$9)/CT83)</f>
        <v>0</v>
      </c>
      <c r="DG83" s="310">
        <f ca="1">IF(CU83=0,0,SUMIFS($P$10:$P82, $C$10:$C82,"&lt;"&amp;$C83, $M$10:$M82,$D83&amp;"_"&amp;DG$9)/CU83)</f>
        <v>0</v>
      </c>
      <c r="DH83" s="263">
        <f ca="1">IF(CV83=0,0,SUMIFS($P$10:$P82, $C$10:$C82,"&lt;"&amp;$C83, $M$10:$M82,$D83&amp;"_"&amp;DH$9)/CV83)</f>
        <v>0</v>
      </c>
      <c r="DI83" s="263">
        <f ca="1">IF(CW83=0,0,SUMIFS($P$10:$P82, $C$10:$C82,"&lt;"&amp;$C83, $M$10:$M82,$D83&amp;"_"&amp;DI$9)/CW83)</f>
        <v>0</v>
      </c>
      <c r="DJ83" s="264">
        <f ca="1">IF(CX83=0,0,SUMIFS($P$10:$P82, $C$10:$C82,"&lt;"&amp;$C83, $M$10:$M82,$D83&amp;"_"&amp;DJ$9)/CX83)</f>
        <v>0</v>
      </c>
      <c r="DK83" s="264">
        <f ca="1">IF(CY83=0,0,SUMIFS($P$10:$P82, $C$10:$C82,"&lt;"&amp;$C83, $M$10:$M82,$D83&amp;"_"&amp;DK$9)/CY83)</f>
        <v>-1</v>
      </c>
      <c r="DM83" s="104"/>
      <c r="DN83" s="306">
        <f t="shared" ca="1" si="222"/>
        <v>-9999</v>
      </c>
      <c r="DO83" s="15">
        <f t="shared" ca="1" si="188"/>
        <v>-9999</v>
      </c>
      <c r="DP83" s="15">
        <f t="shared" ca="1" si="189"/>
        <v>-9999</v>
      </c>
      <c r="DQ83" s="15">
        <f t="shared" ca="1" si="190"/>
        <v>-9999</v>
      </c>
      <c r="DR83" s="15">
        <f t="shared" ca="1" si="191"/>
        <v>-9999</v>
      </c>
      <c r="DS83" s="15">
        <f t="shared" ca="1" si="192"/>
        <v>-9999</v>
      </c>
      <c r="DT83" s="15">
        <f t="shared" ca="1" si="193"/>
        <v>-9999</v>
      </c>
      <c r="DU83" s="15">
        <f t="shared" ca="1" si="194"/>
        <v>-9999</v>
      </c>
      <c r="DV83" s="52">
        <f t="shared" ca="1" si="195"/>
        <v>-9999</v>
      </c>
      <c r="DW83" s="313">
        <f t="shared" ca="1" si="196"/>
        <v>-0.88376326884604695</v>
      </c>
      <c r="DX83" s="52"/>
      <c r="DY83" s="402">
        <f t="shared" ca="1" si="223"/>
        <v>9</v>
      </c>
      <c r="ED83" s="19">
        <f t="shared" ca="1" si="197"/>
        <v>-1</v>
      </c>
      <c r="EE83" s="1">
        <f t="shared" ca="1" si="198"/>
        <v>1</v>
      </c>
      <c r="EF83" s="1">
        <f t="shared" ca="1" si="199"/>
        <v>-1</v>
      </c>
      <c r="EG83" s="2">
        <f t="shared" ca="1" si="200"/>
        <v>1</v>
      </c>
      <c r="EH83" s="1">
        <f t="shared" ca="1" si="201"/>
        <v>-1</v>
      </c>
      <c r="EI83" s="3">
        <f t="shared" ca="1" si="202"/>
        <v>1</v>
      </c>
      <c r="EJ83" s="1">
        <f t="shared" ca="1" si="203"/>
        <v>0</v>
      </c>
      <c r="EK83" s="1">
        <f t="shared" ca="1" si="204"/>
        <v>0</v>
      </c>
      <c r="EL83" s="20">
        <f t="shared" ca="1" si="205"/>
        <v>-1</v>
      </c>
      <c r="EN83" s="86">
        <f ca="1">MAX(0, SUMPRODUCT($ED83:$EL83,OFFSET(DNN!$E$9:$M$9,EN$9,0)) + OFFSET(DNN!$D$9,EN$9,0))</f>
        <v>0</v>
      </c>
      <c r="EO83" s="84">
        <f ca="1">MAX(0, SUMPRODUCT($ED83:$EL83,OFFSET(DNN!$E$9:$M$9,EO$9,0)) + OFFSET(DNN!$D$9,EO$9,0))</f>
        <v>7.2346022384755949E-3</v>
      </c>
      <c r="EP83" s="84">
        <f ca="1">MAX(0, SUMPRODUCT($ED83:$EL83,OFFSET(DNN!$E$9:$M$9,EP$9,0)) + OFFSET(DNN!$D$9,EP$9,0))</f>
        <v>3.6951849750035152E-3</v>
      </c>
      <c r="EQ83" s="84">
        <f ca="1">MAX(0, SUMPRODUCT($ED83:$EL83,OFFSET(DNN!$E$9:$M$9,EQ$9,0)) + OFFSET(DNN!$D$9,EQ$9,0))</f>
        <v>0</v>
      </c>
      <c r="ER83" s="85">
        <f ca="1">MAX(0, SUMPRODUCT($ED83:$EL83,OFFSET(DNN!$E$9:$M$9,ER$9,0)) + OFFSET(DNN!$D$9,ER$9,0))</f>
        <v>0</v>
      </c>
      <c r="ET83" s="86">
        <f ca="1">MAX(0, SUMPRODUCT($EN83:$ER83,OFFSET(DNN!$Q$9:$U$9,ET$9,0)) + OFFSET(DNN!$P$9,ET$9,0))</f>
        <v>4.3954959453478351E-4</v>
      </c>
      <c r="EU83" s="84">
        <f ca="1">MAX(0, SUMPRODUCT($EN83:$ER83,OFFSET(DNN!$Q$9:$U$9,EU$9,0)) + OFFSET(DNN!$P$9,EU$9,0))</f>
        <v>0</v>
      </c>
      <c r="EV83" s="84">
        <f ca="1">MAX(0, SUMPRODUCT($EN83:$ER83,OFFSET(DNN!$Q$9:$U$9,EV$9,0)) + OFFSET(DNN!$P$9,EV$9,0))</f>
        <v>1.2810123361902579E-3</v>
      </c>
      <c r="EW83" s="84">
        <f ca="1">MAX(0, SUMPRODUCT($EN83:$ER83,OFFSET(DNN!$Q$9:$U$9,EW$9,0)) + OFFSET(DNN!$P$9,EW$9,0))</f>
        <v>7.8382123007882457E-4</v>
      </c>
      <c r="EX83" s="85">
        <f ca="1">MAX(0, SUMPRODUCT($EN83:$ER83,OFFSET(DNN!$Q$9:$U$9,EX$9,0)) + OFFSET(DNN!$P$9,EX$9,0))</f>
        <v>0</v>
      </c>
      <c r="EZ83" s="111">
        <f ca="1">SUMPRODUCT($ET83:$EX83,OFFSET(DNN!$Y$9:$AC$9,EZ$9,0)) + OFFSET(DNN!$X$9,EZ$9,0)</f>
        <v>0.43031618918982212</v>
      </c>
      <c r="FA83" s="97">
        <f ca="1">SUMPRODUCT($ET83:$EX83,OFFSET(DNN!$Y$9:$AC$9,FA$9,0)) + OFFSET(DNN!$X$9,FA$9,0)</f>
        <v>-1.2643439935754107E-5</v>
      </c>
      <c r="FB83" s="97">
        <f ca="1">SUMPRODUCT($ET83:$EX83,OFFSET(DNN!$Y$9:$AC$9,FB$9,0)) + OFFSET(DNN!$X$9,FB$9,0)</f>
        <v>1.5239793458415756E-2</v>
      </c>
      <c r="FC83" s="97">
        <f ca="1">SUMPRODUCT($ET83:$EX83,OFFSET(DNN!$Y$9:$AC$9,FC$9,0)) + OFFSET(DNN!$X$9,FC$9,0)</f>
        <v>-8.8749521084055777E-4</v>
      </c>
      <c r="FD83" s="97">
        <f ca="1">SUMPRODUCT($ET83:$EX83,OFFSET(DNN!$Y$9:$AC$9,FD$9,0)) + OFFSET(DNN!$X$9,FD$9,0)</f>
        <v>-4.235816470721872E-4</v>
      </c>
      <c r="FE83" s="97">
        <f ca="1">SUMPRODUCT($ET83:$EX83,OFFSET(DNN!$Y$9:$AC$9,FE$9,0)) + OFFSET(DNN!$X$9,FE$9,0)</f>
        <v>-1.574182761064886E-5</v>
      </c>
      <c r="FF83" s="97">
        <f ca="1">SUMPRODUCT($ET83:$EX83,OFFSET(DNN!$Y$9:$AC$9,FF$9,0)) + OFFSET(DNN!$X$9,FF$9,0)</f>
        <v>-1.3491460223194656E-3</v>
      </c>
      <c r="FG83" s="97">
        <f ca="1">SUMPRODUCT($ET83:$EX83,OFFSET(DNN!$Y$9:$AC$9,FG$9,0)) + OFFSET(DNN!$X$9,FG$9,0)</f>
        <v>-6.2604808096248285E-2</v>
      </c>
      <c r="FH83" s="97">
        <f ca="1">SUMPRODUCT($ET83:$EX83,OFFSET(DNN!$Y$9:$AC$9,FH$9,0)) + OFFSET(DNN!$X$9,FH$9,0)</f>
        <v>8.6810016937029894E-4</v>
      </c>
      <c r="FI83" s="108">
        <f ca="1">SUMPRODUCT($ET83:$EX83,OFFSET(DNN!$Y$9:$AC$9,FI$9,0)) + OFFSET(DNN!$X$9,FI$9,0)</f>
        <v>-1.3182687612562751</v>
      </c>
      <c r="FJ83" s="98">
        <f ca="1">SUMPRODUCT($ET83:$EX83,OFFSET(DNN!$Y$9:$AC$9,FJ$9,0)) + OFFSET(DNN!$X$9,FJ$9,0)</f>
        <v>-2.2535161745939301E-5</v>
      </c>
      <c r="FL83" s="415">
        <f t="shared" ca="1" si="224"/>
        <v>0.43031618918982212</v>
      </c>
      <c r="FM83" s="130">
        <f t="shared" ca="1" si="225"/>
        <v>1</v>
      </c>
      <c r="FN83" s="131">
        <f t="shared" ca="1" si="226"/>
        <v>0.65029522127322903</v>
      </c>
      <c r="FO83" s="131">
        <f t="shared" ca="1" si="227"/>
        <v>0.66028983545318687</v>
      </c>
      <c r="FP83" s="131">
        <f t="shared" ca="1" si="228"/>
        <v>0.64972655813153501</v>
      </c>
      <c r="FQ83" s="131">
        <f t="shared" ca="1" si="229"/>
        <v>0.65002804502111444</v>
      </c>
      <c r="FR83" s="131">
        <f t="shared" ca="1" si="230"/>
        <v>0.65029320640965171</v>
      </c>
      <c r="FS83" s="131">
        <f t="shared" ca="1" si="231"/>
        <v>0.64942668056342145</v>
      </c>
      <c r="FT83" s="131">
        <f t="shared" ca="1" si="232"/>
        <v>0.61083952513994022</v>
      </c>
      <c r="FU83" s="132">
        <f t="shared" ca="1" si="233"/>
        <v>0.6508682169276182</v>
      </c>
      <c r="FV83" s="131">
        <f t="shared" ca="1" si="234"/>
        <v>0.17402001625314881</v>
      </c>
      <c r="FW83" s="83">
        <f t="shared" ca="1" si="235"/>
        <v>-2.2535161742124597E-5</v>
      </c>
    </row>
    <row r="84" spans="1:179">
      <c r="A84" s="19">
        <f t="shared" si="240"/>
        <v>74</v>
      </c>
      <c r="B84" s="1">
        <f t="shared" ca="1" si="236"/>
        <v>0</v>
      </c>
      <c r="C84" s="20">
        <f t="shared" ca="1" si="237"/>
        <v>74</v>
      </c>
      <c r="D84" s="19" t="str">
        <f t="shared" ca="1" si="238"/>
        <v>〇×〇×〇×--〇</v>
      </c>
      <c r="E84" s="7">
        <f t="shared" ca="1" si="206"/>
        <v>9</v>
      </c>
      <c r="F84" s="7">
        <f t="shared" ca="1" si="207"/>
        <v>1</v>
      </c>
      <c r="G84" s="1" t="str">
        <f t="shared" ca="1" si="139"/>
        <v>〇×〇×〇×--〇</v>
      </c>
      <c r="H84" s="20" t="b">
        <f t="shared" ca="1" si="140"/>
        <v>1</v>
      </c>
      <c r="I84" s="22">
        <f t="shared" ca="1" si="239"/>
        <v>-1</v>
      </c>
      <c r="J84" s="1" t="b">
        <f ca="1">(1&lt;COUNTIF(D$10:D84,D84))</f>
        <v>1</v>
      </c>
      <c r="K84" s="1" t="b">
        <f t="shared" ca="1" si="141"/>
        <v>1</v>
      </c>
      <c r="L84" s="7">
        <f ca="1">MATCH(TRUE,K84:K$1048576,FALSE)-1</f>
        <v>0</v>
      </c>
      <c r="M84" s="24" t="str">
        <f t="shared" ca="1" si="142"/>
        <v>〇×〇×〇×--〇_9</v>
      </c>
      <c r="N84" s="25">
        <f t="shared" ca="1" si="208"/>
        <v>-2.2535161742124597E-5</v>
      </c>
      <c r="O84" s="26">
        <f t="shared" ca="1" si="209"/>
        <v>-1</v>
      </c>
      <c r="P84" s="27">
        <f t="shared" ca="1" si="210"/>
        <v>-1</v>
      </c>
      <c r="R84" s="41" t="str">
        <f ca="1">VLOOKUP(S84,cvt!$B$2:$C$4,2,FALSE)&amp;VLOOKUP(T84,cvt!$B$2:$C$4,2,FALSE)&amp;VLOOKUP(U84,cvt!$B$2:$C$4,2,FALSE)
&amp;VLOOKUP(V84,cvt!$B$2:$C$4,2,FALSE)&amp;VLOOKUP(W84,cvt!$B$2:$C$4,2,FALSE)&amp;VLOOKUP(X84,cvt!$B$2:$C$4,2,FALSE)
&amp;VLOOKUP(Y84,cvt!$B$2:$C$4,2,FALSE)&amp;VLOOKUP(Z84,cvt!$B$2:$C$4,2,FALSE)&amp;VLOOKUP(AA84,cvt!$B$2:$C$4,2,FALSE)</f>
        <v>〇×〇×〇×--〇</v>
      </c>
      <c r="S84" s="7">
        <f ca="1">VLOOKUP(MID($D84,S$9+1,1), cvt!$A$2:$B$4,2, FALSE)</f>
        <v>1</v>
      </c>
      <c r="T84" s="7">
        <f ca="1">VLOOKUP(MID($D84,T$9+1,1), cvt!$A$2:$B$4,2, FALSE)</f>
        <v>-1</v>
      </c>
      <c r="U84" s="7">
        <f ca="1">VLOOKUP(MID($D84,U$9+1,1), cvt!$A$2:$B$4,2, FALSE)</f>
        <v>1</v>
      </c>
      <c r="V84" s="17">
        <f ca="1">VLOOKUP(MID($D84,V$9+1,1), cvt!$A$2:$B$4,2, FALSE)</f>
        <v>-1</v>
      </c>
      <c r="W84" s="7">
        <f ca="1">VLOOKUP(MID($D84,W$9+1,1), cvt!$A$2:$B$4,2, FALSE)</f>
        <v>1</v>
      </c>
      <c r="X84" s="18">
        <f ca="1">VLOOKUP(MID($D84,X$9+1,1), cvt!$A$2:$B$4,2, FALSE)</f>
        <v>-1</v>
      </c>
      <c r="Y84" s="7">
        <f ca="1">VLOOKUP(MID($D84,Y$9+1,1), cvt!$A$2:$B$4,2, FALSE)</f>
        <v>0</v>
      </c>
      <c r="Z84" s="7">
        <f ca="1">VLOOKUP(MID($D84,Z$9+1,1), cvt!$A$2:$B$4,2, FALSE)</f>
        <v>0</v>
      </c>
      <c r="AA84" s="42">
        <f ca="1">VLOOKUP(MID($D84,AA$9+1,1), cvt!$A$2:$B$4,2, FALSE)</f>
        <v>1</v>
      </c>
      <c r="AB84" s="7">
        <f t="shared" ca="1" si="211"/>
        <v>1</v>
      </c>
      <c r="AC84" s="50" t="b">
        <f t="shared" ca="1" si="212"/>
        <v>1</v>
      </c>
      <c r="AE84" s="19" t="str">
        <f ca="1">VLOOKUP(AF84,cvt!$B$2:$C$4,2,FALSE)&amp;VLOOKUP(AG84,cvt!$B$2:$C$4,2,FALSE)&amp;VLOOKUP(AH84,cvt!$B$2:$C$4,2,FALSE)
&amp;VLOOKUP(AI84,cvt!$B$2:$C$4,2,FALSE)&amp;VLOOKUP(AJ84,cvt!$B$2:$C$4,2,FALSE)&amp;VLOOKUP(AK84,cvt!$B$2:$C$4,2,FALSE)
&amp;VLOOKUP(AL84,cvt!$B$2:$C$4,2,FALSE)&amp;VLOOKUP(AM84,cvt!$B$2:$C$4,2,FALSE)&amp;VLOOKUP(AN84,cvt!$B$2:$C$4,2,FALSE)</f>
        <v>〇×〇×〇×--〇</v>
      </c>
      <c r="AF84" s="17">
        <f t="shared" ca="1" si="143"/>
        <v>1</v>
      </c>
      <c r="AG84" s="7">
        <f t="shared" ca="1" si="144"/>
        <v>-1</v>
      </c>
      <c r="AH84" s="7">
        <f t="shared" ca="1" si="145"/>
        <v>1</v>
      </c>
      <c r="AI84" s="17">
        <f t="shared" ca="1" si="146"/>
        <v>-1</v>
      </c>
      <c r="AJ84" s="7">
        <f t="shared" ca="1" si="147"/>
        <v>1</v>
      </c>
      <c r="AK84" s="18">
        <f t="shared" ca="1" si="148"/>
        <v>-1</v>
      </c>
      <c r="AL84" s="7">
        <f t="shared" ca="1" si="149"/>
        <v>0</v>
      </c>
      <c r="AM84" s="7">
        <f t="shared" ca="1" si="150"/>
        <v>0</v>
      </c>
      <c r="AN84" s="18">
        <f t="shared" ca="1" si="151"/>
        <v>1</v>
      </c>
      <c r="AO84" s="7">
        <f t="shared" ca="1" si="213"/>
        <v>1</v>
      </c>
      <c r="AP84" s="50" t="b">
        <f t="shared" ca="1" si="152"/>
        <v>1</v>
      </c>
      <c r="AS84" s="22">
        <f t="shared" ca="1" si="214"/>
        <v>0</v>
      </c>
      <c r="AT84" s="7">
        <f t="shared" ca="1" si="153"/>
        <v>0</v>
      </c>
      <c r="AU84" s="7">
        <f t="shared" ca="1" si="154"/>
        <v>0</v>
      </c>
      <c r="AV84" s="7">
        <f t="shared" ca="1" si="155"/>
        <v>0</v>
      </c>
      <c r="AW84" s="7">
        <f t="shared" ca="1" si="156"/>
        <v>0</v>
      </c>
      <c r="AX84" s="7">
        <f t="shared" ca="1" si="157"/>
        <v>0</v>
      </c>
      <c r="AY84" s="7">
        <f t="shared" ca="1" si="158"/>
        <v>0</v>
      </c>
      <c r="AZ84" s="7">
        <f t="shared" ca="1" si="159"/>
        <v>0</v>
      </c>
      <c r="BA84" s="18">
        <f t="shared" ca="1" si="160"/>
        <v>0</v>
      </c>
      <c r="BB84" s="295">
        <f t="shared" ca="1" si="215"/>
        <v>1</v>
      </c>
      <c r="BD84" s="132"/>
      <c r="BE84" s="297">
        <f t="shared" ca="1" si="216"/>
        <v>1</v>
      </c>
      <c r="BF84" s="298">
        <f t="shared" ca="1" si="161"/>
        <v>0.65029522127322903</v>
      </c>
      <c r="BG84" s="298">
        <f t="shared" ca="1" si="162"/>
        <v>0.66028983545318687</v>
      </c>
      <c r="BH84" s="318">
        <f t="shared" ca="1" si="163"/>
        <v>0.64972655813153501</v>
      </c>
      <c r="BI84" s="298">
        <f t="shared" ca="1" si="164"/>
        <v>0.65002804502111444</v>
      </c>
      <c r="BJ84" s="299">
        <f t="shared" ca="1" si="165"/>
        <v>0.65029320640965171</v>
      </c>
      <c r="BK84" s="298">
        <f t="shared" ca="1" si="166"/>
        <v>0.64942668056342145</v>
      </c>
      <c r="BL84" s="298">
        <f t="shared" ca="1" si="167"/>
        <v>0.61083952513994022</v>
      </c>
      <c r="BM84" s="299">
        <f t="shared" ca="1" si="168"/>
        <v>0.6508682169276182</v>
      </c>
      <c r="BN84" s="295">
        <f t="shared" ca="1" si="169"/>
        <v>0.17402001625314881</v>
      </c>
      <c r="BO84" s="248">
        <f t="shared" ca="1" si="217"/>
        <v>-2.2535161742124597E-5</v>
      </c>
      <c r="BQ84" s="304">
        <f t="shared" ca="1" si="218"/>
        <v>0.1741200162531488</v>
      </c>
      <c r="BR84" s="297">
        <f t="shared" ca="1" si="219"/>
        <v>0</v>
      </c>
      <c r="BS84" s="298">
        <f t="shared" ca="1" si="170"/>
        <v>0</v>
      </c>
      <c r="BT84" s="298">
        <f t="shared" ca="1" si="171"/>
        <v>0</v>
      </c>
      <c r="BU84" s="318">
        <f t="shared" ca="1" si="172"/>
        <v>0</v>
      </c>
      <c r="BV84" s="298">
        <f t="shared" ca="1" si="173"/>
        <v>0</v>
      </c>
      <c r="BW84" s="299">
        <f t="shared" ca="1" si="174"/>
        <v>0</v>
      </c>
      <c r="BX84" s="298">
        <f t="shared" ca="1" si="175"/>
        <v>0</v>
      </c>
      <c r="BY84" s="298">
        <f t="shared" ca="1" si="176"/>
        <v>0</v>
      </c>
      <c r="BZ84" s="298">
        <f t="shared" ca="1" si="177"/>
        <v>0</v>
      </c>
      <c r="CA84" s="315">
        <f t="shared" ca="1" si="178"/>
        <v>0.1741200162531488</v>
      </c>
      <c r="CC84" s="52"/>
      <c r="CD84" s="306">
        <f t="shared" ca="1" si="220"/>
        <v>0</v>
      </c>
      <c r="CE84" s="15">
        <f t="shared" ca="1" si="179"/>
        <v>0</v>
      </c>
      <c r="CF84" s="15">
        <f t="shared" ca="1" si="180"/>
        <v>0</v>
      </c>
      <c r="CG84" s="286">
        <f t="shared" ca="1" si="181"/>
        <v>0</v>
      </c>
      <c r="CH84" s="15">
        <f t="shared" ca="1" si="182"/>
        <v>0</v>
      </c>
      <c r="CI84" s="288">
        <f t="shared" ca="1" si="183"/>
        <v>0</v>
      </c>
      <c r="CJ84" s="15">
        <f t="shared" ca="1" si="184"/>
        <v>0</v>
      </c>
      <c r="CK84" s="15">
        <f t="shared" ca="1" si="185"/>
        <v>0</v>
      </c>
      <c r="CL84" s="15">
        <f t="shared" ca="1" si="186"/>
        <v>0</v>
      </c>
      <c r="CM84" s="313">
        <f t="shared" ca="1" si="187"/>
        <v>1</v>
      </c>
      <c r="CO84" s="320">
        <f t="shared" ca="1" si="221"/>
        <v>73</v>
      </c>
      <c r="CP84" s="22">
        <f ca="1">COUNTIFS($C$10:$C83,"&lt;"&amp;$C84,$M$10:$M83,$D84&amp;"_"&amp;CP$9)</f>
        <v>0</v>
      </c>
      <c r="CQ84" s="7">
        <f ca="1">COUNTIFS($C$10:$C83,"&lt;"&amp;$C84,$M$10:$M83,$D84&amp;"_"&amp;CQ$9)</f>
        <v>0</v>
      </c>
      <c r="CR84" s="7">
        <f ca="1">COUNTIFS($C$10:$C83,"&lt;"&amp;$C84,$M$10:$M83,$D84&amp;"_"&amp;CR$9)</f>
        <v>0</v>
      </c>
      <c r="CS84" s="17">
        <f ca="1">COUNTIFS($C$10:$C83,"&lt;"&amp;$C84,$M$10:$M83,$D84&amp;"_"&amp;CS$9)</f>
        <v>0</v>
      </c>
      <c r="CT84" s="7">
        <f ca="1">COUNTIFS($C$10:$C83,"&lt;"&amp;$C84,$M$10:$M83,$D84&amp;"_"&amp;CT$9)</f>
        <v>0</v>
      </c>
      <c r="CU84" s="18">
        <f ca="1">COUNTIFS($C$10:$C83,"&lt;"&amp;$C84,$M$10:$M83,$D84&amp;"_"&amp;CU$9)</f>
        <v>0</v>
      </c>
      <c r="CV84" s="7">
        <f ca="1">COUNTIFS($C$10:$C83,"&lt;"&amp;$C84,$M$10:$M83,$D84&amp;"_"&amp;CV$9)</f>
        <v>0</v>
      </c>
      <c r="CW84" s="7">
        <f ca="1">COUNTIFS($C$10:$C83,"&lt;"&amp;$C84,$M$10:$M83,$D84&amp;"_"&amp;CW$9)</f>
        <v>0</v>
      </c>
      <c r="CX84" s="7">
        <f ca="1">COUNTIFS($C$10:$C83,"&lt;"&amp;$C84,$M$10:$M83,$D84&amp;"_"&amp;CX$9)</f>
        <v>0</v>
      </c>
      <c r="CY84" s="221">
        <f ca="1">COUNTIFS($C$10:$C83,"&lt;"&amp;$C84,$M$10:$M83,$D84&amp;"_"&amp;CY$9)</f>
        <v>73</v>
      </c>
      <c r="DA84" s="20"/>
      <c r="DB84" s="308">
        <f ca="1">IF(CP84=0,0,SUMIFS($P$10:$P83, $C$10:$C83,"&lt;"&amp;$C84, $M$10:$M83,$D84&amp;"_"&amp;DB$9)/CP84)</f>
        <v>0</v>
      </c>
      <c r="DC84" s="263">
        <f ca="1">IF(CQ84=0,0,SUMIFS($P$10:$P83, $C$10:$C83,"&lt;"&amp;$C84, $M$10:$M83,$D84&amp;"_"&amp;DC$9)/CQ84)</f>
        <v>0</v>
      </c>
      <c r="DD84" s="263">
        <f ca="1">IF(CR84=0,0,SUMIFS($P$10:$P83, $C$10:$C83,"&lt;"&amp;$C84, $M$10:$M83,$D84&amp;"_"&amp;DD$9)/CR84)</f>
        <v>0</v>
      </c>
      <c r="DE84" s="262">
        <f ca="1">IF(CS84=0,0,SUMIFS($P$10:$P83, $C$10:$C83,"&lt;"&amp;$C84, $M$10:$M83,$D84&amp;"_"&amp;DE$9)/CS84)</f>
        <v>0</v>
      </c>
      <c r="DF84" s="263">
        <f ca="1">IF(CT84=0,0,SUMIFS($P$10:$P83, $C$10:$C83,"&lt;"&amp;$C84, $M$10:$M83,$D84&amp;"_"&amp;DF$9)/CT84)</f>
        <v>0</v>
      </c>
      <c r="DG84" s="310">
        <f ca="1">IF(CU84=0,0,SUMIFS($P$10:$P83, $C$10:$C83,"&lt;"&amp;$C84, $M$10:$M83,$D84&amp;"_"&amp;DG$9)/CU84)</f>
        <v>0</v>
      </c>
      <c r="DH84" s="263">
        <f ca="1">IF(CV84=0,0,SUMIFS($P$10:$P83, $C$10:$C83,"&lt;"&amp;$C84, $M$10:$M83,$D84&amp;"_"&amp;DH$9)/CV84)</f>
        <v>0</v>
      </c>
      <c r="DI84" s="263">
        <f ca="1">IF(CW84=0,0,SUMIFS($P$10:$P83, $C$10:$C83,"&lt;"&amp;$C84, $M$10:$M83,$D84&amp;"_"&amp;DI$9)/CW84)</f>
        <v>0</v>
      </c>
      <c r="DJ84" s="264">
        <f ca="1">IF(CX84=0,0,SUMIFS($P$10:$P83, $C$10:$C83,"&lt;"&amp;$C84, $M$10:$M83,$D84&amp;"_"&amp;DJ$9)/CX84)</f>
        <v>0</v>
      </c>
      <c r="DK84" s="264">
        <f ca="1">IF(CY84=0,0,SUMIFS($P$10:$P83, $C$10:$C83,"&lt;"&amp;$C84, $M$10:$M83,$D84&amp;"_"&amp;DK$9)/CY84)</f>
        <v>-1</v>
      </c>
      <c r="DM84" s="104"/>
      <c r="DN84" s="306">
        <f t="shared" ca="1" si="222"/>
        <v>-9999</v>
      </c>
      <c r="DO84" s="15">
        <f t="shared" ca="1" si="188"/>
        <v>-9999</v>
      </c>
      <c r="DP84" s="15">
        <f t="shared" ca="1" si="189"/>
        <v>-9999</v>
      </c>
      <c r="DQ84" s="15">
        <f t="shared" ca="1" si="190"/>
        <v>-9999</v>
      </c>
      <c r="DR84" s="15">
        <f t="shared" ca="1" si="191"/>
        <v>-9999</v>
      </c>
      <c r="DS84" s="15">
        <f t="shared" ca="1" si="192"/>
        <v>-9999</v>
      </c>
      <c r="DT84" s="15">
        <f t="shared" ca="1" si="193"/>
        <v>-9999</v>
      </c>
      <c r="DU84" s="15">
        <f t="shared" ca="1" si="194"/>
        <v>-9999</v>
      </c>
      <c r="DV84" s="52">
        <f t="shared" ca="1" si="195"/>
        <v>-9999</v>
      </c>
      <c r="DW84" s="313">
        <f t="shared" ca="1" si="196"/>
        <v>-0.88454048992814149</v>
      </c>
      <c r="DX84" s="52"/>
      <c r="DY84" s="402">
        <f t="shared" ca="1" si="223"/>
        <v>9</v>
      </c>
      <c r="ED84" s="19">
        <f t="shared" ca="1" si="197"/>
        <v>-1</v>
      </c>
      <c r="EE84" s="1">
        <f t="shared" ca="1" si="198"/>
        <v>1</v>
      </c>
      <c r="EF84" s="1">
        <f t="shared" ca="1" si="199"/>
        <v>-1</v>
      </c>
      <c r="EG84" s="2">
        <f t="shared" ca="1" si="200"/>
        <v>1</v>
      </c>
      <c r="EH84" s="1">
        <f t="shared" ca="1" si="201"/>
        <v>-1</v>
      </c>
      <c r="EI84" s="3">
        <f t="shared" ca="1" si="202"/>
        <v>1</v>
      </c>
      <c r="EJ84" s="1">
        <f t="shared" ca="1" si="203"/>
        <v>0</v>
      </c>
      <c r="EK84" s="1">
        <f t="shared" ca="1" si="204"/>
        <v>0</v>
      </c>
      <c r="EL84" s="20">
        <f t="shared" ca="1" si="205"/>
        <v>-1</v>
      </c>
      <c r="EN84" s="86">
        <f ca="1">MAX(0, SUMPRODUCT($ED84:$EL84,OFFSET(DNN!$E$9:$M$9,EN$9,0)) + OFFSET(DNN!$D$9,EN$9,0))</f>
        <v>0</v>
      </c>
      <c r="EO84" s="84">
        <f ca="1">MAX(0, SUMPRODUCT($ED84:$EL84,OFFSET(DNN!$E$9:$M$9,EO$9,0)) + OFFSET(DNN!$D$9,EO$9,0))</f>
        <v>7.2346022384755949E-3</v>
      </c>
      <c r="EP84" s="84">
        <f ca="1">MAX(0, SUMPRODUCT($ED84:$EL84,OFFSET(DNN!$E$9:$M$9,EP$9,0)) + OFFSET(DNN!$D$9,EP$9,0))</f>
        <v>3.6951849750035152E-3</v>
      </c>
      <c r="EQ84" s="84">
        <f ca="1">MAX(0, SUMPRODUCT($ED84:$EL84,OFFSET(DNN!$E$9:$M$9,EQ$9,0)) + OFFSET(DNN!$D$9,EQ$9,0))</f>
        <v>0</v>
      </c>
      <c r="ER84" s="85">
        <f ca="1">MAX(0, SUMPRODUCT($ED84:$EL84,OFFSET(DNN!$E$9:$M$9,ER$9,0)) + OFFSET(DNN!$D$9,ER$9,0))</f>
        <v>0</v>
      </c>
      <c r="ET84" s="86">
        <f ca="1">MAX(0, SUMPRODUCT($EN84:$ER84,OFFSET(DNN!$Q$9:$U$9,ET$9,0)) + OFFSET(DNN!$P$9,ET$9,0))</f>
        <v>4.3954959453478351E-4</v>
      </c>
      <c r="EU84" s="84">
        <f ca="1">MAX(0, SUMPRODUCT($EN84:$ER84,OFFSET(DNN!$Q$9:$U$9,EU$9,0)) + OFFSET(DNN!$P$9,EU$9,0))</f>
        <v>0</v>
      </c>
      <c r="EV84" s="84">
        <f ca="1">MAX(0, SUMPRODUCT($EN84:$ER84,OFFSET(DNN!$Q$9:$U$9,EV$9,0)) + OFFSET(DNN!$P$9,EV$9,0))</f>
        <v>1.2810123361902579E-3</v>
      </c>
      <c r="EW84" s="84">
        <f ca="1">MAX(0, SUMPRODUCT($EN84:$ER84,OFFSET(DNN!$Q$9:$U$9,EW$9,0)) + OFFSET(DNN!$P$9,EW$9,0))</f>
        <v>7.8382123007882457E-4</v>
      </c>
      <c r="EX84" s="85">
        <f ca="1">MAX(0, SUMPRODUCT($EN84:$ER84,OFFSET(DNN!$Q$9:$U$9,EX$9,0)) + OFFSET(DNN!$P$9,EX$9,0))</f>
        <v>0</v>
      </c>
      <c r="EZ84" s="111">
        <f ca="1">SUMPRODUCT($ET84:$EX84,OFFSET(DNN!$Y$9:$AC$9,EZ$9,0)) + OFFSET(DNN!$X$9,EZ$9,0)</f>
        <v>0.43031618918982212</v>
      </c>
      <c r="FA84" s="97">
        <f ca="1">SUMPRODUCT($ET84:$EX84,OFFSET(DNN!$Y$9:$AC$9,FA$9,0)) + OFFSET(DNN!$X$9,FA$9,0)</f>
        <v>-1.2643439935754107E-5</v>
      </c>
      <c r="FB84" s="97">
        <f ca="1">SUMPRODUCT($ET84:$EX84,OFFSET(DNN!$Y$9:$AC$9,FB$9,0)) + OFFSET(DNN!$X$9,FB$9,0)</f>
        <v>1.5239793458415756E-2</v>
      </c>
      <c r="FC84" s="97">
        <f ca="1">SUMPRODUCT($ET84:$EX84,OFFSET(DNN!$Y$9:$AC$9,FC$9,0)) + OFFSET(DNN!$X$9,FC$9,0)</f>
        <v>-8.8749521084055777E-4</v>
      </c>
      <c r="FD84" s="97">
        <f ca="1">SUMPRODUCT($ET84:$EX84,OFFSET(DNN!$Y$9:$AC$9,FD$9,0)) + OFFSET(DNN!$X$9,FD$9,0)</f>
        <v>-4.235816470721872E-4</v>
      </c>
      <c r="FE84" s="97">
        <f ca="1">SUMPRODUCT($ET84:$EX84,OFFSET(DNN!$Y$9:$AC$9,FE$9,0)) + OFFSET(DNN!$X$9,FE$9,0)</f>
        <v>-1.574182761064886E-5</v>
      </c>
      <c r="FF84" s="97">
        <f ca="1">SUMPRODUCT($ET84:$EX84,OFFSET(DNN!$Y$9:$AC$9,FF$9,0)) + OFFSET(DNN!$X$9,FF$9,0)</f>
        <v>-1.3491460223194656E-3</v>
      </c>
      <c r="FG84" s="97">
        <f ca="1">SUMPRODUCT($ET84:$EX84,OFFSET(DNN!$Y$9:$AC$9,FG$9,0)) + OFFSET(DNN!$X$9,FG$9,0)</f>
        <v>-6.2604808096248285E-2</v>
      </c>
      <c r="FH84" s="97">
        <f ca="1">SUMPRODUCT($ET84:$EX84,OFFSET(DNN!$Y$9:$AC$9,FH$9,0)) + OFFSET(DNN!$X$9,FH$9,0)</f>
        <v>8.6810016937029894E-4</v>
      </c>
      <c r="FI84" s="108">
        <f ca="1">SUMPRODUCT($ET84:$EX84,OFFSET(DNN!$Y$9:$AC$9,FI$9,0)) + OFFSET(DNN!$X$9,FI$9,0)</f>
        <v>-1.3182687612562751</v>
      </c>
      <c r="FJ84" s="98">
        <f ca="1">SUMPRODUCT($ET84:$EX84,OFFSET(DNN!$Y$9:$AC$9,FJ$9,0)) + OFFSET(DNN!$X$9,FJ$9,0)</f>
        <v>-2.2535161745939301E-5</v>
      </c>
      <c r="FL84" s="415">
        <f t="shared" ca="1" si="224"/>
        <v>0.43031618918982212</v>
      </c>
      <c r="FM84" s="130">
        <f t="shared" ca="1" si="225"/>
        <v>1</v>
      </c>
      <c r="FN84" s="131">
        <f t="shared" ca="1" si="226"/>
        <v>0.65029522127322903</v>
      </c>
      <c r="FO84" s="131">
        <f t="shared" ca="1" si="227"/>
        <v>0.66028983545318687</v>
      </c>
      <c r="FP84" s="131">
        <f t="shared" ca="1" si="228"/>
        <v>0.64972655813153501</v>
      </c>
      <c r="FQ84" s="131">
        <f t="shared" ca="1" si="229"/>
        <v>0.65002804502111444</v>
      </c>
      <c r="FR84" s="131">
        <f t="shared" ca="1" si="230"/>
        <v>0.65029320640965171</v>
      </c>
      <c r="FS84" s="131">
        <f t="shared" ca="1" si="231"/>
        <v>0.64942668056342145</v>
      </c>
      <c r="FT84" s="131">
        <f t="shared" ca="1" si="232"/>
        <v>0.61083952513994022</v>
      </c>
      <c r="FU84" s="132">
        <f t="shared" ca="1" si="233"/>
        <v>0.6508682169276182</v>
      </c>
      <c r="FV84" s="131">
        <f t="shared" ca="1" si="234"/>
        <v>0.17402001625314881</v>
      </c>
      <c r="FW84" s="83">
        <f t="shared" ca="1" si="235"/>
        <v>-2.2535161742124597E-5</v>
      </c>
    </row>
    <row r="85" spans="1:179">
      <c r="A85" s="19">
        <f t="shared" si="240"/>
        <v>75</v>
      </c>
      <c r="B85" s="1">
        <f t="shared" ca="1" si="236"/>
        <v>0</v>
      </c>
      <c r="C85" s="20">
        <f t="shared" ca="1" si="237"/>
        <v>75</v>
      </c>
      <c r="D85" s="19" t="str">
        <f t="shared" ca="1" si="238"/>
        <v>〇×〇×〇×--〇</v>
      </c>
      <c r="E85" s="7">
        <f t="shared" ca="1" si="206"/>
        <v>9</v>
      </c>
      <c r="F85" s="7">
        <f t="shared" ca="1" si="207"/>
        <v>1</v>
      </c>
      <c r="G85" s="1" t="str">
        <f t="shared" ca="1" si="139"/>
        <v>〇×〇×〇×--〇</v>
      </c>
      <c r="H85" s="20" t="b">
        <f t="shared" ca="1" si="140"/>
        <v>1</v>
      </c>
      <c r="I85" s="22">
        <f t="shared" ca="1" si="239"/>
        <v>-1</v>
      </c>
      <c r="J85" s="1" t="b">
        <f ca="1">(1&lt;COUNTIF(D$10:D85,D85))</f>
        <v>1</v>
      </c>
      <c r="K85" s="1" t="b">
        <f t="shared" ca="1" si="141"/>
        <v>1</v>
      </c>
      <c r="L85" s="7">
        <f ca="1">MATCH(TRUE,K85:K$1048576,FALSE)-1</f>
        <v>0</v>
      </c>
      <c r="M85" s="24" t="str">
        <f t="shared" ca="1" si="142"/>
        <v>〇×〇×〇×--〇_9</v>
      </c>
      <c r="N85" s="25">
        <f t="shared" ca="1" si="208"/>
        <v>-2.2535161742124597E-5</v>
      </c>
      <c r="O85" s="26">
        <f t="shared" ca="1" si="209"/>
        <v>-1</v>
      </c>
      <c r="P85" s="27">
        <f t="shared" ca="1" si="210"/>
        <v>-1</v>
      </c>
      <c r="R85" s="41" t="str">
        <f ca="1">VLOOKUP(S85,cvt!$B$2:$C$4,2,FALSE)&amp;VLOOKUP(T85,cvt!$B$2:$C$4,2,FALSE)&amp;VLOOKUP(U85,cvt!$B$2:$C$4,2,FALSE)
&amp;VLOOKUP(V85,cvt!$B$2:$C$4,2,FALSE)&amp;VLOOKUP(W85,cvt!$B$2:$C$4,2,FALSE)&amp;VLOOKUP(X85,cvt!$B$2:$C$4,2,FALSE)
&amp;VLOOKUP(Y85,cvt!$B$2:$C$4,2,FALSE)&amp;VLOOKUP(Z85,cvt!$B$2:$C$4,2,FALSE)&amp;VLOOKUP(AA85,cvt!$B$2:$C$4,2,FALSE)</f>
        <v>〇×〇×〇×--〇</v>
      </c>
      <c r="S85" s="7">
        <f ca="1">VLOOKUP(MID($D85,S$9+1,1), cvt!$A$2:$B$4,2, FALSE)</f>
        <v>1</v>
      </c>
      <c r="T85" s="7">
        <f ca="1">VLOOKUP(MID($D85,T$9+1,1), cvt!$A$2:$B$4,2, FALSE)</f>
        <v>-1</v>
      </c>
      <c r="U85" s="7">
        <f ca="1">VLOOKUP(MID($D85,U$9+1,1), cvt!$A$2:$B$4,2, FALSE)</f>
        <v>1</v>
      </c>
      <c r="V85" s="17">
        <f ca="1">VLOOKUP(MID($D85,V$9+1,1), cvt!$A$2:$B$4,2, FALSE)</f>
        <v>-1</v>
      </c>
      <c r="W85" s="7">
        <f ca="1">VLOOKUP(MID($D85,W$9+1,1), cvt!$A$2:$B$4,2, FALSE)</f>
        <v>1</v>
      </c>
      <c r="X85" s="18">
        <f ca="1">VLOOKUP(MID($D85,X$9+1,1), cvt!$A$2:$B$4,2, FALSE)</f>
        <v>-1</v>
      </c>
      <c r="Y85" s="7">
        <f ca="1">VLOOKUP(MID($D85,Y$9+1,1), cvt!$A$2:$B$4,2, FALSE)</f>
        <v>0</v>
      </c>
      <c r="Z85" s="7">
        <f ca="1">VLOOKUP(MID($D85,Z$9+1,1), cvt!$A$2:$B$4,2, FALSE)</f>
        <v>0</v>
      </c>
      <c r="AA85" s="42">
        <f ca="1">VLOOKUP(MID($D85,AA$9+1,1), cvt!$A$2:$B$4,2, FALSE)</f>
        <v>1</v>
      </c>
      <c r="AB85" s="7">
        <f t="shared" ca="1" si="211"/>
        <v>1</v>
      </c>
      <c r="AC85" s="50" t="b">
        <f t="shared" ca="1" si="212"/>
        <v>1</v>
      </c>
      <c r="AE85" s="19" t="str">
        <f ca="1">VLOOKUP(AF85,cvt!$B$2:$C$4,2,FALSE)&amp;VLOOKUP(AG85,cvt!$B$2:$C$4,2,FALSE)&amp;VLOOKUP(AH85,cvt!$B$2:$C$4,2,FALSE)
&amp;VLOOKUP(AI85,cvt!$B$2:$C$4,2,FALSE)&amp;VLOOKUP(AJ85,cvt!$B$2:$C$4,2,FALSE)&amp;VLOOKUP(AK85,cvt!$B$2:$C$4,2,FALSE)
&amp;VLOOKUP(AL85,cvt!$B$2:$C$4,2,FALSE)&amp;VLOOKUP(AM85,cvt!$B$2:$C$4,2,FALSE)&amp;VLOOKUP(AN85,cvt!$B$2:$C$4,2,FALSE)</f>
        <v>〇×〇×〇×--〇</v>
      </c>
      <c r="AF85" s="17">
        <f t="shared" ca="1" si="143"/>
        <v>1</v>
      </c>
      <c r="AG85" s="7">
        <f t="shared" ca="1" si="144"/>
        <v>-1</v>
      </c>
      <c r="AH85" s="7">
        <f t="shared" ca="1" si="145"/>
        <v>1</v>
      </c>
      <c r="AI85" s="17">
        <f t="shared" ca="1" si="146"/>
        <v>-1</v>
      </c>
      <c r="AJ85" s="7">
        <f t="shared" ca="1" si="147"/>
        <v>1</v>
      </c>
      <c r="AK85" s="18">
        <f t="shared" ca="1" si="148"/>
        <v>-1</v>
      </c>
      <c r="AL85" s="7">
        <f t="shared" ca="1" si="149"/>
        <v>0</v>
      </c>
      <c r="AM85" s="7">
        <f t="shared" ca="1" si="150"/>
        <v>0</v>
      </c>
      <c r="AN85" s="18">
        <f t="shared" ca="1" si="151"/>
        <v>1</v>
      </c>
      <c r="AO85" s="7">
        <f t="shared" ca="1" si="213"/>
        <v>1</v>
      </c>
      <c r="AP85" s="50" t="b">
        <f t="shared" ca="1" si="152"/>
        <v>1</v>
      </c>
      <c r="AS85" s="22">
        <f t="shared" ca="1" si="214"/>
        <v>0</v>
      </c>
      <c r="AT85" s="7">
        <f t="shared" ca="1" si="153"/>
        <v>0</v>
      </c>
      <c r="AU85" s="7">
        <f t="shared" ca="1" si="154"/>
        <v>0</v>
      </c>
      <c r="AV85" s="7">
        <f t="shared" ca="1" si="155"/>
        <v>0</v>
      </c>
      <c r="AW85" s="7">
        <f t="shared" ca="1" si="156"/>
        <v>0</v>
      </c>
      <c r="AX85" s="7">
        <f t="shared" ca="1" si="157"/>
        <v>0</v>
      </c>
      <c r="AY85" s="7">
        <f t="shared" ca="1" si="158"/>
        <v>0</v>
      </c>
      <c r="AZ85" s="7">
        <f t="shared" ca="1" si="159"/>
        <v>0</v>
      </c>
      <c r="BA85" s="18">
        <f t="shared" ca="1" si="160"/>
        <v>0</v>
      </c>
      <c r="BB85" s="295">
        <f t="shared" ca="1" si="215"/>
        <v>1</v>
      </c>
      <c r="BD85" s="132"/>
      <c r="BE85" s="297">
        <f t="shared" ca="1" si="216"/>
        <v>1</v>
      </c>
      <c r="BF85" s="298">
        <f t="shared" ca="1" si="161"/>
        <v>0.65029522127322903</v>
      </c>
      <c r="BG85" s="298">
        <f t="shared" ca="1" si="162"/>
        <v>0.66028983545318687</v>
      </c>
      <c r="BH85" s="318">
        <f t="shared" ca="1" si="163"/>
        <v>0.64972655813153501</v>
      </c>
      <c r="BI85" s="298">
        <f t="shared" ca="1" si="164"/>
        <v>0.65002804502111444</v>
      </c>
      <c r="BJ85" s="299">
        <f t="shared" ca="1" si="165"/>
        <v>0.65029320640965171</v>
      </c>
      <c r="BK85" s="298">
        <f t="shared" ca="1" si="166"/>
        <v>0.64942668056342145</v>
      </c>
      <c r="BL85" s="298">
        <f t="shared" ca="1" si="167"/>
        <v>0.61083952513994022</v>
      </c>
      <c r="BM85" s="299">
        <f t="shared" ca="1" si="168"/>
        <v>0.6508682169276182</v>
      </c>
      <c r="BN85" s="295">
        <f t="shared" ca="1" si="169"/>
        <v>0.17402001625314881</v>
      </c>
      <c r="BO85" s="248">
        <f t="shared" ca="1" si="217"/>
        <v>-2.2535161742124597E-5</v>
      </c>
      <c r="BQ85" s="304">
        <f t="shared" ca="1" si="218"/>
        <v>0.42412001625314877</v>
      </c>
      <c r="BR85" s="297">
        <f t="shared" ca="1" si="219"/>
        <v>0</v>
      </c>
      <c r="BS85" s="298">
        <f t="shared" ca="1" si="170"/>
        <v>0</v>
      </c>
      <c r="BT85" s="298">
        <f t="shared" ca="1" si="171"/>
        <v>0</v>
      </c>
      <c r="BU85" s="318">
        <f t="shared" ca="1" si="172"/>
        <v>0</v>
      </c>
      <c r="BV85" s="298">
        <f t="shared" ca="1" si="173"/>
        <v>0</v>
      </c>
      <c r="BW85" s="299">
        <f t="shared" ca="1" si="174"/>
        <v>0</v>
      </c>
      <c r="BX85" s="298">
        <f t="shared" ca="1" si="175"/>
        <v>0</v>
      </c>
      <c r="BY85" s="298">
        <f t="shared" ca="1" si="176"/>
        <v>0</v>
      </c>
      <c r="BZ85" s="298">
        <f t="shared" ca="1" si="177"/>
        <v>0</v>
      </c>
      <c r="CA85" s="315">
        <f t="shared" ca="1" si="178"/>
        <v>0.42412001625314877</v>
      </c>
      <c r="CC85" s="52"/>
      <c r="CD85" s="306">
        <f t="shared" ca="1" si="220"/>
        <v>0</v>
      </c>
      <c r="CE85" s="15">
        <f t="shared" ca="1" si="179"/>
        <v>0</v>
      </c>
      <c r="CF85" s="15">
        <f t="shared" ca="1" si="180"/>
        <v>0</v>
      </c>
      <c r="CG85" s="286">
        <f t="shared" ca="1" si="181"/>
        <v>0</v>
      </c>
      <c r="CH85" s="15">
        <f t="shared" ca="1" si="182"/>
        <v>0</v>
      </c>
      <c r="CI85" s="288">
        <f t="shared" ca="1" si="183"/>
        <v>0</v>
      </c>
      <c r="CJ85" s="15">
        <f t="shared" ca="1" si="184"/>
        <v>0</v>
      </c>
      <c r="CK85" s="15">
        <f t="shared" ca="1" si="185"/>
        <v>0</v>
      </c>
      <c r="CL85" s="15">
        <f t="shared" ca="1" si="186"/>
        <v>0</v>
      </c>
      <c r="CM85" s="313">
        <f t="shared" ca="1" si="187"/>
        <v>1</v>
      </c>
      <c r="CO85" s="320">
        <f t="shared" ca="1" si="221"/>
        <v>74</v>
      </c>
      <c r="CP85" s="22">
        <f ca="1">COUNTIFS($C$10:$C84,"&lt;"&amp;$C85,$M$10:$M84,$D85&amp;"_"&amp;CP$9)</f>
        <v>0</v>
      </c>
      <c r="CQ85" s="7">
        <f ca="1">COUNTIFS($C$10:$C84,"&lt;"&amp;$C85,$M$10:$M84,$D85&amp;"_"&amp;CQ$9)</f>
        <v>0</v>
      </c>
      <c r="CR85" s="7">
        <f ca="1">COUNTIFS($C$10:$C84,"&lt;"&amp;$C85,$M$10:$M84,$D85&amp;"_"&amp;CR$9)</f>
        <v>0</v>
      </c>
      <c r="CS85" s="17">
        <f ca="1">COUNTIFS($C$10:$C84,"&lt;"&amp;$C85,$M$10:$M84,$D85&amp;"_"&amp;CS$9)</f>
        <v>0</v>
      </c>
      <c r="CT85" s="7">
        <f ca="1">COUNTIFS($C$10:$C84,"&lt;"&amp;$C85,$M$10:$M84,$D85&amp;"_"&amp;CT$9)</f>
        <v>0</v>
      </c>
      <c r="CU85" s="18">
        <f ca="1">COUNTIFS($C$10:$C84,"&lt;"&amp;$C85,$M$10:$M84,$D85&amp;"_"&amp;CU$9)</f>
        <v>0</v>
      </c>
      <c r="CV85" s="7">
        <f ca="1">COUNTIFS($C$10:$C84,"&lt;"&amp;$C85,$M$10:$M84,$D85&amp;"_"&amp;CV$9)</f>
        <v>0</v>
      </c>
      <c r="CW85" s="7">
        <f ca="1">COUNTIFS($C$10:$C84,"&lt;"&amp;$C85,$M$10:$M84,$D85&amp;"_"&amp;CW$9)</f>
        <v>0</v>
      </c>
      <c r="CX85" s="7">
        <f ca="1">COUNTIFS($C$10:$C84,"&lt;"&amp;$C85,$M$10:$M84,$D85&amp;"_"&amp;CX$9)</f>
        <v>0</v>
      </c>
      <c r="CY85" s="221">
        <f ca="1">COUNTIFS($C$10:$C84,"&lt;"&amp;$C85,$M$10:$M84,$D85&amp;"_"&amp;CY$9)</f>
        <v>74</v>
      </c>
      <c r="DA85" s="20"/>
      <c r="DB85" s="308">
        <f ca="1">IF(CP85=0,0,SUMIFS($P$10:$P84, $C$10:$C84,"&lt;"&amp;$C85, $M$10:$M84,$D85&amp;"_"&amp;DB$9)/CP85)</f>
        <v>0</v>
      </c>
      <c r="DC85" s="263">
        <f ca="1">IF(CQ85=0,0,SUMIFS($P$10:$P84, $C$10:$C84,"&lt;"&amp;$C85, $M$10:$M84,$D85&amp;"_"&amp;DC$9)/CQ85)</f>
        <v>0</v>
      </c>
      <c r="DD85" s="263">
        <f ca="1">IF(CR85=0,0,SUMIFS($P$10:$P84, $C$10:$C84,"&lt;"&amp;$C85, $M$10:$M84,$D85&amp;"_"&amp;DD$9)/CR85)</f>
        <v>0</v>
      </c>
      <c r="DE85" s="262">
        <f ca="1">IF(CS85=0,0,SUMIFS($P$10:$P84, $C$10:$C84,"&lt;"&amp;$C85, $M$10:$M84,$D85&amp;"_"&amp;DE$9)/CS85)</f>
        <v>0</v>
      </c>
      <c r="DF85" s="263">
        <f ca="1">IF(CT85=0,0,SUMIFS($P$10:$P84, $C$10:$C84,"&lt;"&amp;$C85, $M$10:$M84,$D85&amp;"_"&amp;DF$9)/CT85)</f>
        <v>0</v>
      </c>
      <c r="DG85" s="310">
        <f ca="1">IF(CU85=0,0,SUMIFS($P$10:$P84, $C$10:$C84,"&lt;"&amp;$C85, $M$10:$M84,$D85&amp;"_"&amp;DG$9)/CU85)</f>
        <v>0</v>
      </c>
      <c r="DH85" s="263">
        <f ca="1">IF(CV85=0,0,SUMIFS($P$10:$P84, $C$10:$C84,"&lt;"&amp;$C85, $M$10:$M84,$D85&amp;"_"&amp;DH$9)/CV85)</f>
        <v>0</v>
      </c>
      <c r="DI85" s="263">
        <f ca="1">IF(CW85=0,0,SUMIFS($P$10:$P84, $C$10:$C84,"&lt;"&amp;$C85, $M$10:$M84,$D85&amp;"_"&amp;DI$9)/CW85)</f>
        <v>0</v>
      </c>
      <c r="DJ85" s="264">
        <f ca="1">IF(CX85=0,0,SUMIFS($P$10:$P84, $C$10:$C84,"&lt;"&amp;$C85, $M$10:$M84,$D85&amp;"_"&amp;DJ$9)/CX85)</f>
        <v>0</v>
      </c>
      <c r="DK85" s="264">
        <f ca="1">IF(CY85=0,0,SUMIFS($P$10:$P84, $C$10:$C84,"&lt;"&amp;$C85, $M$10:$M84,$D85&amp;"_"&amp;DK$9)/CY85)</f>
        <v>-1</v>
      </c>
      <c r="DM85" s="104"/>
      <c r="DN85" s="306">
        <f t="shared" ca="1" si="222"/>
        <v>-9999</v>
      </c>
      <c r="DO85" s="15">
        <f t="shared" ca="1" si="188"/>
        <v>-9999</v>
      </c>
      <c r="DP85" s="15">
        <f t="shared" ca="1" si="189"/>
        <v>-9999</v>
      </c>
      <c r="DQ85" s="15">
        <f t="shared" ca="1" si="190"/>
        <v>-9999</v>
      </c>
      <c r="DR85" s="15">
        <f t="shared" ca="1" si="191"/>
        <v>-9999</v>
      </c>
      <c r="DS85" s="15">
        <f t="shared" ca="1" si="192"/>
        <v>-9999</v>
      </c>
      <c r="DT85" s="15">
        <f t="shared" ca="1" si="193"/>
        <v>-9999</v>
      </c>
      <c r="DU85" s="15">
        <f t="shared" ca="1" si="194"/>
        <v>-9999</v>
      </c>
      <c r="DV85" s="52">
        <f t="shared" ca="1" si="195"/>
        <v>-9999</v>
      </c>
      <c r="DW85" s="313">
        <f t="shared" ca="1" si="196"/>
        <v>-0.88530232977276502</v>
      </c>
      <c r="DX85" s="52"/>
      <c r="DY85" s="402">
        <f t="shared" ca="1" si="223"/>
        <v>9</v>
      </c>
      <c r="ED85" s="19">
        <f t="shared" ca="1" si="197"/>
        <v>-1</v>
      </c>
      <c r="EE85" s="1">
        <f t="shared" ca="1" si="198"/>
        <v>1</v>
      </c>
      <c r="EF85" s="1">
        <f t="shared" ca="1" si="199"/>
        <v>-1</v>
      </c>
      <c r="EG85" s="2">
        <f t="shared" ca="1" si="200"/>
        <v>1</v>
      </c>
      <c r="EH85" s="1">
        <f t="shared" ca="1" si="201"/>
        <v>-1</v>
      </c>
      <c r="EI85" s="3">
        <f t="shared" ca="1" si="202"/>
        <v>1</v>
      </c>
      <c r="EJ85" s="1">
        <f t="shared" ca="1" si="203"/>
        <v>0</v>
      </c>
      <c r="EK85" s="1">
        <f t="shared" ca="1" si="204"/>
        <v>0</v>
      </c>
      <c r="EL85" s="20">
        <f t="shared" ca="1" si="205"/>
        <v>-1</v>
      </c>
      <c r="EN85" s="86">
        <f ca="1">MAX(0, SUMPRODUCT($ED85:$EL85,OFFSET(DNN!$E$9:$M$9,EN$9,0)) + OFFSET(DNN!$D$9,EN$9,0))</f>
        <v>0</v>
      </c>
      <c r="EO85" s="84">
        <f ca="1">MAX(0, SUMPRODUCT($ED85:$EL85,OFFSET(DNN!$E$9:$M$9,EO$9,0)) + OFFSET(DNN!$D$9,EO$9,0))</f>
        <v>7.2346022384755949E-3</v>
      </c>
      <c r="EP85" s="84">
        <f ca="1">MAX(0, SUMPRODUCT($ED85:$EL85,OFFSET(DNN!$E$9:$M$9,EP$9,0)) + OFFSET(DNN!$D$9,EP$9,0))</f>
        <v>3.6951849750035152E-3</v>
      </c>
      <c r="EQ85" s="84">
        <f ca="1">MAX(0, SUMPRODUCT($ED85:$EL85,OFFSET(DNN!$E$9:$M$9,EQ$9,0)) + OFFSET(DNN!$D$9,EQ$9,0))</f>
        <v>0</v>
      </c>
      <c r="ER85" s="85">
        <f ca="1">MAX(0, SUMPRODUCT($ED85:$EL85,OFFSET(DNN!$E$9:$M$9,ER$9,0)) + OFFSET(DNN!$D$9,ER$9,0))</f>
        <v>0</v>
      </c>
      <c r="ET85" s="86">
        <f ca="1">MAX(0, SUMPRODUCT($EN85:$ER85,OFFSET(DNN!$Q$9:$U$9,ET$9,0)) + OFFSET(DNN!$P$9,ET$9,0))</f>
        <v>4.3954959453478351E-4</v>
      </c>
      <c r="EU85" s="84">
        <f ca="1">MAX(0, SUMPRODUCT($EN85:$ER85,OFFSET(DNN!$Q$9:$U$9,EU$9,0)) + OFFSET(DNN!$P$9,EU$9,0))</f>
        <v>0</v>
      </c>
      <c r="EV85" s="84">
        <f ca="1">MAX(0, SUMPRODUCT($EN85:$ER85,OFFSET(DNN!$Q$9:$U$9,EV$9,0)) + OFFSET(DNN!$P$9,EV$9,0))</f>
        <v>1.2810123361902579E-3</v>
      </c>
      <c r="EW85" s="84">
        <f ca="1">MAX(0, SUMPRODUCT($EN85:$ER85,OFFSET(DNN!$Q$9:$U$9,EW$9,0)) + OFFSET(DNN!$P$9,EW$9,0))</f>
        <v>7.8382123007882457E-4</v>
      </c>
      <c r="EX85" s="85">
        <f ca="1">MAX(0, SUMPRODUCT($EN85:$ER85,OFFSET(DNN!$Q$9:$U$9,EX$9,0)) + OFFSET(DNN!$P$9,EX$9,0))</f>
        <v>0</v>
      </c>
      <c r="EZ85" s="111">
        <f ca="1">SUMPRODUCT($ET85:$EX85,OFFSET(DNN!$Y$9:$AC$9,EZ$9,0)) + OFFSET(DNN!$X$9,EZ$9,0)</f>
        <v>0.43031618918982212</v>
      </c>
      <c r="FA85" s="97">
        <f ca="1">SUMPRODUCT($ET85:$EX85,OFFSET(DNN!$Y$9:$AC$9,FA$9,0)) + OFFSET(DNN!$X$9,FA$9,0)</f>
        <v>-1.2643439935754107E-5</v>
      </c>
      <c r="FB85" s="97">
        <f ca="1">SUMPRODUCT($ET85:$EX85,OFFSET(DNN!$Y$9:$AC$9,FB$9,0)) + OFFSET(DNN!$X$9,FB$9,0)</f>
        <v>1.5239793458415756E-2</v>
      </c>
      <c r="FC85" s="97">
        <f ca="1">SUMPRODUCT($ET85:$EX85,OFFSET(DNN!$Y$9:$AC$9,FC$9,0)) + OFFSET(DNN!$X$9,FC$9,0)</f>
        <v>-8.8749521084055777E-4</v>
      </c>
      <c r="FD85" s="97">
        <f ca="1">SUMPRODUCT($ET85:$EX85,OFFSET(DNN!$Y$9:$AC$9,FD$9,0)) + OFFSET(DNN!$X$9,FD$9,0)</f>
        <v>-4.235816470721872E-4</v>
      </c>
      <c r="FE85" s="97">
        <f ca="1">SUMPRODUCT($ET85:$EX85,OFFSET(DNN!$Y$9:$AC$9,FE$9,0)) + OFFSET(DNN!$X$9,FE$9,0)</f>
        <v>-1.574182761064886E-5</v>
      </c>
      <c r="FF85" s="97">
        <f ca="1">SUMPRODUCT($ET85:$EX85,OFFSET(DNN!$Y$9:$AC$9,FF$9,0)) + OFFSET(DNN!$X$9,FF$9,0)</f>
        <v>-1.3491460223194656E-3</v>
      </c>
      <c r="FG85" s="97">
        <f ca="1">SUMPRODUCT($ET85:$EX85,OFFSET(DNN!$Y$9:$AC$9,FG$9,0)) + OFFSET(DNN!$X$9,FG$9,0)</f>
        <v>-6.2604808096248285E-2</v>
      </c>
      <c r="FH85" s="97">
        <f ca="1">SUMPRODUCT($ET85:$EX85,OFFSET(DNN!$Y$9:$AC$9,FH$9,0)) + OFFSET(DNN!$X$9,FH$9,0)</f>
        <v>8.6810016937029894E-4</v>
      </c>
      <c r="FI85" s="108">
        <f ca="1">SUMPRODUCT($ET85:$EX85,OFFSET(DNN!$Y$9:$AC$9,FI$9,0)) + OFFSET(DNN!$X$9,FI$9,0)</f>
        <v>-1.3182687612562751</v>
      </c>
      <c r="FJ85" s="98">
        <f ca="1">SUMPRODUCT($ET85:$EX85,OFFSET(DNN!$Y$9:$AC$9,FJ$9,0)) + OFFSET(DNN!$X$9,FJ$9,0)</f>
        <v>-2.2535161745939301E-5</v>
      </c>
      <c r="FL85" s="415">
        <f t="shared" ca="1" si="224"/>
        <v>0.43031618918982212</v>
      </c>
      <c r="FM85" s="130">
        <f t="shared" ca="1" si="225"/>
        <v>1</v>
      </c>
      <c r="FN85" s="131">
        <f t="shared" ca="1" si="226"/>
        <v>0.65029522127322903</v>
      </c>
      <c r="FO85" s="131">
        <f t="shared" ca="1" si="227"/>
        <v>0.66028983545318687</v>
      </c>
      <c r="FP85" s="131">
        <f t="shared" ca="1" si="228"/>
        <v>0.64972655813153501</v>
      </c>
      <c r="FQ85" s="131">
        <f t="shared" ca="1" si="229"/>
        <v>0.65002804502111444</v>
      </c>
      <c r="FR85" s="131">
        <f t="shared" ca="1" si="230"/>
        <v>0.65029320640965171</v>
      </c>
      <c r="FS85" s="131">
        <f t="shared" ca="1" si="231"/>
        <v>0.64942668056342145</v>
      </c>
      <c r="FT85" s="131">
        <f t="shared" ca="1" si="232"/>
        <v>0.61083952513994022</v>
      </c>
      <c r="FU85" s="132">
        <f t="shared" ca="1" si="233"/>
        <v>0.6508682169276182</v>
      </c>
      <c r="FV85" s="131">
        <f t="shared" ca="1" si="234"/>
        <v>0.17402001625314881</v>
      </c>
      <c r="FW85" s="83">
        <f t="shared" ca="1" si="235"/>
        <v>-2.2535161742124597E-5</v>
      </c>
    </row>
    <row r="86" spans="1:179">
      <c r="A86" s="19">
        <f t="shared" si="240"/>
        <v>76</v>
      </c>
      <c r="B86" s="1">
        <f t="shared" ca="1" si="236"/>
        <v>0</v>
      </c>
      <c r="C86" s="20">
        <f t="shared" ca="1" si="237"/>
        <v>76</v>
      </c>
      <c r="D86" s="19" t="str">
        <f t="shared" ca="1" si="238"/>
        <v>〇×〇×〇×--〇</v>
      </c>
      <c r="E86" s="7">
        <f t="shared" ca="1" si="206"/>
        <v>9</v>
      </c>
      <c r="F86" s="7">
        <f t="shared" ca="1" si="207"/>
        <v>1</v>
      </c>
      <c r="G86" s="1" t="str">
        <f t="shared" ca="1" si="139"/>
        <v>〇×〇×〇×--〇</v>
      </c>
      <c r="H86" s="20" t="b">
        <f t="shared" ca="1" si="140"/>
        <v>1</v>
      </c>
      <c r="I86" s="22">
        <f t="shared" ca="1" si="239"/>
        <v>-1</v>
      </c>
      <c r="J86" s="1" t="b">
        <f ca="1">(1&lt;COUNTIF(D$10:D86,D86))</f>
        <v>1</v>
      </c>
      <c r="K86" s="1" t="b">
        <f t="shared" ca="1" si="141"/>
        <v>1</v>
      </c>
      <c r="L86" s="7">
        <f ca="1">MATCH(TRUE,K86:K$1048576,FALSE)-1</f>
        <v>0</v>
      </c>
      <c r="M86" s="24" t="str">
        <f t="shared" ca="1" si="142"/>
        <v>〇×〇×〇×--〇_9</v>
      </c>
      <c r="N86" s="25">
        <f t="shared" ca="1" si="208"/>
        <v>-2.2535161742124597E-5</v>
      </c>
      <c r="O86" s="26">
        <f t="shared" ca="1" si="209"/>
        <v>-1</v>
      </c>
      <c r="P86" s="27">
        <f t="shared" ca="1" si="210"/>
        <v>-1</v>
      </c>
      <c r="R86" s="41" t="str">
        <f ca="1">VLOOKUP(S86,cvt!$B$2:$C$4,2,FALSE)&amp;VLOOKUP(T86,cvt!$B$2:$C$4,2,FALSE)&amp;VLOOKUP(U86,cvt!$B$2:$C$4,2,FALSE)
&amp;VLOOKUP(V86,cvt!$B$2:$C$4,2,FALSE)&amp;VLOOKUP(W86,cvt!$B$2:$C$4,2,FALSE)&amp;VLOOKUP(X86,cvt!$B$2:$C$4,2,FALSE)
&amp;VLOOKUP(Y86,cvt!$B$2:$C$4,2,FALSE)&amp;VLOOKUP(Z86,cvt!$B$2:$C$4,2,FALSE)&amp;VLOOKUP(AA86,cvt!$B$2:$C$4,2,FALSE)</f>
        <v>〇×〇×〇×--〇</v>
      </c>
      <c r="S86" s="7">
        <f ca="1">VLOOKUP(MID($D86,S$9+1,1), cvt!$A$2:$B$4,2, FALSE)</f>
        <v>1</v>
      </c>
      <c r="T86" s="7">
        <f ca="1">VLOOKUP(MID($D86,T$9+1,1), cvt!$A$2:$B$4,2, FALSE)</f>
        <v>-1</v>
      </c>
      <c r="U86" s="7">
        <f ca="1">VLOOKUP(MID($D86,U$9+1,1), cvt!$A$2:$B$4,2, FALSE)</f>
        <v>1</v>
      </c>
      <c r="V86" s="17">
        <f ca="1">VLOOKUP(MID($D86,V$9+1,1), cvt!$A$2:$B$4,2, FALSE)</f>
        <v>-1</v>
      </c>
      <c r="W86" s="7">
        <f ca="1">VLOOKUP(MID($D86,W$9+1,1), cvt!$A$2:$B$4,2, FALSE)</f>
        <v>1</v>
      </c>
      <c r="X86" s="18">
        <f ca="1">VLOOKUP(MID($D86,X$9+1,1), cvt!$A$2:$B$4,2, FALSE)</f>
        <v>-1</v>
      </c>
      <c r="Y86" s="7">
        <f ca="1">VLOOKUP(MID($D86,Y$9+1,1), cvt!$A$2:$B$4,2, FALSE)</f>
        <v>0</v>
      </c>
      <c r="Z86" s="7">
        <f ca="1">VLOOKUP(MID($D86,Z$9+1,1), cvt!$A$2:$B$4,2, FALSE)</f>
        <v>0</v>
      </c>
      <c r="AA86" s="42">
        <f ca="1">VLOOKUP(MID($D86,AA$9+1,1), cvt!$A$2:$B$4,2, FALSE)</f>
        <v>1</v>
      </c>
      <c r="AB86" s="7">
        <f t="shared" ca="1" si="211"/>
        <v>1</v>
      </c>
      <c r="AC86" s="50" t="b">
        <f t="shared" ca="1" si="212"/>
        <v>1</v>
      </c>
      <c r="AE86" s="19" t="str">
        <f ca="1">VLOOKUP(AF86,cvt!$B$2:$C$4,2,FALSE)&amp;VLOOKUP(AG86,cvt!$B$2:$C$4,2,FALSE)&amp;VLOOKUP(AH86,cvt!$B$2:$C$4,2,FALSE)
&amp;VLOOKUP(AI86,cvt!$B$2:$C$4,2,FALSE)&amp;VLOOKUP(AJ86,cvt!$B$2:$C$4,2,FALSE)&amp;VLOOKUP(AK86,cvt!$B$2:$C$4,2,FALSE)
&amp;VLOOKUP(AL86,cvt!$B$2:$C$4,2,FALSE)&amp;VLOOKUP(AM86,cvt!$B$2:$C$4,2,FALSE)&amp;VLOOKUP(AN86,cvt!$B$2:$C$4,2,FALSE)</f>
        <v>〇×〇×〇×--〇</v>
      </c>
      <c r="AF86" s="17">
        <f t="shared" ca="1" si="143"/>
        <v>1</v>
      </c>
      <c r="AG86" s="7">
        <f t="shared" ca="1" si="144"/>
        <v>-1</v>
      </c>
      <c r="AH86" s="7">
        <f t="shared" ca="1" si="145"/>
        <v>1</v>
      </c>
      <c r="AI86" s="17">
        <f t="shared" ca="1" si="146"/>
        <v>-1</v>
      </c>
      <c r="AJ86" s="7">
        <f t="shared" ca="1" si="147"/>
        <v>1</v>
      </c>
      <c r="AK86" s="18">
        <f t="shared" ca="1" si="148"/>
        <v>-1</v>
      </c>
      <c r="AL86" s="7">
        <f t="shared" ca="1" si="149"/>
        <v>0</v>
      </c>
      <c r="AM86" s="7">
        <f t="shared" ca="1" si="150"/>
        <v>0</v>
      </c>
      <c r="AN86" s="18">
        <f t="shared" ca="1" si="151"/>
        <v>1</v>
      </c>
      <c r="AO86" s="7">
        <f t="shared" ca="1" si="213"/>
        <v>1</v>
      </c>
      <c r="AP86" s="50" t="b">
        <f t="shared" ca="1" si="152"/>
        <v>1</v>
      </c>
      <c r="AS86" s="22">
        <f t="shared" ca="1" si="214"/>
        <v>0</v>
      </c>
      <c r="AT86" s="7">
        <f t="shared" ca="1" si="153"/>
        <v>0</v>
      </c>
      <c r="AU86" s="7">
        <f t="shared" ca="1" si="154"/>
        <v>0</v>
      </c>
      <c r="AV86" s="7">
        <f t="shared" ca="1" si="155"/>
        <v>0</v>
      </c>
      <c r="AW86" s="7">
        <f t="shared" ca="1" si="156"/>
        <v>0</v>
      </c>
      <c r="AX86" s="7">
        <f t="shared" ca="1" si="157"/>
        <v>0</v>
      </c>
      <c r="AY86" s="7">
        <f t="shared" ca="1" si="158"/>
        <v>0</v>
      </c>
      <c r="AZ86" s="7">
        <f t="shared" ca="1" si="159"/>
        <v>0</v>
      </c>
      <c r="BA86" s="18">
        <f t="shared" ca="1" si="160"/>
        <v>0</v>
      </c>
      <c r="BB86" s="295">
        <f t="shared" ca="1" si="215"/>
        <v>1</v>
      </c>
      <c r="BD86" s="132"/>
      <c r="BE86" s="297">
        <f t="shared" ca="1" si="216"/>
        <v>1</v>
      </c>
      <c r="BF86" s="298">
        <f t="shared" ca="1" si="161"/>
        <v>0.65029522127322903</v>
      </c>
      <c r="BG86" s="298">
        <f t="shared" ca="1" si="162"/>
        <v>0.66028983545318687</v>
      </c>
      <c r="BH86" s="318">
        <f t="shared" ca="1" si="163"/>
        <v>0.64972655813153501</v>
      </c>
      <c r="BI86" s="298">
        <f t="shared" ca="1" si="164"/>
        <v>0.65002804502111444</v>
      </c>
      <c r="BJ86" s="299">
        <f t="shared" ca="1" si="165"/>
        <v>0.65029320640965171</v>
      </c>
      <c r="BK86" s="298">
        <f t="shared" ca="1" si="166"/>
        <v>0.64942668056342145</v>
      </c>
      <c r="BL86" s="298">
        <f t="shared" ca="1" si="167"/>
        <v>0.61083952513994022</v>
      </c>
      <c r="BM86" s="299">
        <f t="shared" ca="1" si="168"/>
        <v>0.6508682169276182</v>
      </c>
      <c r="BN86" s="295">
        <f t="shared" ca="1" si="169"/>
        <v>0.17402001625314881</v>
      </c>
      <c r="BO86" s="248">
        <f t="shared" ca="1" si="217"/>
        <v>-2.2535161742124597E-5</v>
      </c>
      <c r="BQ86" s="304">
        <f t="shared" ca="1" si="218"/>
        <v>0.1741200162531488</v>
      </c>
      <c r="BR86" s="297">
        <f t="shared" ca="1" si="219"/>
        <v>0</v>
      </c>
      <c r="BS86" s="298">
        <f t="shared" ca="1" si="170"/>
        <v>0</v>
      </c>
      <c r="BT86" s="298">
        <f t="shared" ca="1" si="171"/>
        <v>0</v>
      </c>
      <c r="BU86" s="318">
        <f t="shared" ca="1" si="172"/>
        <v>0</v>
      </c>
      <c r="BV86" s="298">
        <f t="shared" ca="1" si="173"/>
        <v>0</v>
      </c>
      <c r="BW86" s="299">
        <f t="shared" ca="1" si="174"/>
        <v>0</v>
      </c>
      <c r="BX86" s="298">
        <f t="shared" ca="1" si="175"/>
        <v>0</v>
      </c>
      <c r="BY86" s="298">
        <f t="shared" ca="1" si="176"/>
        <v>0</v>
      </c>
      <c r="BZ86" s="298">
        <f t="shared" ca="1" si="177"/>
        <v>0</v>
      </c>
      <c r="CA86" s="315">
        <f t="shared" ca="1" si="178"/>
        <v>0.1741200162531488</v>
      </c>
      <c r="CC86" s="52"/>
      <c r="CD86" s="306">
        <f t="shared" ca="1" si="220"/>
        <v>0</v>
      </c>
      <c r="CE86" s="15">
        <f t="shared" ca="1" si="179"/>
        <v>0</v>
      </c>
      <c r="CF86" s="15">
        <f t="shared" ca="1" si="180"/>
        <v>0</v>
      </c>
      <c r="CG86" s="286">
        <f t="shared" ca="1" si="181"/>
        <v>0</v>
      </c>
      <c r="CH86" s="15">
        <f t="shared" ca="1" si="182"/>
        <v>0</v>
      </c>
      <c r="CI86" s="288">
        <f t="shared" ca="1" si="183"/>
        <v>0</v>
      </c>
      <c r="CJ86" s="15">
        <f t="shared" ca="1" si="184"/>
        <v>0</v>
      </c>
      <c r="CK86" s="15">
        <f t="shared" ca="1" si="185"/>
        <v>0</v>
      </c>
      <c r="CL86" s="15">
        <f t="shared" ca="1" si="186"/>
        <v>0</v>
      </c>
      <c r="CM86" s="313">
        <f t="shared" ca="1" si="187"/>
        <v>1</v>
      </c>
      <c r="CO86" s="320">
        <f t="shared" ca="1" si="221"/>
        <v>75</v>
      </c>
      <c r="CP86" s="22">
        <f ca="1">COUNTIFS($C$10:$C85,"&lt;"&amp;$C86,$M$10:$M85,$D86&amp;"_"&amp;CP$9)</f>
        <v>0</v>
      </c>
      <c r="CQ86" s="7">
        <f ca="1">COUNTIFS($C$10:$C85,"&lt;"&amp;$C86,$M$10:$M85,$D86&amp;"_"&amp;CQ$9)</f>
        <v>0</v>
      </c>
      <c r="CR86" s="7">
        <f ca="1">COUNTIFS($C$10:$C85,"&lt;"&amp;$C86,$M$10:$M85,$D86&amp;"_"&amp;CR$9)</f>
        <v>0</v>
      </c>
      <c r="CS86" s="17">
        <f ca="1">COUNTIFS($C$10:$C85,"&lt;"&amp;$C86,$M$10:$M85,$D86&amp;"_"&amp;CS$9)</f>
        <v>0</v>
      </c>
      <c r="CT86" s="7">
        <f ca="1">COUNTIFS($C$10:$C85,"&lt;"&amp;$C86,$M$10:$M85,$D86&amp;"_"&amp;CT$9)</f>
        <v>0</v>
      </c>
      <c r="CU86" s="18">
        <f ca="1">COUNTIFS($C$10:$C85,"&lt;"&amp;$C86,$M$10:$M85,$D86&amp;"_"&amp;CU$9)</f>
        <v>0</v>
      </c>
      <c r="CV86" s="7">
        <f ca="1">COUNTIFS($C$10:$C85,"&lt;"&amp;$C86,$M$10:$M85,$D86&amp;"_"&amp;CV$9)</f>
        <v>0</v>
      </c>
      <c r="CW86" s="7">
        <f ca="1">COUNTIFS($C$10:$C85,"&lt;"&amp;$C86,$M$10:$M85,$D86&amp;"_"&amp;CW$9)</f>
        <v>0</v>
      </c>
      <c r="CX86" s="7">
        <f ca="1">COUNTIFS($C$10:$C85,"&lt;"&amp;$C86,$M$10:$M85,$D86&amp;"_"&amp;CX$9)</f>
        <v>0</v>
      </c>
      <c r="CY86" s="221">
        <f ca="1">COUNTIFS($C$10:$C85,"&lt;"&amp;$C86,$M$10:$M85,$D86&amp;"_"&amp;CY$9)</f>
        <v>75</v>
      </c>
      <c r="DA86" s="20"/>
      <c r="DB86" s="308">
        <f ca="1">IF(CP86=0,0,SUMIFS($P$10:$P85, $C$10:$C85,"&lt;"&amp;$C86, $M$10:$M85,$D86&amp;"_"&amp;DB$9)/CP86)</f>
        <v>0</v>
      </c>
      <c r="DC86" s="263">
        <f ca="1">IF(CQ86=0,0,SUMIFS($P$10:$P85, $C$10:$C85,"&lt;"&amp;$C86, $M$10:$M85,$D86&amp;"_"&amp;DC$9)/CQ86)</f>
        <v>0</v>
      </c>
      <c r="DD86" s="263">
        <f ca="1">IF(CR86=0,0,SUMIFS($P$10:$P85, $C$10:$C85,"&lt;"&amp;$C86, $M$10:$M85,$D86&amp;"_"&amp;DD$9)/CR86)</f>
        <v>0</v>
      </c>
      <c r="DE86" s="262">
        <f ca="1">IF(CS86=0,0,SUMIFS($P$10:$P85, $C$10:$C85,"&lt;"&amp;$C86, $M$10:$M85,$D86&amp;"_"&amp;DE$9)/CS86)</f>
        <v>0</v>
      </c>
      <c r="DF86" s="263">
        <f ca="1">IF(CT86=0,0,SUMIFS($P$10:$P85, $C$10:$C85,"&lt;"&amp;$C86, $M$10:$M85,$D86&amp;"_"&amp;DF$9)/CT86)</f>
        <v>0</v>
      </c>
      <c r="DG86" s="310">
        <f ca="1">IF(CU86=0,0,SUMIFS($P$10:$P85, $C$10:$C85,"&lt;"&amp;$C86, $M$10:$M85,$D86&amp;"_"&amp;DG$9)/CU86)</f>
        <v>0</v>
      </c>
      <c r="DH86" s="263">
        <f ca="1">IF(CV86=0,0,SUMIFS($P$10:$P85, $C$10:$C85,"&lt;"&amp;$C86, $M$10:$M85,$D86&amp;"_"&amp;DH$9)/CV86)</f>
        <v>0</v>
      </c>
      <c r="DI86" s="263">
        <f ca="1">IF(CW86=0,0,SUMIFS($P$10:$P85, $C$10:$C85,"&lt;"&amp;$C86, $M$10:$M85,$D86&amp;"_"&amp;DI$9)/CW86)</f>
        <v>0</v>
      </c>
      <c r="DJ86" s="264">
        <f ca="1">IF(CX86=0,0,SUMIFS($P$10:$P85, $C$10:$C85,"&lt;"&amp;$C86, $M$10:$M85,$D86&amp;"_"&amp;DJ$9)/CX86)</f>
        <v>0</v>
      </c>
      <c r="DK86" s="264">
        <f ca="1">IF(CY86=0,0,SUMIFS($P$10:$P85, $C$10:$C85,"&lt;"&amp;$C86, $M$10:$M85,$D86&amp;"_"&amp;DK$9)/CY86)</f>
        <v>-1</v>
      </c>
      <c r="DM86" s="104"/>
      <c r="DN86" s="306">
        <f t="shared" ca="1" si="222"/>
        <v>-9999</v>
      </c>
      <c r="DO86" s="15">
        <f t="shared" ca="1" si="188"/>
        <v>-9999</v>
      </c>
      <c r="DP86" s="15">
        <f t="shared" ca="1" si="189"/>
        <v>-9999</v>
      </c>
      <c r="DQ86" s="15">
        <f t="shared" ca="1" si="190"/>
        <v>-9999</v>
      </c>
      <c r="DR86" s="15">
        <f t="shared" ca="1" si="191"/>
        <v>-9999</v>
      </c>
      <c r="DS86" s="15">
        <f t="shared" ca="1" si="192"/>
        <v>-9999</v>
      </c>
      <c r="DT86" s="15">
        <f t="shared" ca="1" si="193"/>
        <v>-9999</v>
      </c>
      <c r="DU86" s="15">
        <f t="shared" ca="1" si="194"/>
        <v>-9999</v>
      </c>
      <c r="DV86" s="52">
        <f t="shared" ca="1" si="195"/>
        <v>-9999</v>
      </c>
      <c r="DW86" s="313">
        <f t="shared" ca="1" si="196"/>
        <v>-0.88604928897573176</v>
      </c>
      <c r="DX86" s="52"/>
      <c r="DY86" s="402">
        <f t="shared" ca="1" si="223"/>
        <v>9</v>
      </c>
      <c r="ED86" s="19">
        <f t="shared" ca="1" si="197"/>
        <v>-1</v>
      </c>
      <c r="EE86" s="1">
        <f t="shared" ca="1" si="198"/>
        <v>1</v>
      </c>
      <c r="EF86" s="1">
        <f t="shared" ca="1" si="199"/>
        <v>-1</v>
      </c>
      <c r="EG86" s="2">
        <f t="shared" ca="1" si="200"/>
        <v>1</v>
      </c>
      <c r="EH86" s="1">
        <f t="shared" ca="1" si="201"/>
        <v>-1</v>
      </c>
      <c r="EI86" s="3">
        <f t="shared" ca="1" si="202"/>
        <v>1</v>
      </c>
      <c r="EJ86" s="1">
        <f t="shared" ca="1" si="203"/>
        <v>0</v>
      </c>
      <c r="EK86" s="1">
        <f t="shared" ca="1" si="204"/>
        <v>0</v>
      </c>
      <c r="EL86" s="20">
        <f t="shared" ca="1" si="205"/>
        <v>-1</v>
      </c>
      <c r="EN86" s="86">
        <f ca="1">MAX(0, SUMPRODUCT($ED86:$EL86,OFFSET(DNN!$E$9:$M$9,EN$9,0)) + OFFSET(DNN!$D$9,EN$9,0))</f>
        <v>0</v>
      </c>
      <c r="EO86" s="84">
        <f ca="1">MAX(0, SUMPRODUCT($ED86:$EL86,OFFSET(DNN!$E$9:$M$9,EO$9,0)) + OFFSET(DNN!$D$9,EO$9,0))</f>
        <v>7.2346022384755949E-3</v>
      </c>
      <c r="EP86" s="84">
        <f ca="1">MAX(0, SUMPRODUCT($ED86:$EL86,OFFSET(DNN!$E$9:$M$9,EP$9,0)) + OFFSET(DNN!$D$9,EP$9,0))</f>
        <v>3.6951849750035152E-3</v>
      </c>
      <c r="EQ86" s="84">
        <f ca="1">MAX(0, SUMPRODUCT($ED86:$EL86,OFFSET(DNN!$E$9:$M$9,EQ$9,0)) + OFFSET(DNN!$D$9,EQ$9,0))</f>
        <v>0</v>
      </c>
      <c r="ER86" s="85">
        <f ca="1">MAX(0, SUMPRODUCT($ED86:$EL86,OFFSET(DNN!$E$9:$M$9,ER$9,0)) + OFFSET(DNN!$D$9,ER$9,0))</f>
        <v>0</v>
      </c>
      <c r="ET86" s="86">
        <f ca="1">MAX(0, SUMPRODUCT($EN86:$ER86,OFFSET(DNN!$Q$9:$U$9,ET$9,0)) + OFFSET(DNN!$P$9,ET$9,0))</f>
        <v>4.3954959453478351E-4</v>
      </c>
      <c r="EU86" s="84">
        <f ca="1">MAX(0, SUMPRODUCT($EN86:$ER86,OFFSET(DNN!$Q$9:$U$9,EU$9,0)) + OFFSET(DNN!$P$9,EU$9,0))</f>
        <v>0</v>
      </c>
      <c r="EV86" s="84">
        <f ca="1">MAX(0, SUMPRODUCT($EN86:$ER86,OFFSET(DNN!$Q$9:$U$9,EV$9,0)) + OFFSET(DNN!$P$9,EV$9,0))</f>
        <v>1.2810123361902579E-3</v>
      </c>
      <c r="EW86" s="84">
        <f ca="1">MAX(0, SUMPRODUCT($EN86:$ER86,OFFSET(DNN!$Q$9:$U$9,EW$9,0)) + OFFSET(DNN!$P$9,EW$9,0))</f>
        <v>7.8382123007882457E-4</v>
      </c>
      <c r="EX86" s="85">
        <f ca="1">MAX(0, SUMPRODUCT($EN86:$ER86,OFFSET(DNN!$Q$9:$U$9,EX$9,0)) + OFFSET(DNN!$P$9,EX$9,0))</f>
        <v>0</v>
      </c>
      <c r="EZ86" s="111">
        <f ca="1">SUMPRODUCT($ET86:$EX86,OFFSET(DNN!$Y$9:$AC$9,EZ$9,0)) + OFFSET(DNN!$X$9,EZ$9,0)</f>
        <v>0.43031618918982212</v>
      </c>
      <c r="FA86" s="97">
        <f ca="1">SUMPRODUCT($ET86:$EX86,OFFSET(DNN!$Y$9:$AC$9,FA$9,0)) + OFFSET(DNN!$X$9,FA$9,0)</f>
        <v>-1.2643439935754107E-5</v>
      </c>
      <c r="FB86" s="97">
        <f ca="1">SUMPRODUCT($ET86:$EX86,OFFSET(DNN!$Y$9:$AC$9,FB$9,0)) + OFFSET(DNN!$X$9,FB$9,0)</f>
        <v>1.5239793458415756E-2</v>
      </c>
      <c r="FC86" s="97">
        <f ca="1">SUMPRODUCT($ET86:$EX86,OFFSET(DNN!$Y$9:$AC$9,FC$9,0)) + OFFSET(DNN!$X$9,FC$9,0)</f>
        <v>-8.8749521084055777E-4</v>
      </c>
      <c r="FD86" s="97">
        <f ca="1">SUMPRODUCT($ET86:$EX86,OFFSET(DNN!$Y$9:$AC$9,FD$9,0)) + OFFSET(DNN!$X$9,FD$9,0)</f>
        <v>-4.235816470721872E-4</v>
      </c>
      <c r="FE86" s="97">
        <f ca="1">SUMPRODUCT($ET86:$EX86,OFFSET(DNN!$Y$9:$AC$9,FE$9,0)) + OFFSET(DNN!$X$9,FE$9,0)</f>
        <v>-1.574182761064886E-5</v>
      </c>
      <c r="FF86" s="97">
        <f ca="1">SUMPRODUCT($ET86:$EX86,OFFSET(DNN!$Y$9:$AC$9,FF$9,0)) + OFFSET(DNN!$X$9,FF$9,0)</f>
        <v>-1.3491460223194656E-3</v>
      </c>
      <c r="FG86" s="97">
        <f ca="1">SUMPRODUCT($ET86:$EX86,OFFSET(DNN!$Y$9:$AC$9,FG$9,0)) + OFFSET(DNN!$X$9,FG$9,0)</f>
        <v>-6.2604808096248285E-2</v>
      </c>
      <c r="FH86" s="97">
        <f ca="1">SUMPRODUCT($ET86:$EX86,OFFSET(DNN!$Y$9:$AC$9,FH$9,0)) + OFFSET(DNN!$X$9,FH$9,0)</f>
        <v>8.6810016937029894E-4</v>
      </c>
      <c r="FI86" s="108">
        <f ca="1">SUMPRODUCT($ET86:$EX86,OFFSET(DNN!$Y$9:$AC$9,FI$9,0)) + OFFSET(DNN!$X$9,FI$9,0)</f>
        <v>-1.3182687612562751</v>
      </c>
      <c r="FJ86" s="98">
        <f ca="1">SUMPRODUCT($ET86:$EX86,OFFSET(DNN!$Y$9:$AC$9,FJ$9,0)) + OFFSET(DNN!$X$9,FJ$9,0)</f>
        <v>-2.2535161745939301E-5</v>
      </c>
      <c r="FL86" s="415">
        <f t="shared" ca="1" si="224"/>
        <v>0.43031618918982212</v>
      </c>
      <c r="FM86" s="130">
        <f t="shared" ca="1" si="225"/>
        <v>1</v>
      </c>
      <c r="FN86" s="131">
        <f t="shared" ca="1" si="226"/>
        <v>0.65029522127322903</v>
      </c>
      <c r="FO86" s="131">
        <f t="shared" ca="1" si="227"/>
        <v>0.66028983545318687</v>
      </c>
      <c r="FP86" s="131">
        <f t="shared" ca="1" si="228"/>
        <v>0.64972655813153501</v>
      </c>
      <c r="FQ86" s="131">
        <f t="shared" ca="1" si="229"/>
        <v>0.65002804502111444</v>
      </c>
      <c r="FR86" s="131">
        <f t="shared" ca="1" si="230"/>
        <v>0.65029320640965171</v>
      </c>
      <c r="FS86" s="131">
        <f t="shared" ca="1" si="231"/>
        <v>0.64942668056342145</v>
      </c>
      <c r="FT86" s="131">
        <f t="shared" ca="1" si="232"/>
        <v>0.61083952513994022</v>
      </c>
      <c r="FU86" s="132">
        <f t="shared" ca="1" si="233"/>
        <v>0.6508682169276182</v>
      </c>
      <c r="FV86" s="131">
        <f t="shared" ca="1" si="234"/>
        <v>0.17402001625314881</v>
      </c>
      <c r="FW86" s="83">
        <f t="shared" ca="1" si="235"/>
        <v>-2.2535161742124597E-5</v>
      </c>
    </row>
    <row r="87" spans="1:179">
      <c r="A87" s="19">
        <f t="shared" si="240"/>
        <v>77</v>
      </c>
      <c r="B87" s="1">
        <f t="shared" ca="1" si="236"/>
        <v>0</v>
      </c>
      <c r="C87" s="20">
        <f t="shared" ca="1" si="237"/>
        <v>77</v>
      </c>
      <c r="D87" s="19" t="str">
        <f t="shared" ca="1" si="238"/>
        <v>〇×〇×〇×--〇</v>
      </c>
      <c r="E87" s="7">
        <f t="shared" ca="1" si="206"/>
        <v>9</v>
      </c>
      <c r="F87" s="7">
        <f t="shared" ca="1" si="207"/>
        <v>1</v>
      </c>
      <c r="G87" s="1" t="str">
        <f t="shared" ca="1" si="139"/>
        <v>〇×〇×〇×--〇</v>
      </c>
      <c r="H87" s="20" t="b">
        <f t="shared" ca="1" si="140"/>
        <v>1</v>
      </c>
      <c r="I87" s="22">
        <f t="shared" ca="1" si="239"/>
        <v>-1</v>
      </c>
      <c r="J87" s="1" t="b">
        <f ca="1">(1&lt;COUNTIF(D$10:D87,D87))</f>
        <v>1</v>
      </c>
      <c r="K87" s="1" t="b">
        <f t="shared" ca="1" si="141"/>
        <v>1</v>
      </c>
      <c r="L87" s="7">
        <f ca="1">MATCH(TRUE,K87:K$1048576,FALSE)-1</f>
        <v>0</v>
      </c>
      <c r="M87" s="24" t="str">
        <f t="shared" ca="1" si="142"/>
        <v>〇×〇×〇×--〇_9</v>
      </c>
      <c r="N87" s="25">
        <f t="shared" ca="1" si="208"/>
        <v>-2.2535161742124597E-5</v>
      </c>
      <c r="O87" s="26">
        <f t="shared" ca="1" si="209"/>
        <v>-1</v>
      </c>
      <c r="P87" s="27">
        <f t="shared" ca="1" si="210"/>
        <v>-1</v>
      </c>
      <c r="R87" s="41" t="str">
        <f ca="1">VLOOKUP(S87,cvt!$B$2:$C$4,2,FALSE)&amp;VLOOKUP(T87,cvt!$B$2:$C$4,2,FALSE)&amp;VLOOKUP(U87,cvt!$B$2:$C$4,2,FALSE)
&amp;VLOOKUP(V87,cvt!$B$2:$C$4,2,FALSE)&amp;VLOOKUP(W87,cvt!$B$2:$C$4,2,FALSE)&amp;VLOOKUP(X87,cvt!$B$2:$C$4,2,FALSE)
&amp;VLOOKUP(Y87,cvt!$B$2:$C$4,2,FALSE)&amp;VLOOKUP(Z87,cvt!$B$2:$C$4,2,FALSE)&amp;VLOOKUP(AA87,cvt!$B$2:$C$4,2,FALSE)</f>
        <v>〇×〇×〇×--〇</v>
      </c>
      <c r="S87" s="7">
        <f ca="1">VLOOKUP(MID($D87,S$9+1,1), cvt!$A$2:$B$4,2, FALSE)</f>
        <v>1</v>
      </c>
      <c r="T87" s="7">
        <f ca="1">VLOOKUP(MID($D87,T$9+1,1), cvt!$A$2:$B$4,2, FALSE)</f>
        <v>-1</v>
      </c>
      <c r="U87" s="7">
        <f ca="1">VLOOKUP(MID($D87,U$9+1,1), cvt!$A$2:$B$4,2, FALSE)</f>
        <v>1</v>
      </c>
      <c r="V87" s="17">
        <f ca="1">VLOOKUP(MID($D87,V$9+1,1), cvt!$A$2:$B$4,2, FALSE)</f>
        <v>-1</v>
      </c>
      <c r="W87" s="7">
        <f ca="1">VLOOKUP(MID($D87,W$9+1,1), cvt!$A$2:$B$4,2, FALSE)</f>
        <v>1</v>
      </c>
      <c r="X87" s="18">
        <f ca="1">VLOOKUP(MID($D87,X$9+1,1), cvt!$A$2:$B$4,2, FALSE)</f>
        <v>-1</v>
      </c>
      <c r="Y87" s="7">
        <f ca="1">VLOOKUP(MID($D87,Y$9+1,1), cvt!$A$2:$B$4,2, FALSE)</f>
        <v>0</v>
      </c>
      <c r="Z87" s="7">
        <f ca="1">VLOOKUP(MID($D87,Z$9+1,1), cvt!$A$2:$B$4,2, FALSE)</f>
        <v>0</v>
      </c>
      <c r="AA87" s="42">
        <f ca="1">VLOOKUP(MID($D87,AA$9+1,1), cvt!$A$2:$B$4,2, FALSE)</f>
        <v>1</v>
      </c>
      <c r="AB87" s="7">
        <f t="shared" ca="1" si="211"/>
        <v>1</v>
      </c>
      <c r="AC87" s="50" t="b">
        <f t="shared" ca="1" si="212"/>
        <v>1</v>
      </c>
      <c r="AE87" s="19" t="str">
        <f ca="1">VLOOKUP(AF87,cvt!$B$2:$C$4,2,FALSE)&amp;VLOOKUP(AG87,cvt!$B$2:$C$4,2,FALSE)&amp;VLOOKUP(AH87,cvt!$B$2:$C$4,2,FALSE)
&amp;VLOOKUP(AI87,cvt!$B$2:$C$4,2,FALSE)&amp;VLOOKUP(AJ87,cvt!$B$2:$C$4,2,FALSE)&amp;VLOOKUP(AK87,cvt!$B$2:$C$4,2,FALSE)
&amp;VLOOKUP(AL87,cvt!$B$2:$C$4,2,FALSE)&amp;VLOOKUP(AM87,cvt!$B$2:$C$4,2,FALSE)&amp;VLOOKUP(AN87,cvt!$B$2:$C$4,2,FALSE)</f>
        <v>〇×〇×〇×--〇</v>
      </c>
      <c r="AF87" s="17">
        <f t="shared" ca="1" si="143"/>
        <v>1</v>
      </c>
      <c r="AG87" s="7">
        <f t="shared" ca="1" si="144"/>
        <v>-1</v>
      </c>
      <c r="AH87" s="7">
        <f t="shared" ca="1" si="145"/>
        <v>1</v>
      </c>
      <c r="AI87" s="17">
        <f t="shared" ca="1" si="146"/>
        <v>-1</v>
      </c>
      <c r="AJ87" s="7">
        <f t="shared" ca="1" si="147"/>
        <v>1</v>
      </c>
      <c r="AK87" s="18">
        <f t="shared" ca="1" si="148"/>
        <v>-1</v>
      </c>
      <c r="AL87" s="7">
        <f t="shared" ca="1" si="149"/>
        <v>0</v>
      </c>
      <c r="AM87" s="7">
        <f t="shared" ca="1" si="150"/>
        <v>0</v>
      </c>
      <c r="AN87" s="18">
        <f t="shared" ca="1" si="151"/>
        <v>1</v>
      </c>
      <c r="AO87" s="7">
        <f t="shared" ca="1" si="213"/>
        <v>1</v>
      </c>
      <c r="AP87" s="50" t="b">
        <f t="shared" ca="1" si="152"/>
        <v>1</v>
      </c>
      <c r="AS87" s="22">
        <f t="shared" ca="1" si="214"/>
        <v>0</v>
      </c>
      <c r="AT87" s="7">
        <f t="shared" ca="1" si="153"/>
        <v>0</v>
      </c>
      <c r="AU87" s="7">
        <f t="shared" ca="1" si="154"/>
        <v>0</v>
      </c>
      <c r="AV87" s="7">
        <f t="shared" ca="1" si="155"/>
        <v>0</v>
      </c>
      <c r="AW87" s="7">
        <f t="shared" ca="1" si="156"/>
        <v>0</v>
      </c>
      <c r="AX87" s="7">
        <f t="shared" ca="1" si="157"/>
        <v>0</v>
      </c>
      <c r="AY87" s="7">
        <f t="shared" ca="1" si="158"/>
        <v>0</v>
      </c>
      <c r="AZ87" s="7">
        <f t="shared" ca="1" si="159"/>
        <v>0</v>
      </c>
      <c r="BA87" s="18">
        <f t="shared" ca="1" si="160"/>
        <v>0</v>
      </c>
      <c r="BB87" s="295">
        <f t="shared" ca="1" si="215"/>
        <v>1</v>
      </c>
      <c r="BD87" s="132"/>
      <c r="BE87" s="297">
        <f t="shared" ca="1" si="216"/>
        <v>1</v>
      </c>
      <c r="BF87" s="298">
        <f t="shared" ca="1" si="161"/>
        <v>0.65029522127322903</v>
      </c>
      <c r="BG87" s="298">
        <f t="shared" ca="1" si="162"/>
        <v>0.66028983545318687</v>
      </c>
      <c r="BH87" s="318">
        <f t="shared" ca="1" si="163"/>
        <v>0.64972655813153501</v>
      </c>
      <c r="BI87" s="298">
        <f t="shared" ca="1" si="164"/>
        <v>0.65002804502111444</v>
      </c>
      <c r="BJ87" s="299">
        <f t="shared" ca="1" si="165"/>
        <v>0.65029320640965171</v>
      </c>
      <c r="BK87" s="298">
        <f t="shared" ca="1" si="166"/>
        <v>0.64942668056342145</v>
      </c>
      <c r="BL87" s="298">
        <f t="shared" ca="1" si="167"/>
        <v>0.61083952513994022</v>
      </c>
      <c r="BM87" s="299">
        <f t="shared" ca="1" si="168"/>
        <v>0.6508682169276182</v>
      </c>
      <c r="BN87" s="295">
        <f t="shared" ca="1" si="169"/>
        <v>0.17402001625314881</v>
      </c>
      <c r="BO87" s="248">
        <f t="shared" ca="1" si="217"/>
        <v>-2.2535161742124597E-5</v>
      </c>
      <c r="BQ87" s="304">
        <f t="shared" ca="1" si="218"/>
        <v>0.42412001625314877</v>
      </c>
      <c r="BR87" s="297">
        <f t="shared" ca="1" si="219"/>
        <v>0</v>
      </c>
      <c r="BS87" s="298">
        <f t="shared" ca="1" si="170"/>
        <v>0</v>
      </c>
      <c r="BT87" s="298">
        <f t="shared" ca="1" si="171"/>
        <v>0</v>
      </c>
      <c r="BU87" s="318">
        <f t="shared" ca="1" si="172"/>
        <v>0</v>
      </c>
      <c r="BV87" s="298">
        <f t="shared" ca="1" si="173"/>
        <v>0</v>
      </c>
      <c r="BW87" s="299">
        <f t="shared" ca="1" si="174"/>
        <v>0</v>
      </c>
      <c r="BX87" s="298">
        <f t="shared" ca="1" si="175"/>
        <v>0</v>
      </c>
      <c r="BY87" s="298">
        <f t="shared" ca="1" si="176"/>
        <v>0</v>
      </c>
      <c r="BZ87" s="298">
        <f t="shared" ca="1" si="177"/>
        <v>0</v>
      </c>
      <c r="CA87" s="315">
        <f t="shared" ca="1" si="178"/>
        <v>0.42412001625314877</v>
      </c>
      <c r="CC87" s="52"/>
      <c r="CD87" s="306">
        <f t="shared" ca="1" si="220"/>
        <v>0</v>
      </c>
      <c r="CE87" s="15">
        <f t="shared" ca="1" si="179"/>
        <v>0</v>
      </c>
      <c r="CF87" s="15">
        <f t="shared" ca="1" si="180"/>
        <v>0</v>
      </c>
      <c r="CG87" s="286">
        <f t="shared" ca="1" si="181"/>
        <v>0</v>
      </c>
      <c r="CH87" s="15">
        <f t="shared" ca="1" si="182"/>
        <v>0</v>
      </c>
      <c r="CI87" s="288">
        <f t="shared" ca="1" si="183"/>
        <v>0</v>
      </c>
      <c r="CJ87" s="15">
        <f t="shared" ca="1" si="184"/>
        <v>0</v>
      </c>
      <c r="CK87" s="15">
        <f t="shared" ca="1" si="185"/>
        <v>0</v>
      </c>
      <c r="CL87" s="15">
        <f t="shared" ca="1" si="186"/>
        <v>0</v>
      </c>
      <c r="CM87" s="313">
        <f t="shared" ca="1" si="187"/>
        <v>1</v>
      </c>
      <c r="CO87" s="320">
        <f t="shared" ca="1" si="221"/>
        <v>76</v>
      </c>
      <c r="CP87" s="22">
        <f ca="1">COUNTIFS($C$10:$C86,"&lt;"&amp;$C87,$M$10:$M86,$D87&amp;"_"&amp;CP$9)</f>
        <v>0</v>
      </c>
      <c r="CQ87" s="7">
        <f ca="1">COUNTIFS($C$10:$C86,"&lt;"&amp;$C87,$M$10:$M86,$D87&amp;"_"&amp;CQ$9)</f>
        <v>0</v>
      </c>
      <c r="CR87" s="7">
        <f ca="1">COUNTIFS($C$10:$C86,"&lt;"&amp;$C87,$M$10:$M86,$D87&amp;"_"&amp;CR$9)</f>
        <v>0</v>
      </c>
      <c r="CS87" s="17">
        <f ca="1">COUNTIFS($C$10:$C86,"&lt;"&amp;$C87,$M$10:$M86,$D87&amp;"_"&amp;CS$9)</f>
        <v>0</v>
      </c>
      <c r="CT87" s="7">
        <f ca="1">COUNTIFS($C$10:$C86,"&lt;"&amp;$C87,$M$10:$M86,$D87&amp;"_"&amp;CT$9)</f>
        <v>0</v>
      </c>
      <c r="CU87" s="18">
        <f ca="1">COUNTIFS($C$10:$C86,"&lt;"&amp;$C87,$M$10:$M86,$D87&amp;"_"&amp;CU$9)</f>
        <v>0</v>
      </c>
      <c r="CV87" s="7">
        <f ca="1">COUNTIFS($C$10:$C86,"&lt;"&amp;$C87,$M$10:$M86,$D87&amp;"_"&amp;CV$9)</f>
        <v>0</v>
      </c>
      <c r="CW87" s="7">
        <f ca="1">COUNTIFS($C$10:$C86,"&lt;"&amp;$C87,$M$10:$M86,$D87&amp;"_"&amp;CW$9)</f>
        <v>0</v>
      </c>
      <c r="CX87" s="7">
        <f ca="1">COUNTIFS($C$10:$C86,"&lt;"&amp;$C87,$M$10:$M86,$D87&amp;"_"&amp;CX$9)</f>
        <v>0</v>
      </c>
      <c r="CY87" s="221">
        <f ca="1">COUNTIFS($C$10:$C86,"&lt;"&amp;$C87,$M$10:$M86,$D87&amp;"_"&amp;CY$9)</f>
        <v>76</v>
      </c>
      <c r="DA87" s="20"/>
      <c r="DB87" s="308">
        <f ca="1">IF(CP87=0,0,SUMIFS($P$10:$P86, $C$10:$C86,"&lt;"&amp;$C87, $M$10:$M86,$D87&amp;"_"&amp;DB$9)/CP87)</f>
        <v>0</v>
      </c>
      <c r="DC87" s="263">
        <f ca="1">IF(CQ87=0,0,SUMIFS($P$10:$P86, $C$10:$C86,"&lt;"&amp;$C87, $M$10:$M86,$D87&amp;"_"&amp;DC$9)/CQ87)</f>
        <v>0</v>
      </c>
      <c r="DD87" s="263">
        <f ca="1">IF(CR87=0,0,SUMIFS($P$10:$P86, $C$10:$C86,"&lt;"&amp;$C87, $M$10:$M86,$D87&amp;"_"&amp;DD$9)/CR87)</f>
        <v>0</v>
      </c>
      <c r="DE87" s="262">
        <f ca="1">IF(CS87=0,0,SUMIFS($P$10:$P86, $C$10:$C86,"&lt;"&amp;$C87, $M$10:$M86,$D87&amp;"_"&amp;DE$9)/CS87)</f>
        <v>0</v>
      </c>
      <c r="DF87" s="263">
        <f ca="1">IF(CT87=0,0,SUMIFS($P$10:$P86, $C$10:$C86,"&lt;"&amp;$C87, $M$10:$M86,$D87&amp;"_"&amp;DF$9)/CT87)</f>
        <v>0</v>
      </c>
      <c r="DG87" s="310">
        <f ca="1">IF(CU87=0,0,SUMIFS($P$10:$P86, $C$10:$C86,"&lt;"&amp;$C87, $M$10:$M86,$D87&amp;"_"&amp;DG$9)/CU87)</f>
        <v>0</v>
      </c>
      <c r="DH87" s="263">
        <f ca="1">IF(CV87=0,0,SUMIFS($P$10:$P86, $C$10:$C86,"&lt;"&amp;$C87, $M$10:$M86,$D87&amp;"_"&amp;DH$9)/CV87)</f>
        <v>0</v>
      </c>
      <c r="DI87" s="263">
        <f ca="1">IF(CW87=0,0,SUMIFS($P$10:$P86, $C$10:$C86,"&lt;"&amp;$C87, $M$10:$M86,$D87&amp;"_"&amp;DI$9)/CW87)</f>
        <v>0</v>
      </c>
      <c r="DJ87" s="264">
        <f ca="1">IF(CX87=0,0,SUMIFS($P$10:$P86, $C$10:$C86,"&lt;"&amp;$C87, $M$10:$M86,$D87&amp;"_"&amp;DJ$9)/CX87)</f>
        <v>0</v>
      </c>
      <c r="DK87" s="264">
        <f ca="1">IF(CY87=0,0,SUMIFS($P$10:$P86, $C$10:$C86,"&lt;"&amp;$C87, $M$10:$M86,$D87&amp;"_"&amp;DK$9)/CY87)</f>
        <v>-1</v>
      </c>
      <c r="DM87" s="104"/>
      <c r="DN87" s="306">
        <f t="shared" ca="1" si="222"/>
        <v>-9999</v>
      </c>
      <c r="DO87" s="15">
        <f t="shared" ca="1" si="188"/>
        <v>-9999</v>
      </c>
      <c r="DP87" s="15">
        <f t="shared" ca="1" si="189"/>
        <v>-9999</v>
      </c>
      <c r="DQ87" s="15">
        <f t="shared" ca="1" si="190"/>
        <v>-9999</v>
      </c>
      <c r="DR87" s="15">
        <f t="shared" ca="1" si="191"/>
        <v>-9999</v>
      </c>
      <c r="DS87" s="15">
        <f t="shared" ca="1" si="192"/>
        <v>-9999</v>
      </c>
      <c r="DT87" s="15">
        <f t="shared" ca="1" si="193"/>
        <v>-9999</v>
      </c>
      <c r="DU87" s="15">
        <f t="shared" ca="1" si="194"/>
        <v>-9999</v>
      </c>
      <c r="DV87" s="52">
        <f t="shared" ca="1" si="195"/>
        <v>-9999</v>
      </c>
      <c r="DW87" s="313">
        <f t="shared" ca="1" si="196"/>
        <v>-0.88678184562232021</v>
      </c>
      <c r="DX87" s="52"/>
      <c r="DY87" s="402">
        <f t="shared" ca="1" si="223"/>
        <v>9</v>
      </c>
      <c r="ED87" s="19">
        <f t="shared" ca="1" si="197"/>
        <v>-1</v>
      </c>
      <c r="EE87" s="1">
        <f t="shared" ca="1" si="198"/>
        <v>1</v>
      </c>
      <c r="EF87" s="1">
        <f t="shared" ca="1" si="199"/>
        <v>-1</v>
      </c>
      <c r="EG87" s="2">
        <f t="shared" ca="1" si="200"/>
        <v>1</v>
      </c>
      <c r="EH87" s="1">
        <f t="shared" ca="1" si="201"/>
        <v>-1</v>
      </c>
      <c r="EI87" s="3">
        <f t="shared" ca="1" si="202"/>
        <v>1</v>
      </c>
      <c r="EJ87" s="1">
        <f t="shared" ca="1" si="203"/>
        <v>0</v>
      </c>
      <c r="EK87" s="1">
        <f t="shared" ca="1" si="204"/>
        <v>0</v>
      </c>
      <c r="EL87" s="20">
        <f t="shared" ca="1" si="205"/>
        <v>-1</v>
      </c>
      <c r="EN87" s="86">
        <f ca="1">MAX(0, SUMPRODUCT($ED87:$EL87,OFFSET(DNN!$E$9:$M$9,EN$9,0)) + OFFSET(DNN!$D$9,EN$9,0))</f>
        <v>0</v>
      </c>
      <c r="EO87" s="84">
        <f ca="1">MAX(0, SUMPRODUCT($ED87:$EL87,OFFSET(DNN!$E$9:$M$9,EO$9,0)) + OFFSET(DNN!$D$9,EO$9,0))</f>
        <v>7.2346022384755949E-3</v>
      </c>
      <c r="EP87" s="84">
        <f ca="1">MAX(0, SUMPRODUCT($ED87:$EL87,OFFSET(DNN!$E$9:$M$9,EP$9,0)) + OFFSET(DNN!$D$9,EP$9,0))</f>
        <v>3.6951849750035152E-3</v>
      </c>
      <c r="EQ87" s="84">
        <f ca="1">MAX(0, SUMPRODUCT($ED87:$EL87,OFFSET(DNN!$E$9:$M$9,EQ$9,0)) + OFFSET(DNN!$D$9,EQ$9,0))</f>
        <v>0</v>
      </c>
      <c r="ER87" s="85">
        <f ca="1">MAX(0, SUMPRODUCT($ED87:$EL87,OFFSET(DNN!$E$9:$M$9,ER$9,0)) + OFFSET(DNN!$D$9,ER$9,0))</f>
        <v>0</v>
      </c>
      <c r="ET87" s="86">
        <f ca="1">MAX(0, SUMPRODUCT($EN87:$ER87,OFFSET(DNN!$Q$9:$U$9,ET$9,0)) + OFFSET(DNN!$P$9,ET$9,0))</f>
        <v>4.3954959453478351E-4</v>
      </c>
      <c r="EU87" s="84">
        <f ca="1">MAX(0, SUMPRODUCT($EN87:$ER87,OFFSET(DNN!$Q$9:$U$9,EU$9,0)) + OFFSET(DNN!$P$9,EU$9,0))</f>
        <v>0</v>
      </c>
      <c r="EV87" s="84">
        <f ca="1">MAX(0, SUMPRODUCT($EN87:$ER87,OFFSET(DNN!$Q$9:$U$9,EV$9,0)) + OFFSET(DNN!$P$9,EV$9,0))</f>
        <v>1.2810123361902579E-3</v>
      </c>
      <c r="EW87" s="84">
        <f ca="1">MAX(0, SUMPRODUCT($EN87:$ER87,OFFSET(DNN!$Q$9:$U$9,EW$9,0)) + OFFSET(DNN!$P$9,EW$9,0))</f>
        <v>7.8382123007882457E-4</v>
      </c>
      <c r="EX87" s="85">
        <f ca="1">MAX(0, SUMPRODUCT($EN87:$ER87,OFFSET(DNN!$Q$9:$U$9,EX$9,0)) + OFFSET(DNN!$P$9,EX$9,0))</f>
        <v>0</v>
      </c>
      <c r="EZ87" s="111">
        <f ca="1">SUMPRODUCT($ET87:$EX87,OFFSET(DNN!$Y$9:$AC$9,EZ$9,0)) + OFFSET(DNN!$X$9,EZ$9,0)</f>
        <v>0.43031618918982212</v>
      </c>
      <c r="FA87" s="97">
        <f ca="1">SUMPRODUCT($ET87:$EX87,OFFSET(DNN!$Y$9:$AC$9,FA$9,0)) + OFFSET(DNN!$X$9,FA$9,0)</f>
        <v>-1.2643439935754107E-5</v>
      </c>
      <c r="FB87" s="97">
        <f ca="1">SUMPRODUCT($ET87:$EX87,OFFSET(DNN!$Y$9:$AC$9,FB$9,0)) + OFFSET(DNN!$X$9,FB$9,0)</f>
        <v>1.5239793458415756E-2</v>
      </c>
      <c r="FC87" s="97">
        <f ca="1">SUMPRODUCT($ET87:$EX87,OFFSET(DNN!$Y$9:$AC$9,FC$9,0)) + OFFSET(DNN!$X$9,FC$9,0)</f>
        <v>-8.8749521084055777E-4</v>
      </c>
      <c r="FD87" s="97">
        <f ca="1">SUMPRODUCT($ET87:$EX87,OFFSET(DNN!$Y$9:$AC$9,FD$9,0)) + OFFSET(DNN!$X$9,FD$9,0)</f>
        <v>-4.235816470721872E-4</v>
      </c>
      <c r="FE87" s="97">
        <f ca="1">SUMPRODUCT($ET87:$EX87,OFFSET(DNN!$Y$9:$AC$9,FE$9,0)) + OFFSET(DNN!$X$9,FE$9,0)</f>
        <v>-1.574182761064886E-5</v>
      </c>
      <c r="FF87" s="97">
        <f ca="1">SUMPRODUCT($ET87:$EX87,OFFSET(DNN!$Y$9:$AC$9,FF$9,0)) + OFFSET(DNN!$X$9,FF$9,0)</f>
        <v>-1.3491460223194656E-3</v>
      </c>
      <c r="FG87" s="97">
        <f ca="1">SUMPRODUCT($ET87:$EX87,OFFSET(DNN!$Y$9:$AC$9,FG$9,0)) + OFFSET(DNN!$X$9,FG$9,0)</f>
        <v>-6.2604808096248285E-2</v>
      </c>
      <c r="FH87" s="97">
        <f ca="1">SUMPRODUCT($ET87:$EX87,OFFSET(DNN!$Y$9:$AC$9,FH$9,0)) + OFFSET(DNN!$X$9,FH$9,0)</f>
        <v>8.6810016937029894E-4</v>
      </c>
      <c r="FI87" s="108">
        <f ca="1">SUMPRODUCT($ET87:$EX87,OFFSET(DNN!$Y$9:$AC$9,FI$9,0)) + OFFSET(DNN!$X$9,FI$9,0)</f>
        <v>-1.3182687612562751</v>
      </c>
      <c r="FJ87" s="98">
        <f ca="1">SUMPRODUCT($ET87:$EX87,OFFSET(DNN!$Y$9:$AC$9,FJ$9,0)) + OFFSET(DNN!$X$9,FJ$9,0)</f>
        <v>-2.2535161745939301E-5</v>
      </c>
      <c r="FL87" s="415">
        <f t="shared" ca="1" si="224"/>
        <v>0.43031618918982212</v>
      </c>
      <c r="FM87" s="130">
        <f t="shared" ca="1" si="225"/>
        <v>1</v>
      </c>
      <c r="FN87" s="131">
        <f t="shared" ca="1" si="226"/>
        <v>0.65029522127322903</v>
      </c>
      <c r="FO87" s="131">
        <f t="shared" ca="1" si="227"/>
        <v>0.66028983545318687</v>
      </c>
      <c r="FP87" s="131">
        <f t="shared" ca="1" si="228"/>
        <v>0.64972655813153501</v>
      </c>
      <c r="FQ87" s="131">
        <f t="shared" ca="1" si="229"/>
        <v>0.65002804502111444</v>
      </c>
      <c r="FR87" s="131">
        <f t="shared" ca="1" si="230"/>
        <v>0.65029320640965171</v>
      </c>
      <c r="FS87" s="131">
        <f t="shared" ca="1" si="231"/>
        <v>0.64942668056342145</v>
      </c>
      <c r="FT87" s="131">
        <f t="shared" ca="1" si="232"/>
        <v>0.61083952513994022</v>
      </c>
      <c r="FU87" s="132">
        <f t="shared" ca="1" si="233"/>
        <v>0.6508682169276182</v>
      </c>
      <c r="FV87" s="131">
        <f t="shared" ca="1" si="234"/>
        <v>0.17402001625314881</v>
      </c>
      <c r="FW87" s="83">
        <f t="shared" ca="1" si="235"/>
        <v>-2.2535161742124597E-5</v>
      </c>
    </row>
    <row r="88" spans="1:179">
      <c r="A88" s="19">
        <f t="shared" si="240"/>
        <v>78</v>
      </c>
      <c r="B88" s="1">
        <f t="shared" ca="1" si="236"/>
        <v>0</v>
      </c>
      <c r="C88" s="20">
        <f t="shared" ca="1" si="237"/>
        <v>78</v>
      </c>
      <c r="D88" s="19" t="str">
        <f t="shared" ca="1" si="238"/>
        <v>〇×〇×〇×--〇</v>
      </c>
      <c r="E88" s="7">
        <f t="shared" ca="1" si="206"/>
        <v>9</v>
      </c>
      <c r="F88" s="7">
        <f t="shared" ca="1" si="207"/>
        <v>1</v>
      </c>
      <c r="G88" s="1" t="str">
        <f t="shared" ca="1" si="139"/>
        <v>〇×〇×〇×--〇</v>
      </c>
      <c r="H88" s="20" t="b">
        <f t="shared" ca="1" si="140"/>
        <v>1</v>
      </c>
      <c r="I88" s="22">
        <f t="shared" ca="1" si="239"/>
        <v>-1</v>
      </c>
      <c r="J88" s="1" t="b">
        <f ca="1">(1&lt;COUNTIF(D$10:D88,D88))</f>
        <v>1</v>
      </c>
      <c r="K88" s="1" t="b">
        <f t="shared" ca="1" si="141"/>
        <v>1</v>
      </c>
      <c r="L88" s="7">
        <f ca="1">MATCH(TRUE,K88:K$1048576,FALSE)-1</f>
        <v>0</v>
      </c>
      <c r="M88" s="24" t="str">
        <f t="shared" ca="1" si="142"/>
        <v>〇×〇×〇×--〇_9</v>
      </c>
      <c r="N88" s="25">
        <f t="shared" ca="1" si="208"/>
        <v>-2.2535161742124597E-5</v>
      </c>
      <c r="O88" s="26">
        <f t="shared" ca="1" si="209"/>
        <v>-1</v>
      </c>
      <c r="P88" s="27">
        <f t="shared" ca="1" si="210"/>
        <v>-1</v>
      </c>
      <c r="R88" s="41" t="str">
        <f ca="1">VLOOKUP(S88,cvt!$B$2:$C$4,2,FALSE)&amp;VLOOKUP(T88,cvt!$B$2:$C$4,2,FALSE)&amp;VLOOKUP(U88,cvt!$B$2:$C$4,2,FALSE)
&amp;VLOOKUP(V88,cvt!$B$2:$C$4,2,FALSE)&amp;VLOOKUP(W88,cvt!$B$2:$C$4,2,FALSE)&amp;VLOOKUP(X88,cvt!$B$2:$C$4,2,FALSE)
&amp;VLOOKUP(Y88,cvt!$B$2:$C$4,2,FALSE)&amp;VLOOKUP(Z88,cvt!$B$2:$C$4,2,FALSE)&amp;VLOOKUP(AA88,cvt!$B$2:$C$4,2,FALSE)</f>
        <v>〇×〇×〇×--〇</v>
      </c>
      <c r="S88" s="7">
        <f ca="1">VLOOKUP(MID($D88,S$9+1,1), cvt!$A$2:$B$4,2, FALSE)</f>
        <v>1</v>
      </c>
      <c r="T88" s="7">
        <f ca="1">VLOOKUP(MID($D88,T$9+1,1), cvt!$A$2:$B$4,2, FALSE)</f>
        <v>-1</v>
      </c>
      <c r="U88" s="7">
        <f ca="1">VLOOKUP(MID($D88,U$9+1,1), cvt!$A$2:$B$4,2, FALSE)</f>
        <v>1</v>
      </c>
      <c r="V88" s="17">
        <f ca="1">VLOOKUP(MID($D88,V$9+1,1), cvt!$A$2:$B$4,2, FALSE)</f>
        <v>-1</v>
      </c>
      <c r="W88" s="7">
        <f ca="1">VLOOKUP(MID($D88,W$9+1,1), cvt!$A$2:$B$4,2, FALSE)</f>
        <v>1</v>
      </c>
      <c r="X88" s="18">
        <f ca="1">VLOOKUP(MID($D88,X$9+1,1), cvt!$A$2:$B$4,2, FALSE)</f>
        <v>-1</v>
      </c>
      <c r="Y88" s="7">
        <f ca="1">VLOOKUP(MID($D88,Y$9+1,1), cvt!$A$2:$B$4,2, FALSE)</f>
        <v>0</v>
      </c>
      <c r="Z88" s="7">
        <f ca="1">VLOOKUP(MID($D88,Z$9+1,1), cvt!$A$2:$B$4,2, FALSE)</f>
        <v>0</v>
      </c>
      <c r="AA88" s="42">
        <f ca="1">VLOOKUP(MID($D88,AA$9+1,1), cvt!$A$2:$B$4,2, FALSE)</f>
        <v>1</v>
      </c>
      <c r="AB88" s="7">
        <f t="shared" ca="1" si="211"/>
        <v>1</v>
      </c>
      <c r="AC88" s="50" t="b">
        <f t="shared" ca="1" si="212"/>
        <v>1</v>
      </c>
      <c r="AE88" s="19" t="str">
        <f ca="1">VLOOKUP(AF88,cvt!$B$2:$C$4,2,FALSE)&amp;VLOOKUP(AG88,cvt!$B$2:$C$4,2,FALSE)&amp;VLOOKUP(AH88,cvt!$B$2:$C$4,2,FALSE)
&amp;VLOOKUP(AI88,cvt!$B$2:$C$4,2,FALSE)&amp;VLOOKUP(AJ88,cvt!$B$2:$C$4,2,FALSE)&amp;VLOOKUP(AK88,cvt!$B$2:$C$4,2,FALSE)
&amp;VLOOKUP(AL88,cvt!$B$2:$C$4,2,FALSE)&amp;VLOOKUP(AM88,cvt!$B$2:$C$4,2,FALSE)&amp;VLOOKUP(AN88,cvt!$B$2:$C$4,2,FALSE)</f>
        <v>〇×〇×〇×--〇</v>
      </c>
      <c r="AF88" s="17">
        <f t="shared" ca="1" si="143"/>
        <v>1</v>
      </c>
      <c r="AG88" s="7">
        <f t="shared" ca="1" si="144"/>
        <v>-1</v>
      </c>
      <c r="AH88" s="7">
        <f t="shared" ca="1" si="145"/>
        <v>1</v>
      </c>
      <c r="AI88" s="17">
        <f t="shared" ca="1" si="146"/>
        <v>-1</v>
      </c>
      <c r="AJ88" s="7">
        <f t="shared" ca="1" si="147"/>
        <v>1</v>
      </c>
      <c r="AK88" s="18">
        <f t="shared" ca="1" si="148"/>
        <v>-1</v>
      </c>
      <c r="AL88" s="7">
        <f t="shared" ca="1" si="149"/>
        <v>0</v>
      </c>
      <c r="AM88" s="7">
        <f t="shared" ca="1" si="150"/>
        <v>0</v>
      </c>
      <c r="AN88" s="18">
        <f t="shared" ca="1" si="151"/>
        <v>1</v>
      </c>
      <c r="AO88" s="7">
        <f t="shared" ca="1" si="213"/>
        <v>1</v>
      </c>
      <c r="AP88" s="50" t="b">
        <f t="shared" ca="1" si="152"/>
        <v>1</v>
      </c>
      <c r="AS88" s="22">
        <f t="shared" ca="1" si="214"/>
        <v>0</v>
      </c>
      <c r="AT88" s="7">
        <f t="shared" ca="1" si="153"/>
        <v>0</v>
      </c>
      <c r="AU88" s="7">
        <f t="shared" ca="1" si="154"/>
        <v>0</v>
      </c>
      <c r="AV88" s="7">
        <f t="shared" ca="1" si="155"/>
        <v>0</v>
      </c>
      <c r="AW88" s="7">
        <f t="shared" ca="1" si="156"/>
        <v>0</v>
      </c>
      <c r="AX88" s="7">
        <f t="shared" ca="1" si="157"/>
        <v>0</v>
      </c>
      <c r="AY88" s="7">
        <f t="shared" ca="1" si="158"/>
        <v>0</v>
      </c>
      <c r="AZ88" s="7">
        <f t="shared" ca="1" si="159"/>
        <v>0</v>
      </c>
      <c r="BA88" s="18">
        <f t="shared" ca="1" si="160"/>
        <v>0</v>
      </c>
      <c r="BB88" s="295">
        <f t="shared" ca="1" si="215"/>
        <v>1</v>
      </c>
      <c r="BD88" s="132"/>
      <c r="BE88" s="297">
        <f t="shared" ca="1" si="216"/>
        <v>1</v>
      </c>
      <c r="BF88" s="298">
        <f t="shared" ca="1" si="161"/>
        <v>0.65029522127322903</v>
      </c>
      <c r="BG88" s="298">
        <f t="shared" ca="1" si="162"/>
        <v>0.66028983545318687</v>
      </c>
      <c r="BH88" s="318">
        <f t="shared" ca="1" si="163"/>
        <v>0.64972655813153501</v>
      </c>
      <c r="BI88" s="298">
        <f t="shared" ca="1" si="164"/>
        <v>0.65002804502111444</v>
      </c>
      <c r="BJ88" s="299">
        <f t="shared" ca="1" si="165"/>
        <v>0.65029320640965171</v>
      </c>
      <c r="BK88" s="298">
        <f t="shared" ca="1" si="166"/>
        <v>0.64942668056342145</v>
      </c>
      <c r="BL88" s="298">
        <f t="shared" ca="1" si="167"/>
        <v>0.61083952513994022</v>
      </c>
      <c r="BM88" s="299">
        <f t="shared" ca="1" si="168"/>
        <v>0.6508682169276182</v>
      </c>
      <c r="BN88" s="295">
        <f t="shared" ca="1" si="169"/>
        <v>0.17402001625314881</v>
      </c>
      <c r="BO88" s="248">
        <f t="shared" ca="1" si="217"/>
        <v>-2.2535161742124597E-5</v>
      </c>
      <c r="BQ88" s="304">
        <f t="shared" ca="1" si="218"/>
        <v>0.42412001625314877</v>
      </c>
      <c r="BR88" s="297">
        <f t="shared" ca="1" si="219"/>
        <v>0</v>
      </c>
      <c r="BS88" s="298">
        <f t="shared" ca="1" si="170"/>
        <v>0</v>
      </c>
      <c r="BT88" s="298">
        <f t="shared" ca="1" si="171"/>
        <v>0</v>
      </c>
      <c r="BU88" s="318">
        <f t="shared" ca="1" si="172"/>
        <v>0</v>
      </c>
      <c r="BV88" s="298">
        <f t="shared" ca="1" si="173"/>
        <v>0</v>
      </c>
      <c r="BW88" s="299">
        <f t="shared" ca="1" si="174"/>
        <v>0</v>
      </c>
      <c r="BX88" s="298">
        <f t="shared" ca="1" si="175"/>
        <v>0</v>
      </c>
      <c r="BY88" s="298">
        <f t="shared" ca="1" si="176"/>
        <v>0</v>
      </c>
      <c r="BZ88" s="298">
        <f t="shared" ca="1" si="177"/>
        <v>0</v>
      </c>
      <c r="CA88" s="315">
        <f t="shared" ca="1" si="178"/>
        <v>0.42412001625314877</v>
      </c>
      <c r="CC88" s="52"/>
      <c r="CD88" s="306">
        <f t="shared" ca="1" si="220"/>
        <v>0</v>
      </c>
      <c r="CE88" s="15">
        <f t="shared" ca="1" si="179"/>
        <v>0</v>
      </c>
      <c r="CF88" s="15">
        <f t="shared" ca="1" si="180"/>
        <v>0</v>
      </c>
      <c r="CG88" s="286">
        <f t="shared" ca="1" si="181"/>
        <v>0</v>
      </c>
      <c r="CH88" s="15">
        <f t="shared" ca="1" si="182"/>
        <v>0</v>
      </c>
      <c r="CI88" s="288">
        <f t="shared" ca="1" si="183"/>
        <v>0</v>
      </c>
      <c r="CJ88" s="15">
        <f t="shared" ca="1" si="184"/>
        <v>0</v>
      </c>
      <c r="CK88" s="15">
        <f t="shared" ca="1" si="185"/>
        <v>0</v>
      </c>
      <c r="CL88" s="15">
        <f t="shared" ca="1" si="186"/>
        <v>0</v>
      </c>
      <c r="CM88" s="313">
        <f t="shared" ca="1" si="187"/>
        <v>1</v>
      </c>
      <c r="CO88" s="320">
        <f t="shared" ca="1" si="221"/>
        <v>77</v>
      </c>
      <c r="CP88" s="22">
        <f ca="1">COUNTIFS($C$10:$C87,"&lt;"&amp;$C88,$M$10:$M87,$D88&amp;"_"&amp;CP$9)</f>
        <v>0</v>
      </c>
      <c r="CQ88" s="7">
        <f ca="1">COUNTIFS($C$10:$C87,"&lt;"&amp;$C88,$M$10:$M87,$D88&amp;"_"&amp;CQ$9)</f>
        <v>0</v>
      </c>
      <c r="CR88" s="7">
        <f ca="1">COUNTIFS($C$10:$C87,"&lt;"&amp;$C88,$M$10:$M87,$D88&amp;"_"&amp;CR$9)</f>
        <v>0</v>
      </c>
      <c r="CS88" s="17">
        <f ca="1">COUNTIFS($C$10:$C87,"&lt;"&amp;$C88,$M$10:$M87,$D88&amp;"_"&amp;CS$9)</f>
        <v>0</v>
      </c>
      <c r="CT88" s="7">
        <f ca="1">COUNTIFS($C$10:$C87,"&lt;"&amp;$C88,$M$10:$M87,$D88&amp;"_"&amp;CT$9)</f>
        <v>0</v>
      </c>
      <c r="CU88" s="18">
        <f ca="1">COUNTIFS($C$10:$C87,"&lt;"&amp;$C88,$M$10:$M87,$D88&amp;"_"&amp;CU$9)</f>
        <v>0</v>
      </c>
      <c r="CV88" s="7">
        <f ca="1">COUNTIFS($C$10:$C87,"&lt;"&amp;$C88,$M$10:$M87,$D88&amp;"_"&amp;CV$9)</f>
        <v>0</v>
      </c>
      <c r="CW88" s="7">
        <f ca="1">COUNTIFS($C$10:$C87,"&lt;"&amp;$C88,$M$10:$M87,$D88&amp;"_"&amp;CW$9)</f>
        <v>0</v>
      </c>
      <c r="CX88" s="7">
        <f ca="1">COUNTIFS($C$10:$C87,"&lt;"&amp;$C88,$M$10:$M87,$D88&amp;"_"&amp;CX$9)</f>
        <v>0</v>
      </c>
      <c r="CY88" s="221">
        <f ca="1">COUNTIFS($C$10:$C87,"&lt;"&amp;$C88,$M$10:$M87,$D88&amp;"_"&amp;CY$9)</f>
        <v>77</v>
      </c>
      <c r="DA88" s="20"/>
      <c r="DB88" s="308">
        <f ca="1">IF(CP88=0,0,SUMIFS($P$10:$P87, $C$10:$C87,"&lt;"&amp;$C88, $M$10:$M87,$D88&amp;"_"&amp;DB$9)/CP88)</f>
        <v>0</v>
      </c>
      <c r="DC88" s="263">
        <f ca="1">IF(CQ88=0,0,SUMIFS($P$10:$P87, $C$10:$C87,"&lt;"&amp;$C88, $M$10:$M87,$D88&amp;"_"&amp;DC$9)/CQ88)</f>
        <v>0</v>
      </c>
      <c r="DD88" s="263">
        <f ca="1">IF(CR88=0,0,SUMIFS($P$10:$P87, $C$10:$C87,"&lt;"&amp;$C88, $M$10:$M87,$D88&amp;"_"&amp;DD$9)/CR88)</f>
        <v>0</v>
      </c>
      <c r="DE88" s="262">
        <f ca="1">IF(CS88=0,0,SUMIFS($P$10:$P87, $C$10:$C87,"&lt;"&amp;$C88, $M$10:$M87,$D88&amp;"_"&amp;DE$9)/CS88)</f>
        <v>0</v>
      </c>
      <c r="DF88" s="263">
        <f ca="1">IF(CT88=0,0,SUMIFS($P$10:$P87, $C$10:$C87,"&lt;"&amp;$C88, $M$10:$M87,$D88&amp;"_"&amp;DF$9)/CT88)</f>
        <v>0</v>
      </c>
      <c r="DG88" s="310">
        <f ca="1">IF(CU88=0,0,SUMIFS($P$10:$P87, $C$10:$C87,"&lt;"&amp;$C88, $M$10:$M87,$D88&amp;"_"&amp;DG$9)/CU88)</f>
        <v>0</v>
      </c>
      <c r="DH88" s="263">
        <f ca="1">IF(CV88=0,0,SUMIFS($P$10:$P87, $C$10:$C87,"&lt;"&amp;$C88, $M$10:$M87,$D88&amp;"_"&amp;DH$9)/CV88)</f>
        <v>0</v>
      </c>
      <c r="DI88" s="263">
        <f ca="1">IF(CW88=0,0,SUMIFS($P$10:$P87, $C$10:$C87,"&lt;"&amp;$C88, $M$10:$M87,$D88&amp;"_"&amp;DI$9)/CW88)</f>
        <v>0</v>
      </c>
      <c r="DJ88" s="264">
        <f ca="1">IF(CX88=0,0,SUMIFS($P$10:$P87, $C$10:$C87,"&lt;"&amp;$C88, $M$10:$M87,$D88&amp;"_"&amp;DJ$9)/CX88)</f>
        <v>0</v>
      </c>
      <c r="DK88" s="264">
        <f ca="1">IF(CY88=0,0,SUMIFS($P$10:$P87, $C$10:$C87,"&lt;"&amp;$C88, $M$10:$M87,$D88&amp;"_"&amp;DK$9)/CY88)</f>
        <v>-1</v>
      </c>
      <c r="DM88" s="104"/>
      <c r="DN88" s="306">
        <f t="shared" ca="1" si="222"/>
        <v>-9999</v>
      </c>
      <c r="DO88" s="15">
        <f t="shared" ca="1" si="188"/>
        <v>-9999</v>
      </c>
      <c r="DP88" s="15">
        <f t="shared" ca="1" si="189"/>
        <v>-9999</v>
      </c>
      <c r="DQ88" s="15">
        <f t="shared" ca="1" si="190"/>
        <v>-9999</v>
      </c>
      <c r="DR88" s="15">
        <f t="shared" ca="1" si="191"/>
        <v>-9999</v>
      </c>
      <c r="DS88" s="15">
        <f t="shared" ca="1" si="192"/>
        <v>-9999</v>
      </c>
      <c r="DT88" s="15">
        <f t="shared" ca="1" si="193"/>
        <v>-9999</v>
      </c>
      <c r="DU88" s="15">
        <f t="shared" ca="1" si="194"/>
        <v>-9999</v>
      </c>
      <c r="DV88" s="52">
        <f t="shared" ca="1" si="195"/>
        <v>-9999</v>
      </c>
      <c r="DW88" s="313">
        <f t="shared" ca="1" si="196"/>
        <v>-0.88750045657189591</v>
      </c>
      <c r="DX88" s="52"/>
      <c r="DY88" s="402">
        <f t="shared" ca="1" si="223"/>
        <v>9</v>
      </c>
      <c r="ED88" s="19">
        <f t="shared" ca="1" si="197"/>
        <v>-1</v>
      </c>
      <c r="EE88" s="1">
        <f t="shared" ca="1" si="198"/>
        <v>1</v>
      </c>
      <c r="EF88" s="1">
        <f t="shared" ca="1" si="199"/>
        <v>-1</v>
      </c>
      <c r="EG88" s="2">
        <f t="shared" ca="1" si="200"/>
        <v>1</v>
      </c>
      <c r="EH88" s="1">
        <f t="shared" ca="1" si="201"/>
        <v>-1</v>
      </c>
      <c r="EI88" s="3">
        <f t="shared" ca="1" si="202"/>
        <v>1</v>
      </c>
      <c r="EJ88" s="1">
        <f t="shared" ca="1" si="203"/>
        <v>0</v>
      </c>
      <c r="EK88" s="1">
        <f t="shared" ca="1" si="204"/>
        <v>0</v>
      </c>
      <c r="EL88" s="20">
        <f t="shared" ca="1" si="205"/>
        <v>-1</v>
      </c>
      <c r="EN88" s="86">
        <f ca="1">MAX(0, SUMPRODUCT($ED88:$EL88,OFFSET(DNN!$E$9:$M$9,EN$9,0)) + OFFSET(DNN!$D$9,EN$9,0))</f>
        <v>0</v>
      </c>
      <c r="EO88" s="84">
        <f ca="1">MAX(0, SUMPRODUCT($ED88:$EL88,OFFSET(DNN!$E$9:$M$9,EO$9,0)) + OFFSET(DNN!$D$9,EO$9,0))</f>
        <v>7.2346022384755949E-3</v>
      </c>
      <c r="EP88" s="84">
        <f ca="1">MAX(0, SUMPRODUCT($ED88:$EL88,OFFSET(DNN!$E$9:$M$9,EP$9,0)) + OFFSET(DNN!$D$9,EP$9,0))</f>
        <v>3.6951849750035152E-3</v>
      </c>
      <c r="EQ88" s="84">
        <f ca="1">MAX(0, SUMPRODUCT($ED88:$EL88,OFFSET(DNN!$E$9:$M$9,EQ$9,0)) + OFFSET(DNN!$D$9,EQ$9,0))</f>
        <v>0</v>
      </c>
      <c r="ER88" s="85">
        <f ca="1">MAX(0, SUMPRODUCT($ED88:$EL88,OFFSET(DNN!$E$9:$M$9,ER$9,0)) + OFFSET(DNN!$D$9,ER$9,0))</f>
        <v>0</v>
      </c>
      <c r="ET88" s="86">
        <f ca="1">MAX(0, SUMPRODUCT($EN88:$ER88,OFFSET(DNN!$Q$9:$U$9,ET$9,0)) + OFFSET(DNN!$P$9,ET$9,0))</f>
        <v>4.3954959453478351E-4</v>
      </c>
      <c r="EU88" s="84">
        <f ca="1">MAX(0, SUMPRODUCT($EN88:$ER88,OFFSET(DNN!$Q$9:$U$9,EU$9,0)) + OFFSET(DNN!$P$9,EU$9,0))</f>
        <v>0</v>
      </c>
      <c r="EV88" s="84">
        <f ca="1">MAX(0, SUMPRODUCT($EN88:$ER88,OFFSET(DNN!$Q$9:$U$9,EV$9,0)) + OFFSET(DNN!$P$9,EV$9,0))</f>
        <v>1.2810123361902579E-3</v>
      </c>
      <c r="EW88" s="84">
        <f ca="1">MAX(0, SUMPRODUCT($EN88:$ER88,OFFSET(DNN!$Q$9:$U$9,EW$9,0)) + OFFSET(DNN!$P$9,EW$9,0))</f>
        <v>7.8382123007882457E-4</v>
      </c>
      <c r="EX88" s="85">
        <f ca="1">MAX(0, SUMPRODUCT($EN88:$ER88,OFFSET(DNN!$Q$9:$U$9,EX$9,0)) + OFFSET(DNN!$P$9,EX$9,0))</f>
        <v>0</v>
      </c>
      <c r="EZ88" s="111">
        <f ca="1">SUMPRODUCT($ET88:$EX88,OFFSET(DNN!$Y$9:$AC$9,EZ$9,0)) + OFFSET(DNN!$X$9,EZ$9,0)</f>
        <v>0.43031618918982212</v>
      </c>
      <c r="FA88" s="97">
        <f ca="1">SUMPRODUCT($ET88:$EX88,OFFSET(DNN!$Y$9:$AC$9,FA$9,0)) + OFFSET(DNN!$X$9,FA$9,0)</f>
        <v>-1.2643439935754107E-5</v>
      </c>
      <c r="FB88" s="97">
        <f ca="1">SUMPRODUCT($ET88:$EX88,OFFSET(DNN!$Y$9:$AC$9,FB$9,0)) + OFFSET(DNN!$X$9,FB$9,0)</f>
        <v>1.5239793458415756E-2</v>
      </c>
      <c r="FC88" s="97">
        <f ca="1">SUMPRODUCT($ET88:$EX88,OFFSET(DNN!$Y$9:$AC$9,FC$9,0)) + OFFSET(DNN!$X$9,FC$9,0)</f>
        <v>-8.8749521084055777E-4</v>
      </c>
      <c r="FD88" s="97">
        <f ca="1">SUMPRODUCT($ET88:$EX88,OFFSET(DNN!$Y$9:$AC$9,FD$9,0)) + OFFSET(DNN!$X$9,FD$9,0)</f>
        <v>-4.235816470721872E-4</v>
      </c>
      <c r="FE88" s="97">
        <f ca="1">SUMPRODUCT($ET88:$EX88,OFFSET(DNN!$Y$9:$AC$9,FE$9,0)) + OFFSET(DNN!$X$9,FE$9,0)</f>
        <v>-1.574182761064886E-5</v>
      </c>
      <c r="FF88" s="97">
        <f ca="1">SUMPRODUCT($ET88:$EX88,OFFSET(DNN!$Y$9:$AC$9,FF$9,0)) + OFFSET(DNN!$X$9,FF$9,0)</f>
        <v>-1.3491460223194656E-3</v>
      </c>
      <c r="FG88" s="97">
        <f ca="1">SUMPRODUCT($ET88:$EX88,OFFSET(DNN!$Y$9:$AC$9,FG$9,0)) + OFFSET(DNN!$X$9,FG$9,0)</f>
        <v>-6.2604808096248285E-2</v>
      </c>
      <c r="FH88" s="97">
        <f ca="1">SUMPRODUCT($ET88:$EX88,OFFSET(DNN!$Y$9:$AC$9,FH$9,0)) + OFFSET(DNN!$X$9,FH$9,0)</f>
        <v>8.6810016937029894E-4</v>
      </c>
      <c r="FI88" s="108">
        <f ca="1">SUMPRODUCT($ET88:$EX88,OFFSET(DNN!$Y$9:$AC$9,FI$9,0)) + OFFSET(DNN!$X$9,FI$9,0)</f>
        <v>-1.3182687612562751</v>
      </c>
      <c r="FJ88" s="98">
        <f ca="1">SUMPRODUCT($ET88:$EX88,OFFSET(DNN!$Y$9:$AC$9,FJ$9,0)) + OFFSET(DNN!$X$9,FJ$9,0)</f>
        <v>-2.2535161745939301E-5</v>
      </c>
      <c r="FL88" s="415">
        <f t="shared" ca="1" si="224"/>
        <v>0.43031618918982212</v>
      </c>
      <c r="FM88" s="130">
        <f t="shared" ca="1" si="225"/>
        <v>1</v>
      </c>
      <c r="FN88" s="131">
        <f t="shared" ca="1" si="226"/>
        <v>0.65029522127322903</v>
      </c>
      <c r="FO88" s="131">
        <f t="shared" ca="1" si="227"/>
        <v>0.66028983545318687</v>
      </c>
      <c r="FP88" s="131">
        <f t="shared" ca="1" si="228"/>
        <v>0.64972655813153501</v>
      </c>
      <c r="FQ88" s="131">
        <f t="shared" ca="1" si="229"/>
        <v>0.65002804502111444</v>
      </c>
      <c r="FR88" s="131">
        <f t="shared" ca="1" si="230"/>
        <v>0.65029320640965171</v>
      </c>
      <c r="FS88" s="131">
        <f t="shared" ca="1" si="231"/>
        <v>0.64942668056342145</v>
      </c>
      <c r="FT88" s="131">
        <f t="shared" ca="1" si="232"/>
        <v>0.61083952513994022</v>
      </c>
      <c r="FU88" s="132">
        <f t="shared" ca="1" si="233"/>
        <v>0.6508682169276182</v>
      </c>
      <c r="FV88" s="131">
        <f t="shared" ca="1" si="234"/>
        <v>0.17402001625314881</v>
      </c>
      <c r="FW88" s="83">
        <f t="shared" ca="1" si="235"/>
        <v>-2.2535161742124597E-5</v>
      </c>
    </row>
    <row r="89" spans="1:179">
      <c r="A89" s="19">
        <f t="shared" si="240"/>
        <v>79</v>
      </c>
      <c r="B89" s="1">
        <f t="shared" ca="1" si="236"/>
        <v>0</v>
      </c>
      <c r="C89" s="20">
        <f t="shared" ca="1" si="237"/>
        <v>79</v>
      </c>
      <c r="D89" s="19" t="str">
        <f t="shared" ca="1" si="238"/>
        <v>〇×〇×〇×--〇</v>
      </c>
      <c r="E89" s="7">
        <f t="shared" ca="1" si="206"/>
        <v>9</v>
      </c>
      <c r="F89" s="7">
        <f t="shared" ca="1" si="207"/>
        <v>1</v>
      </c>
      <c r="G89" s="1" t="str">
        <f t="shared" ca="1" si="139"/>
        <v>〇×〇×〇×--〇</v>
      </c>
      <c r="H89" s="20" t="b">
        <f t="shared" ca="1" si="140"/>
        <v>1</v>
      </c>
      <c r="I89" s="22">
        <f t="shared" ca="1" si="239"/>
        <v>-1</v>
      </c>
      <c r="J89" s="1" t="b">
        <f ca="1">(1&lt;COUNTIF(D$10:D89,D89))</f>
        <v>1</v>
      </c>
      <c r="K89" s="1" t="b">
        <f t="shared" ca="1" si="141"/>
        <v>1</v>
      </c>
      <c r="L89" s="7">
        <f ca="1">MATCH(TRUE,K89:K$1048576,FALSE)-1</f>
        <v>0</v>
      </c>
      <c r="M89" s="24" t="str">
        <f t="shared" ca="1" si="142"/>
        <v>〇×〇×〇×--〇_9</v>
      </c>
      <c r="N89" s="25">
        <f t="shared" ca="1" si="208"/>
        <v>-2.2535161742124597E-5</v>
      </c>
      <c r="O89" s="26">
        <f t="shared" ca="1" si="209"/>
        <v>-1</v>
      </c>
      <c r="P89" s="27">
        <f t="shared" ca="1" si="210"/>
        <v>-1</v>
      </c>
      <c r="R89" s="41" t="str">
        <f ca="1">VLOOKUP(S89,cvt!$B$2:$C$4,2,FALSE)&amp;VLOOKUP(T89,cvt!$B$2:$C$4,2,FALSE)&amp;VLOOKUP(U89,cvt!$B$2:$C$4,2,FALSE)
&amp;VLOOKUP(V89,cvt!$B$2:$C$4,2,FALSE)&amp;VLOOKUP(W89,cvt!$B$2:$C$4,2,FALSE)&amp;VLOOKUP(X89,cvt!$B$2:$C$4,2,FALSE)
&amp;VLOOKUP(Y89,cvt!$B$2:$C$4,2,FALSE)&amp;VLOOKUP(Z89,cvt!$B$2:$C$4,2,FALSE)&amp;VLOOKUP(AA89,cvt!$B$2:$C$4,2,FALSE)</f>
        <v>〇×〇×〇×--〇</v>
      </c>
      <c r="S89" s="7">
        <f ca="1">VLOOKUP(MID($D89,S$9+1,1), cvt!$A$2:$B$4,2, FALSE)</f>
        <v>1</v>
      </c>
      <c r="T89" s="7">
        <f ca="1">VLOOKUP(MID($D89,T$9+1,1), cvt!$A$2:$B$4,2, FALSE)</f>
        <v>-1</v>
      </c>
      <c r="U89" s="7">
        <f ca="1">VLOOKUP(MID($D89,U$9+1,1), cvt!$A$2:$B$4,2, FALSE)</f>
        <v>1</v>
      </c>
      <c r="V89" s="17">
        <f ca="1">VLOOKUP(MID($D89,V$9+1,1), cvt!$A$2:$B$4,2, FALSE)</f>
        <v>-1</v>
      </c>
      <c r="W89" s="7">
        <f ca="1">VLOOKUP(MID($D89,W$9+1,1), cvt!$A$2:$B$4,2, FALSE)</f>
        <v>1</v>
      </c>
      <c r="X89" s="18">
        <f ca="1">VLOOKUP(MID($D89,X$9+1,1), cvt!$A$2:$B$4,2, FALSE)</f>
        <v>-1</v>
      </c>
      <c r="Y89" s="7">
        <f ca="1">VLOOKUP(MID($D89,Y$9+1,1), cvt!$A$2:$B$4,2, FALSE)</f>
        <v>0</v>
      </c>
      <c r="Z89" s="7">
        <f ca="1">VLOOKUP(MID($D89,Z$9+1,1), cvt!$A$2:$B$4,2, FALSE)</f>
        <v>0</v>
      </c>
      <c r="AA89" s="42">
        <f ca="1">VLOOKUP(MID($D89,AA$9+1,1), cvt!$A$2:$B$4,2, FALSE)</f>
        <v>1</v>
      </c>
      <c r="AB89" s="7">
        <f t="shared" ca="1" si="211"/>
        <v>1</v>
      </c>
      <c r="AC89" s="50" t="b">
        <f t="shared" ca="1" si="212"/>
        <v>1</v>
      </c>
      <c r="AE89" s="19" t="str">
        <f ca="1">VLOOKUP(AF89,cvt!$B$2:$C$4,2,FALSE)&amp;VLOOKUP(AG89,cvt!$B$2:$C$4,2,FALSE)&amp;VLOOKUP(AH89,cvt!$B$2:$C$4,2,FALSE)
&amp;VLOOKUP(AI89,cvt!$B$2:$C$4,2,FALSE)&amp;VLOOKUP(AJ89,cvt!$B$2:$C$4,2,FALSE)&amp;VLOOKUP(AK89,cvt!$B$2:$C$4,2,FALSE)
&amp;VLOOKUP(AL89,cvt!$B$2:$C$4,2,FALSE)&amp;VLOOKUP(AM89,cvt!$B$2:$C$4,2,FALSE)&amp;VLOOKUP(AN89,cvt!$B$2:$C$4,2,FALSE)</f>
        <v>〇×〇×〇×--〇</v>
      </c>
      <c r="AF89" s="17">
        <f t="shared" ca="1" si="143"/>
        <v>1</v>
      </c>
      <c r="AG89" s="7">
        <f t="shared" ca="1" si="144"/>
        <v>-1</v>
      </c>
      <c r="AH89" s="7">
        <f t="shared" ca="1" si="145"/>
        <v>1</v>
      </c>
      <c r="AI89" s="17">
        <f t="shared" ca="1" si="146"/>
        <v>-1</v>
      </c>
      <c r="AJ89" s="7">
        <f t="shared" ca="1" si="147"/>
        <v>1</v>
      </c>
      <c r="AK89" s="18">
        <f t="shared" ca="1" si="148"/>
        <v>-1</v>
      </c>
      <c r="AL89" s="7">
        <f t="shared" ca="1" si="149"/>
        <v>0</v>
      </c>
      <c r="AM89" s="7">
        <f t="shared" ca="1" si="150"/>
        <v>0</v>
      </c>
      <c r="AN89" s="18">
        <f t="shared" ca="1" si="151"/>
        <v>1</v>
      </c>
      <c r="AO89" s="7">
        <f t="shared" ca="1" si="213"/>
        <v>1</v>
      </c>
      <c r="AP89" s="50" t="b">
        <f t="shared" ca="1" si="152"/>
        <v>1</v>
      </c>
      <c r="AS89" s="22">
        <f t="shared" ca="1" si="214"/>
        <v>0</v>
      </c>
      <c r="AT89" s="7">
        <f t="shared" ca="1" si="153"/>
        <v>0</v>
      </c>
      <c r="AU89" s="7">
        <f t="shared" ca="1" si="154"/>
        <v>0</v>
      </c>
      <c r="AV89" s="7">
        <f t="shared" ca="1" si="155"/>
        <v>0</v>
      </c>
      <c r="AW89" s="7">
        <f t="shared" ca="1" si="156"/>
        <v>0</v>
      </c>
      <c r="AX89" s="7">
        <f t="shared" ca="1" si="157"/>
        <v>0</v>
      </c>
      <c r="AY89" s="7">
        <f t="shared" ca="1" si="158"/>
        <v>0</v>
      </c>
      <c r="AZ89" s="7">
        <f t="shared" ca="1" si="159"/>
        <v>0</v>
      </c>
      <c r="BA89" s="18">
        <f t="shared" ca="1" si="160"/>
        <v>0</v>
      </c>
      <c r="BB89" s="295">
        <f t="shared" ca="1" si="215"/>
        <v>1</v>
      </c>
      <c r="BD89" s="132"/>
      <c r="BE89" s="297">
        <f t="shared" ca="1" si="216"/>
        <v>1</v>
      </c>
      <c r="BF89" s="298">
        <f t="shared" ca="1" si="161"/>
        <v>0.65029522127322903</v>
      </c>
      <c r="BG89" s="298">
        <f t="shared" ca="1" si="162"/>
        <v>0.66028983545318687</v>
      </c>
      <c r="BH89" s="318">
        <f t="shared" ca="1" si="163"/>
        <v>0.64972655813153501</v>
      </c>
      <c r="BI89" s="298">
        <f t="shared" ca="1" si="164"/>
        <v>0.65002804502111444</v>
      </c>
      <c r="BJ89" s="299">
        <f t="shared" ca="1" si="165"/>
        <v>0.65029320640965171</v>
      </c>
      <c r="BK89" s="298">
        <f t="shared" ca="1" si="166"/>
        <v>0.64942668056342145</v>
      </c>
      <c r="BL89" s="298">
        <f t="shared" ca="1" si="167"/>
        <v>0.61083952513994022</v>
      </c>
      <c r="BM89" s="299">
        <f t="shared" ca="1" si="168"/>
        <v>0.6508682169276182</v>
      </c>
      <c r="BN89" s="295">
        <f t="shared" ca="1" si="169"/>
        <v>0.17402001625314881</v>
      </c>
      <c r="BO89" s="248">
        <f t="shared" ca="1" si="217"/>
        <v>-2.2535161742124597E-5</v>
      </c>
      <c r="BQ89" s="304">
        <f t="shared" ca="1" si="218"/>
        <v>0.42412001625314877</v>
      </c>
      <c r="BR89" s="297">
        <f t="shared" ca="1" si="219"/>
        <v>0</v>
      </c>
      <c r="BS89" s="298">
        <f t="shared" ca="1" si="170"/>
        <v>0</v>
      </c>
      <c r="BT89" s="298">
        <f t="shared" ca="1" si="171"/>
        <v>0</v>
      </c>
      <c r="BU89" s="318">
        <f t="shared" ca="1" si="172"/>
        <v>0</v>
      </c>
      <c r="BV89" s="298">
        <f t="shared" ca="1" si="173"/>
        <v>0</v>
      </c>
      <c r="BW89" s="299">
        <f t="shared" ca="1" si="174"/>
        <v>0</v>
      </c>
      <c r="BX89" s="298">
        <f t="shared" ca="1" si="175"/>
        <v>0</v>
      </c>
      <c r="BY89" s="298">
        <f t="shared" ca="1" si="176"/>
        <v>0</v>
      </c>
      <c r="BZ89" s="298">
        <f t="shared" ca="1" si="177"/>
        <v>0</v>
      </c>
      <c r="CA89" s="315">
        <f t="shared" ca="1" si="178"/>
        <v>0.42412001625314877</v>
      </c>
      <c r="CC89" s="52"/>
      <c r="CD89" s="306">
        <f t="shared" ca="1" si="220"/>
        <v>0</v>
      </c>
      <c r="CE89" s="15">
        <f t="shared" ca="1" si="179"/>
        <v>0</v>
      </c>
      <c r="CF89" s="15">
        <f t="shared" ca="1" si="180"/>
        <v>0</v>
      </c>
      <c r="CG89" s="286">
        <f t="shared" ca="1" si="181"/>
        <v>0</v>
      </c>
      <c r="CH89" s="15">
        <f t="shared" ca="1" si="182"/>
        <v>0</v>
      </c>
      <c r="CI89" s="288">
        <f t="shared" ca="1" si="183"/>
        <v>0</v>
      </c>
      <c r="CJ89" s="15">
        <f t="shared" ca="1" si="184"/>
        <v>0</v>
      </c>
      <c r="CK89" s="15">
        <f t="shared" ca="1" si="185"/>
        <v>0</v>
      </c>
      <c r="CL89" s="15">
        <f t="shared" ca="1" si="186"/>
        <v>0</v>
      </c>
      <c r="CM89" s="313">
        <f t="shared" ca="1" si="187"/>
        <v>1</v>
      </c>
      <c r="CO89" s="320">
        <f t="shared" ca="1" si="221"/>
        <v>78</v>
      </c>
      <c r="CP89" s="22">
        <f ca="1">COUNTIFS($C$10:$C88,"&lt;"&amp;$C89,$M$10:$M88,$D89&amp;"_"&amp;CP$9)</f>
        <v>0</v>
      </c>
      <c r="CQ89" s="7">
        <f ca="1">COUNTIFS($C$10:$C88,"&lt;"&amp;$C89,$M$10:$M88,$D89&amp;"_"&amp;CQ$9)</f>
        <v>0</v>
      </c>
      <c r="CR89" s="7">
        <f ca="1">COUNTIFS($C$10:$C88,"&lt;"&amp;$C89,$M$10:$M88,$D89&amp;"_"&amp;CR$9)</f>
        <v>0</v>
      </c>
      <c r="CS89" s="17">
        <f ca="1">COUNTIFS($C$10:$C88,"&lt;"&amp;$C89,$M$10:$M88,$D89&amp;"_"&amp;CS$9)</f>
        <v>0</v>
      </c>
      <c r="CT89" s="7">
        <f ca="1">COUNTIFS($C$10:$C88,"&lt;"&amp;$C89,$M$10:$M88,$D89&amp;"_"&amp;CT$9)</f>
        <v>0</v>
      </c>
      <c r="CU89" s="18">
        <f ca="1">COUNTIFS($C$10:$C88,"&lt;"&amp;$C89,$M$10:$M88,$D89&amp;"_"&amp;CU$9)</f>
        <v>0</v>
      </c>
      <c r="CV89" s="7">
        <f ca="1">COUNTIFS($C$10:$C88,"&lt;"&amp;$C89,$M$10:$M88,$D89&amp;"_"&amp;CV$9)</f>
        <v>0</v>
      </c>
      <c r="CW89" s="7">
        <f ca="1">COUNTIFS($C$10:$C88,"&lt;"&amp;$C89,$M$10:$M88,$D89&amp;"_"&amp;CW$9)</f>
        <v>0</v>
      </c>
      <c r="CX89" s="7">
        <f ca="1">COUNTIFS($C$10:$C88,"&lt;"&amp;$C89,$M$10:$M88,$D89&amp;"_"&amp;CX$9)</f>
        <v>0</v>
      </c>
      <c r="CY89" s="221">
        <f ca="1">COUNTIFS($C$10:$C88,"&lt;"&amp;$C89,$M$10:$M88,$D89&amp;"_"&amp;CY$9)</f>
        <v>78</v>
      </c>
      <c r="DA89" s="20"/>
      <c r="DB89" s="308">
        <f ca="1">IF(CP89=0,0,SUMIFS($P$10:$P88, $C$10:$C88,"&lt;"&amp;$C89, $M$10:$M88,$D89&amp;"_"&amp;DB$9)/CP89)</f>
        <v>0</v>
      </c>
      <c r="DC89" s="263">
        <f ca="1">IF(CQ89=0,0,SUMIFS($P$10:$P88, $C$10:$C88,"&lt;"&amp;$C89, $M$10:$M88,$D89&amp;"_"&amp;DC$9)/CQ89)</f>
        <v>0</v>
      </c>
      <c r="DD89" s="263">
        <f ca="1">IF(CR89=0,0,SUMIFS($P$10:$P88, $C$10:$C88,"&lt;"&amp;$C89, $M$10:$M88,$D89&amp;"_"&amp;DD$9)/CR89)</f>
        <v>0</v>
      </c>
      <c r="DE89" s="262">
        <f ca="1">IF(CS89=0,0,SUMIFS($P$10:$P88, $C$10:$C88,"&lt;"&amp;$C89, $M$10:$M88,$D89&amp;"_"&amp;DE$9)/CS89)</f>
        <v>0</v>
      </c>
      <c r="DF89" s="263">
        <f ca="1">IF(CT89=0,0,SUMIFS($P$10:$P88, $C$10:$C88,"&lt;"&amp;$C89, $M$10:$M88,$D89&amp;"_"&amp;DF$9)/CT89)</f>
        <v>0</v>
      </c>
      <c r="DG89" s="310">
        <f ca="1">IF(CU89=0,0,SUMIFS($P$10:$P88, $C$10:$C88,"&lt;"&amp;$C89, $M$10:$M88,$D89&amp;"_"&amp;DG$9)/CU89)</f>
        <v>0</v>
      </c>
      <c r="DH89" s="263">
        <f ca="1">IF(CV89=0,0,SUMIFS($P$10:$P88, $C$10:$C88,"&lt;"&amp;$C89, $M$10:$M88,$D89&amp;"_"&amp;DH$9)/CV89)</f>
        <v>0</v>
      </c>
      <c r="DI89" s="263">
        <f ca="1">IF(CW89=0,0,SUMIFS($P$10:$P88, $C$10:$C88,"&lt;"&amp;$C89, $M$10:$M88,$D89&amp;"_"&amp;DI$9)/CW89)</f>
        <v>0</v>
      </c>
      <c r="DJ89" s="264">
        <f ca="1">IF(CX89=0,0,SUMIFS($P$10:$P88, $C$10:$C88,"&lt;"&amp;$C89, $M$10:$M88,$D89&amp;"_"&amp;DJ$9)/CX89)</f>
        <v>0</v>
      </c>
      <c r="DK89" s="264">
        <f ca="1">IF(CY89=0,0,SUMIFS($P$10:$P88, $C$10:$C88,"&lt;"&amp;$C89, $M$10:$M88,$D89&amp;"_"&amp;DK$9)/CY89)</f>
        <v>-1</v>
      </c>
      <c r="DM89" s="104"/>
      <c r="DN89" s="306">
        <f t="shared" ca="1" si="222"/>
        <v>-9999</v>
      </c>
      <c r="DO89" s="15">
        <f t="shared" ca="1" si="188"/>
        <v>-9999</v>
      </c>
      <c r="DP89" s="15">
        <f t="shared" ca="1" si="189"/>
        <v>-9999</v>
      </c>
      <c r="DQ89" s="15">
        <f t="shared" ca="1" si="190"/>
        <v>-9999</v>
      </c>
      <c r="DR89" s="15">
        <f t="shared" ca="1" si="191"/>
        <v>-9999</v>
      </c>
      <c r="DS89" s="15">
        <f t="shared" ca="1" si="192"/>
        <v>-9999</v>
      </c>
      <c r="DT89" s="15">
        <f t="shared" ca="1" si="193"/>
        <v>-9999</v>
      </c>
      <c r="DU89" s="15">
        <f t="shared" ca="1" si="194"/>
        <v>-9999</v>
      </c>
      <c r="DV89" s="52">
        <f t="shared" ca="1" si="195"/>
        <v>-9999</v>
      </c>
      <c r="DW89" s="313">
        <f t="shared" ca="1" si="196"/>
        <v>-0.88820555865407791</v>
      </c>
      <c r="DX89" s="52"/>
      <c r="DY89" s="402">
        <f t="shared" ca="1" si="223"/>
        <v>9</v>
      </c>
      <c r="ED89" s="19">
        <f t="shared" ca="1" si="197"/>
        <v>-1</v>
      </c>
      <c r="EE89" s="1">
        <f t="shared" ca="1" si="198"/>
        <v>1</v>
      </c>
      <c r="EF89" s="1">
        <f t="shared" ca="1" si="199"/>
        <v>-1</v>
      </c>
      <c r="EG89" s="2">
        <f t="shared" ca="1" si="200"/>
        <v>1</v>
      </c>
      <c r="EH89" s="1">
        <f t="shared" ca="1" si="201"/>
        <v>-1</v>
      </c>
      <c r="EI89" s="3">
        <f t="shared" ca="1" si="202"/>
        <v>1</v>
      </c>
      <c r="EJ89" s="1">
        <f t="shared" ca="1" si="203"/>
        <v>0</v>
      </c>
      <c r="EK89" s="1">
        <f t="shared" ca="1" si="204"/>
        <v>0</v>
      </c>
      <c r="EL89" s="20">
        <f t="shared" ca="1" si="205"/>
        <v>-1</v>
      </c>
      <c r="EN89" s="86">
        <f ca="1">MAX(0, SUMPRODUCT($ED89:$EL89,OFFSET(DNN!$E$9:$M$9,EN$9,0)) + OFFSET(DNN!$D$9,EN$9,0))</f>
        <v>0</v>
      </c>
      <c r="EO89" s="84">
        <f ca="1">MAX(0, SUMPRODUCT($ED89:$EL89,OFFSET(DNN!$E$9:$M$9,EO$9,0)) + OFFSET(DNN!$D$9,EO$9,0))</f>
        <v>7.2346022384755949E-3</v>
      </c>
      <c r="EP89" s="84">
        <f ca="1">MAX(0, SUMPRODUCT($ED89:$EL89,OFFSET(DNN!$E$9:$M$9,EP$9,0)) + OFFSET(DNN!$D$9,EP$9,0))</f>
        <v>3.6951849750035152E-3</v>
      </c>
      <c r="EQ89" s="84">
        <f ca="1">MAX(0, SUMPRODUCT($ED89:$EL89,OFFSET(DNN!$E$9:$M$9,EQ$9,0)) + OFFSET(DNN!$D$9,EQ$9,0))</f>
        <v>0</v>
      </c>
      <c r="ER89" s="85">
        <f ca="1">MAX(0, SUMPRODUCT($ED89:$EL89,OFFSET(DNN!$E$9:$M$9,ER$9,0)) + OFFSET(DNN!$D$9,ER$9,0))</f>
        <v>0</v>
      </c>
      <c r="ET89" s="86">
        <f ca="1">MAX(0, SUMPRODUCT($EN89:$ER89,OFFSET(DNN!$Q$9:$U$9,ET$9,0)) + OFFSET(DNN!$P$9,ET$9,0))</f>
        <v>4.3954959453478351E-4</v>
      </c>
      <c r="EU89" s="84">
        <f ca="1">MAX(0, SUMPRODUCT($EN89:$ER89,OFFSET(DNN!$Q$9:$U$9,EU$9,0)) + OFFSET(DNN!$P$9,EU$9,0))</f>
        <v>0</v>
      </c>
      <c r="EV89" s="84">
        <f ca="1">MAX(0, SUMPRODUCT($EN89:$ER89,OFFSET(DNN!$Q$9:$U$9,EV$9,0)) + OFFSET(DNN!$P$9,EV$9,0))</f>
        <v>1.2810123361902579E-3</v>
      </c>
      <c r="EW89" s="84">
        <f ca="1">MAX(0, SUMPRODUCT($EN89:$ER89,OFFSET(DNN!$Q$9:$U$9,EW$9,0)) + OFFSET(DNN!$P$9,EW$9,0))</f>
        <v>7.8382123007882457E-4</v>
      </c>
      <c r="EX89" s="85">
        <f ca="1">MAX(0, SUMPRODUCT($EN89:$ER89,OFFSET(DNN!$Q$9:$U$9,EX$9,0)) + OFFSET(DNN!$P$9,EX$9,0))</f>
        <v>0</v>
      </c>
      <c r="EZ89" s="111">
        <f ca="1">SUMPRODUCT($ET89:$EX89,OFFSET(DNN!$Y$9:$AC$9,EZ$9,0)) + OFFSET(DNN!$X$9,EZ$9,0)</f>
        <v>0.43031618918982212</v>
      </c>
      <c r="FA89" s="97">
        <f ca="1">SUMPRODUCT($ET89:$EX89,OFFSET(DNN!$Y$9:$AC$9,FA$9,0)) + OFFSET(DNN!$X$9,FA$9,0)</f>
        <v>-1.2643439935754107E-5</v>
      </c>
      <c r="FB89" s="97">
        <f ca="1">SUMPRODUCT($ET89:$EX89,OFFSET(DNN!$Y$9:$AC$9,FB$9,0)) + OFFSET(DNN!$X$9,FB$9,0)</f>
        <v>1.5239793458415756E-2</v>
      </c>
      <c r="FC89" s="97">
        <f ca="1">SUMPRODUCT($ET89:$EX89,OFFSET(DNN!$Y$9:$AC$9,FC$9,0)) + OFFSET(DNN!$X$9,FC$9,0)</f>
        <v>-8.8749521084055777E-4</v>
      </c>
      <c r="FD89" s="97">
        <f ca="1">SUMPRODUCT($ET89:$EX89,OFFSET(DNN!$Y$9:$AC$9,FD$9,0)) + OFFSET(DNN!$X$9,FD$9,0)</f>
        <v>-4.235816470721872E-4</v>
      </c>
      <c r="FE89" s="97">
        <f ca="1">SUMPRODUCT($ET89:$EX89,OFFSET(DNN!$Y$9:$AC$9,FE$9,0)) + OFFSET(DNN!$X$9,FE$9,0)</f>
        <v>-1.574182761064886E-5</v>
      </c>
      <c r="FF89" s="97">
        <f ca="1">SUMPRODUCT($ET89:$EX89,OFFSET(DNN!$Y$9:$AC$9,FF$9,0)) + OFFSET(DNN!$X$9,FF$9,0)</f>
        <v>-1.3491460223194656E-3</v>
      </c>
      <c r="FG89" s="97">
        <f ca="1">SUMPRODUCT($ET89:$EX89,OFFSET(DNN!$Y$9:$AC$9,FG$9,0)) + OFFSET(DNN!$X$9,FG$9,0)</f>
        <v>-6.2604808096248285E-2</v>
      </c>
      <c r="FH89" s="97">
        <f ca="1">SUMPRODUCT($ET89:$EX89,OFFSET(DNN!$Y$9:$AC$9,FH$9,0)) + OFFSET(DNN!$X$9,FH$9,0)</f>
        <v>8.6810016937029894E-4</v>
      </c>
      <c r="FI89" s="108">
        <f ca="1">SUMPRODUCT($ET89:$EX89,OFFSET(DNN!$Y$9:$AC$9,FI$9,0)) + OFFSET(DNN!$X$9,FI$9,0)</f>
        <v>-1.3182687612562751</v>
      </c>
      <c r="FJ89" s="98">
        <f ca="1">SUMPRODUCT($ET89:$EX89,OFFSET(DNN!$Y$9:$AC$9,FJ$9,0)) + OFFSET(DNN!$X$9,FJ$9,0)</f>
        <v>-2.2535161745939301E-5</v>
      </c>
      <c r="FL89" s="415">
        <f t="shared" ca="1" si="224"/>
        <v>0.43031618918982212</v>
      </c>
      <c r="FM89" s="130">
        <f t="shared" ca="1" si="225"/>
        <v>1</v>
      </c>
      <c r="FN89" s="131">
        <f t="shared" ca="1" si="226"/>
        <v>0.65029522127322903</v>
      </c>
      <c r="FO89" s="131">
        <f t="shared" ca="1" si="227"/>
        <v>0.66028983545318687</v>
      </c>
      <c r="FP89" s="131">
        <f t="shared" ca="1" si="228"/>
        <v>0.64972655813153501</v>
      </c>
      <c r="FQ89" s="131">
        <f t="shared" ca="1" si="229"/>
        <v>0.65002804502111444</v>
      </c>
      <c r="FR89" s="131">
        <f t="shared" ca="1" si="230"/>
        <v>0.65029320640965171</v>
      </c>
      <c r="FS89" s="131">
        <f t="shared" ca="1" si="231"/>
        <v>0.64942668056342145</v>
      </c>
      <c r="FT89" s="131">
        <f t="shared" ca="1" si="232"/>
        <v>0.61083952513994022</v>
      </c>
      <c r="FU89" s="132">
        <f t="shared" ca="1" si="233"/>
        <v>0.6508682169276182</v>
      </c>
      <c r="FV89" s="131">
        <f t="shared" ca="1" si="234"/>
        <v>0.17402001625314881</v>
      </c>
      <c r="FW89" s="83">
        <f t="shared" ca="1" si="235"/>
        <v>-2.2535161742124597E-5</v>
      </c>
    </row>
    <row r="90" spans="1:179">
      <c r="A90" s="19">
        <f t="shared" si="240"/>
        <v>80</v>
      </c>
      <c r="B90" s="1">
        <f t="shared" ca="1" si="236"/>
        <v>0</v>
      </c>
      <c r="C90" s="20">
        <f t="shared" ca="1" si="237"/>
        <v>80</v>
      </c>
      <c r="D90" s="19" t="str">
        <f t="shared" ca="1" si="238"/>
        <v>〇×〇×〇×--〇</v>
      </c>
      <c r="E90" s="7">
        <f t="shared" ca="1" si="206"/>
        <v>9</v>
      </c>
      <c r="F90" s="7">
        <f t="shared" ca="1" si="207"/>
        <v>1</v>
      </c>
      <c r="G90" s="1" t="str">
        <f t="shared" ca="1" si="139"/>
        <v>〇×〇×〇×--〇</v>
      </c>
      <c r="H90" s="20" t="b">
        <f t="shared" ca="1" si="140"/>
        <v>1</v>
      </c>
      <c r="I90" s="22">
        <f t="shared" ca="1" si="239"/>
        <v>-1</v>
      </c>
      <c r="J90" s="1" t="b">
        <f ca="1">(1&lt;COUNTIF(D$10:D90,D90))</f>
        <v>1</v>
      </c>
      <c r="K90" s="1" t="b">
        <f t="shared" ca="1" si="141"/>
        <v>1</v>
      </c>
      <c r="L90" s="7">
        <f ca="1">MATCH(TRUE,K90:K$1048576,FALSE)-1</f>
        <v>0</v>
      </c>
      <c r="M90" s="24" t="str">
        <f t="shared" ca="1" si="142"/>
        <v>〇×〇×〇×--〇_9</v>
      </c>
      <c r="N90" s="25">
        <f t="shared" ca="1" si="208"/>
        <v>-2.2535161742124597E-5</v>
      </c>
      <c r="O90" s="26">
        <f t="shared" ca="1" si="209"/>
        <v>-1</v>
      </c>
      <c r="P90" s="27">
        <f t="shared" ca="1" si="210"/>
        <v>-1</v>
      </c>
      <c r="R90" s="41" t="str">
        <f ca="1">VLOOKUP(S90,cvt!$B$2:$C$4,2,FALSE)&amp;VLOOKUP(T90,cvt!$B$2:$C$4,2,FALSE)&amp;VLOOKUP(U90,cvt!$B$2:$C$4,2,FALSE)
&amp;VLOOKUP(V90,cvt!$B$2:$C$4,2,FALSE)&amp;VLOOKUP(W90,cvt!$B$2:$C$4,2,FALSE)&amp;VLOOKUP(X90,cvt!$B$2:$C$4,2,FALSE)
&amp;VLOOKUP(Y90,cvt!$B$2:$C$4,2,FALSE)&amp;VLOOKUP(Z90,cvt!$B$2:$C$4,2,FALSE)&amp;VLOOKUP(AA90,cvt!$B$2:$C$4,2,FALSE)</f>
        <v>〇×〇×〇×--〇</v>
      </c>
      <c r="S90" s="7">
        <f ca="1">VLOOKUP(MID($D90,S$9+1,1), cvt!$A$2:$B$4,2, FALSE)</f>
        <v>1</v>
      </c>
      <c r="T90" s="7">
        <f ca="1">VLOOKUP(MID($D90,T$9+1,1), cvt!$A$2:$B$4,2, FALSE)</f>
        <v>-1</v>
      </c>
      <c r="U90" s="7">
        <f ca="1">VLOOKUP(MID($D90,U$9+1,1), cvt!$A$2:$B$4,2, FALSE)</f>
        <v>1</v>
      </c>
      <c r="V90" s="17">
        <f ca="1">VLOOKUP(MID($D90,V$9+1,1), cvt!$A$2:$B$4,2, FALSE)</f>
        <v>-1</v>
      </c>
      <c r="W90" s="7">
        <f ca="1">VLOOKUP(MID($D90,W$9+1,1), cvt!$A$2:$B$4,2, FALSE)</f>
        <v>1</v>
      </c>
      <c r="X90" s="18">
        <f ca="1">VLOOKUP(MID($D90,X$9+1,1), cvt!$A$2:$B$4,2, FALSE)</f>
        <v>-1</v>
      </c>
      <c r="Y90" s="7">
        <f ca="1">VLOOKUP(MID($D90,Y$9+1,1), cvt!$A$2:$B$4,2, FALSE)</f>
        <v>0</v>
      </c>
      <c r="Z90" s="7">
        <f ca="1">VLOOKUP(MID($D90,Z$9+1,1), cvt!$A$2:$B$4,2, FALSE)</f>
        <v>0</v>
      </c>
      <c r="AA90" s="42">
        <f ca="1">VLOOKUP(MID($D90,AA$9+1,1), cvt!$A$2:$B$4,2, FALSE)</f>
        <v>1</v>
      </c>
      <c r="AB90" s="7">
        <f t="shared" ca="1" si="211"/>
        <v>1</v>
      </c>
      <c r="AC90" s="50" t="b">
        <f t="shared" ca="1" si="212"/>
        <v>1</v>
      </c>
      <c r="AE90" s="19" t="str">
        <f ca="1">VLOOKUP(AF90,cvt!$B$2:$C$4,2,FALSE)&amp;VLOOKUP(AG90,cvt!$B$2:$C$4,2,FALSE)&amp;VLOOKUP(AH90,cvt!$B$2:$C$4,2,FALSE)
&amp;VLOOKUP(AI90,cvt!$B$2:$C$4,2,FALSE)&amp;VLOOKUP(AJ90,cvt!$B$2:$C$4,2,FALSE)&amp;VLOOKUP(AK90,cvt!$B$2:$C$4,2,FALSE)
&amp;VLOOKUP(AL90,cvt!$B$2:$C$4,2,FALSE)&amp;VLOOKUP(AM90,cvt!$B$2:$C$4,2,FALSE)&amp;VLOOKUP(AN90,cvt!$B$2:$C$4,2,FALSE)</f>
        <v>〇×〇×〇×--〇</v>
      </c>
      <c r="AF90" s="17">
        <f t="shared" ca="1" si="143"/>
        <v>1</v>
      </c>
      <c r="AG90" s="7">
        <f t="shared" ca="1" si="144"/>
        <v>-1</v>
      </c>
      <c r="AH90" s="7">
        <f t="shared" ca="1" si="145"/>
        <v>1</v>
      </c>
      <c r="AI90" s="17">
        <f t="shared" ca="1" si="146"/>
        <v>-1</v>
      </c>
      <c r="AJ90" s="7">
        <f t="shared" ca="1" si="147"/>
        <v>1</v>
      </c>
      <c r="AK90" s="18">
        <f t="shared" ca="1" si="148"/>
        <v>-1</v>
      </c>
      <c r="AL90" s="7">
        <f t="shared" ca="1" si="149"/>
        <v>0</v>
      </c>
      <c r="AM90" s="7">
        <f t="shared" ca="1" si="150"/>
        <v>0</v>
      </c>
      <c r="AN90" s="18">
        <f t="shared" ca="1" si="151"/>
        <v>1</v>
      </c>
      <c r="AO90" s="7">
        <f t="shared" ca="1" si="213"/>
        <v>1</v>
      </c>
      <c r="AP90" s="50" t="b">
        <f t="shared" ca="1" si="152"/>
        <v>1</v>
      </c>
      <c r="AS90" s="22">
        <f t="shared" ca="1" si="214"/>
        <v>0</v>
      </c>
      <c r="AT90" s="7">
        <f t="shared" ca="1" si="153"/>
        <v>0</v>
      </c>
      <c r="AU90" s="7">
        <f t="shared" ca="1" si="154"/>
        <v>0</v>
      </c>
      <c r="AV90" s="7">
        <f t="shared" ca="1" si="155"/>
        <v>0</v>
      </c>
      <c r="AW90" s="7">
        <f t="shared" ca="1" si="156"/>
        <v>0</v>
      </c>
      <c r="AX90" s="7">
        <f t="shared" ca="1" si="157"/>
        <v>0</v>
      </c>
      <c r="AY90" s="7">
        <f t="shared" ca="1" si="158"/>
        <v>0</v>
      </c>
      <c r="AZ90" s="7">
        <f t="shared" ca="1" si="159"/>
        <v>0</v>
      </c>
      <c r="BA90" s="18">
        <f t="shared" ca="1" si="160"/>
        <v>0</v>
      </c>
      <c r="BB90" s="295">
        <f t="shared" ca="1" si="215"/>
        <v>1</v>
      </c>
      <c r="BD90" s="132"/>
      <c r="BE90" s="297">
        <f t="shared" ca="1" si="216"/>
        <v>1</v>
      </c>
      <c r="BF90" s="298">
        <f t="shared" ca="1" si="161"/>
        <v>0.65029522127322903</v>
      </c>
      <c r="BG90" s="298">
        <f t="shared" ca="1" si="162"/>
        <v>0.66028983545318687</v>
      </c>
      <c r="BH90" s="318">
        <f t="shared" ca="1" si="163"/>
        <v>0.64972655813153501</v>
      </c>
      <c r="BI90" s="298">
        <f t="shared" ca="1" si="164"/>
        <v>0.65002804502111444</v>
      </c>
      <c r="BJ90" s="299">
        <f t="shared" ca="1" si="165"/>
        <v>0.65029320640965171</v>
      </c>
      <c r="BK90" s="298">
        <f t="shared" ca="1" si="166"/>
        <v>0.64942668056342145</v>
      </c>
      <c r="BL90" s="298">
        <f t="shared" ca="1" si="167"/>
        <v>0.61083952513994022</v>
      </c>
      <c r="BM90" s="299">
        <f t="shared" ca="1" si="168"/>
        <v>0.6508682169276182</v>
      </c>
      <c r="BN90" s="295">
        <f t="shared" ca="1" si="169"/>
        <v>0.17402001625314881</v>
      </c>
      <c r="BO90" s="248">
        <f t="shared" ca="1" si="217"/>
        <v>-2.2535161742124597E-5</v>
      </c>
      <c r="BQ90" s="304">
        <f t="shared" ca="1" si="218"/>
        <v>0.42412001625314877</v>
      </c>
      <c r="BR90" s="297">
        <f t="shared" ca="1" si="219"/>
        <v>0</v>
      </c>
      <c r="BS90" s="298">
        <f t="shared" ca="1" si="170"/>
        <v>0</v>
      </c>
      <c r="BT90" s="298">
        <f t="shared" ca="1" si="171"/>
        <v>0</v>
      </c>
      <c r="BU90" s="318">
        <f t="shared" ca="1" si="172"/>
        <v>0</v>
      </c>
      <c r="BV90" s="298">
        <f t="shared" ca="1" si="173"/>
        <v>0</v>
      </c>
      <c r="BW90" s="299">
        <f t="shared" ca="1" si="174"/>
        <v>0</v>
      </c>
      <c r="BX90" s="298">
        <f t="shared" ca="1" si="175"/>
        <v>0</v>
      </c>
      <c r="BY90" s="298">
        <f t="shared" ca="1" si="176"/>
        <v>0</v>
      </c>
      <c r="BZ90" s="298">
        <f t="shared" ca="1" si="177"/>
        <v>0</v>
      </c>
      <c r="CA90" s="315">
        <f t="shared" ca="1" si="178"/>
        <v>0.42412001625314877</v>
      </c>
      <c r="CC90" s="52"/>
      <c r="CD90" s="306">
        <f t="shared" ca="1" si="220"/>
        <v>0</v>
      </c>
      <c r="CE90" s="15">
        <f t="shared" ca="1" si="179"/>
        <v>0</v>
      </c>
      <c r="CF90" s="15">
        <f t="shared" ca="1" si="180"/>
        <v>0</v>
      </c>
      <c r="CG90" s="286">
        <f t="shared" ca="1" si="181"/>
        <v>0</v>
      </c>
      <c r="CH90" s="15">
        <f t="shared" ca="1" si="182"/>
        <v>0</v>
      </c>
      <c r="CI90" s="288">
        <f t="shared" ca="1" si="183"/>
        <v>0</v>
      </c>
      <c r="CJ90" s="15">
        <f t="shared" ca="1" si="184"/>
        <v>0</v>
      </c>
      <c r="CK90" s="15">
        <f t="shared" ca="1" si="185"/>
        <v>0</v>
      </c>
      <c r="CL90" s="15">
        <f t="shared" ca="1" si="186"/>
        <v>0</v>
      </c>
      <c r="CM90" s="313">
        <f t="shared" ca="1" si="187"/>
        <v>1</v>
      </c>
      <c r="CO90" s="320">
        <f t="shared" ca="1" si="221"/>
        <v>79</v>
      </c>
      <c r="CP90" s="22">
        <f ca="1">COUNTIFS($C$10:$C89,"&lt;"&amp;$C90,$M$10:$M89,$D90&amp;"_"&amp;CP$9)</f>
        <v>0</v>
      </c>
      <c r="CQ90" s="7">
        <f ca="1">COUNTIFS($C$10:$C89,"&lt;"&amp;$C90,$M$10:$M89,$D90&amp;"_"&amp;CQ$9)</f>
        <v>0</v>
      </c>
      <c r="CR90" s="7">
        <f ca="1">COUNTIFS($C$10:$C89,"&lt;"&amp;$C90,$M$10:$M89,$D90&amp;"_"&amp;CR$9)</f>
        <v>0</v>
      </c>
      <c r="CS90" s="17">
        <f ca="1">COUNTIFS($C$10:$C89,"&lt;"&amp;$C90,$M$10:$M89,$D90&amp;"_"&amp;CS$9)</f>
        <v>0</v>
      </c>
      <c r="CT90" s="7">
        <f ca="1">COUNTIFS($C$10:$C89,"&lt;"&amp;$C90,$M$10:$M89,$D90&amp;"_"&amp;CT$9)</f>
        <v>0</v>
      </c>
      <c r="CU90" s="18">
        <f ca="1">COUNTIFS($C$10:$C89,"&lt;"&amp;$C90,$M$10:$M89,$D90&amp;"_"&amp;CU$9)</f>
        <v>0</v>
      </c>
      <c r="CV90" s="7">
        <f ca="1">COUNTIFS($C$10:$C89,"&lt;"&amp;$C90,$M$10:$M89,$D90&amp;"_"&amp;CV$9)</f>
        <v>0</v>
      </c>
      <c r="CW90" s="7">
        <f ca="1">COUNTIFS($C$10:$C89,"&lt;"&amp;$C90,$M$10:$M89,$D90&amp;"_"&amp;CW$9)</f>
        <v>0</v>
      </c>
      <c r="CX90" s="7">
        <f ca="1">COUNTIFS($C$10:$C89,"&lt;"&amp;$C90,$M$10:$M89,$D90&amp;"_"&amp;CX$9)</f>
        <v>0</v>
      </c>
      <c r="CY90" s="221">
        <f ca="1">COUNTIFS($C$10:$C89,"&lt;"&amp;$C90,$M$10:$M89,$D90&amp;"_"&amp;CY$9)</f>
        <v>79</v>
      </c>
      <c r="DA90" s="20"/>
      <c r="DB90" s="308">
        <f ca="1">IF(CP90=0,0,SUMIFS($P$10:$P89, $C$10:$C89,"&lt;"&amp;$C90, $M$10:$M89,$D90&amp;"_"&amp;DB$9)/CP90)</f>
        <v>0</v>
      </c>
      <c r="DC90" s="263">
        <f ca="1">IF(CQ90=0,0,SUMIFS($P$10:$P89, $C$10:$C89,"&lt;"&amp;$C90, $M$10:$M89,$D90&amp;"_"&amp;DC$9)/CQ90)</f>
        <v>0</v>
      </c>
      <c r="DD90" s="263">
        <f ca="1">IF(CR90=0,0,SUMIFS($P$10:$P89, $C$10:$C89,"&lt;"&amp;$C90, $M$10:$M89,$D90&amp;"_"&amp;DD$9)/CR90)</f>
        <v>0</v>
      </c>
      <c r="DE90" s="262">
        <f ca="1">IF(CS90=0,0,SUMIFS($P$10:$P89, $C$10:$C89,"&lt;"&amp;$C90, $M$10:$M89,$D90&amp;"_"&amp;DE$9)/CS90)</f>
        <v>0</v>
      </c>
      <c r="DF90" s="263">
        <f ca="1">IF(CT90=0,0,SUMIFS($P$10:$P89, $C$10:$C89,"&lt;"&amp;$C90, $M$10:$M89,$D90&amp;"_"&amp;DF$9)/CT90)</f>
        <v>0</v>
      </c>
      <c r="DG90" s="310">
        <f ca="1">IF(CU90=0,0,SUMIFS($P$10:$P89, $C$10:$C89,"&lt;"&amp;$C90, $M$10:$M89,$D90&amp;"_"&amp;DG$9)/CU90)</f>
        <v>0</v>
      </c>
      <c r="DH90" s="263">
        <f ca="1">IF(CV90=0,0,SUMIFS($P$10:$P89, $C$10:$C89,"&lt;"&amp;$C90, $M$10:$M89,$D90&amp;"_"&amp;DH$9)/CV90)</f>
        <v>0</v>
      </c>
      <c r="DI90" s="263">
        <f ca="1">IF(CW90=0,0,SUMIFS($P$10:$P89, $C$10:$C89,"&lt;"&amp;$C90, $M$10:$M89,$D90&amp;"_"&amp;DI$9)/CW90)</f>
        <v>0</v>
      </c>
      <c r="DJ90" s="264">
        <f ca="1">IF(CX90=0,0,SUMIFS($P$10:$P89, $C$10:$C89,"&lt;"&amp;$C90, $M$10:$M89,$D90&amp;"_"&amp;DJ$9)/CX90)</f>
        <v>0</v>
      </c>
      <c r="DK90" s="264">
        <f ca="1">IF(CY90=0,0,SUMIFS($P$10:$P89, $C$10:$C89,"&lt;"&amp;$C90, $M$10:$M89,$D90&amp;"_"&amp;DK$9)/CY90)</f>
        <v>-1</v>
      </c>
      <c r="DM90" s="104"/>
      <c r="DN90" s="306">
        <f t="shared" ca="1" si="222"/>
        <v>-9999</v>
      </c>
      <c r="DO90" s="15">
        <f t="shared" ca="1" si="188"/>
        <v>-9999</v>
      </c>
      <c r="DP90" s="15">
        <f t="shared" ca="1" si="189"/>
        <v>-9999</v>
      </c>
      <c r="DQ90" s="15">
        <f t="shared" ca="1" si="190"/>
        <v>-9999</v>
      </c>
      <c r="DR90" s="15">
        <f t="shared" ca="1" si="191"/>
        <v>-9999</v>
      </c>
      <c r="DS90" s="15">
        <f t="shared" ca="1" si="192"/>
        <v>-9999</v>
      </c>
      <c r="DT90" s="15">
        <f t="shared" ca="1" si="193"/>
        <v>-9999</v>
      </c>
      <c r="DU90" s="15">
        <f t="shared" ca="1" si="194"/>
        <v>-9999</v>
      </c>
      <c r="DV90" s="52">
        <f t="shared" ca="1" si="195"/>
        <v>-9999</v>
      </c>
      <c r="DW90" s="313">
        <f t="shared" ca="1" si="196"/>
        <v>-0.88889756978355516</v>
      </c>
      <c r="DX90" s="52"/>
      <c r="DY90" s="402">
        <f t="shared" ca="1" si="223"/>
        <v>9</v>
      </c>
      <c r="ED90" s="19">
        <f t="shared" ca="1" si="197"/>
        <v>-1</v>
      </c>
      <c r="EE90" s="1">
        <f t="shared" ca="1" si="198"/>
        <v>1</v>
      </c>
      <c r="EF90" s="1">
        <f t="shared" ca="1" si="199"/>
        <v>-1</v>
      </c>
      <c r="EG90" s="2">
        <f t="shared" ca="1" si="200"/>
        <v>1</v>
      </c>
      <c r="EH90" s="1">
        <f t="shared" ca="1" si="201"/>
        <v>-1</v>
      </c>
      <c r="EI90" s="3">
        <f t="shared" ca="1" si="202"/>
        <v>1</v>
      </c>
      <c r="EJ90" s="1">
        <f t="shared" ca="1" si="203"/>
        <v>0</v>
      </c>
      <c r="EK90" s="1">
        <f t="shared" ca="1" si="204"/>
        <v>0</v>
      </c>
      <c r="EL90" s="20">
        <f t="shared" ca="1" si="205"/>
        <v>-1</v>
      </c>
      <c r="EN90" s="86">
        <f ca="1">MAX(0, SUMPRODUCT($ED90:$EL90,OFFSET(DNN!$E$9:$M$9,EN$9,0)) + OFFSET(DNN!$D$9,EN$9,0))</f>
        <v>0</v>
      </c>
      <c r="EO90" s="84">
        <f ca="1">MAX(0, SUMPRODUCT($ED90:$EL90,OFFSET(DNN!$E$9:$M$9,EO$9,0)) + OFFSET(DNN!$D$9,EO$9,0))</f>
        <v>7.2346022384755949E-3</v>
      </c>
      <c r="EP90" s="84">
        <f ca="1">MAX(0, SUMPRODUCT($ED90:$EL90,OFFSET(DNN!$E$9:$M$9,EP$9,0)) + OFFSET(DNN!$D$9,EP$9,0))</f>
        <v>3.6951849750035152E-3</v>
      </c>
      <c r="EQ90" s="84">
        <f ca="1">MAX(0, SUMPRODUCT($ED90:$EL90,OFFSET(DNN!$E$9:$M$9,EQ$9,0)) + OFFSET(DNN!$D$9,EQ$9,0))</f>
        <v>0</v>
      </c>
      <c r="ER90" s="85">
        <f ca="1">MAX(0, SUMPRODUCT($ED90:$EL90,OFFSET(DNN!$E$9:$M$9,ER$9,0)) + OFFSET(DNN!$D$9,ER$9,0))</f>
        <v>0</v>
      </c>
      <c r="ET90" s="86">
        <f ca="1">MAX(0, SUMPRODUCT($EN90:$ER90,OFFSET(DNN!$Q$9:$U$9,ET$9,0)) + OFFSET(DNN!$P$9,ET$9,0))</f>
        <v>4.3954959453478351E-4</v>
      </c>
      <c r="EU90" s="84">
        <f ca="1">MAX(0, SUMPRODUCT($EN90:$ER90,OFFSET(DNN!$Q$9:$U$9,EU$9,0)) + OFFSET(DNN!$P$9,EU$9,0))</f>
        <v>0</v>
      </c>
      <c r="EV90" s="84">
        <f ca="1">MAX(0, SUMPRODUCT($EN90:$ER90,OFFSET(DNN!$Q$9:$U$9,EV$9,0)) + OFFSET(DNN!$P$9,EV$9,0))</f>
        <v>1.2810123361902579E-3</v>
      </c>
      <c r="EW90" s="84">
        <f ca="1">MAX(0, SUMPRODUCT($EN90:$ER90,OFFSET(DNN!$Q$9:$U$9,EW$9,0)) + OFFSET(DNN!$P$9,EW$9,0))</f>
        <v>7.8382123007882457E-4</v>
      </c>
      <c r="EX90" s="85">
        <f ca="1">MAX(0, SUMPRODUCT($EN90:$ER90,OFFSET(DNN!$Q$9:$U$9,EX$9,0)) + OFFSET(DNN!$P$9,EX$9,0))</f>
        <v>0</v>
      </c>
      <c r="EZ90" s="111">
        <f ca="1">SUMPRODUCT($ET90:$EX90,OFFSET(DNN!$Y$9:$AC$9,EZ$9,0)) + OFFSET(DNN!$X$9,EZ$9,0)</f>
        <v>0.43031618918982212</v>
      </c>
      <c r="FA90" s="97">
        <f ca="1">SUMPRODUCT($ET90:$EX90,OFFSET(DNN!$Y$9:$AC$9,FA$9,0)) + OFFSET(DNN!$X$9,FA$9,0)</f>
        <v>-1.2643439935754107E-5</v>
      </c>
      <c r="FB90" s="97">
        <f ca="1">SUMPRODUCT($ET90:$EX90,OFFSET(DNN!$Y$9:$AC$9,FB$9,0)) + OFFSET(DNN!$X$9,FB$9,0)</f>
        <v>1.5239793458415756E-2</v>
      </c>
      <c r="FC90" s="97">
        <f ca="1">SUMPRODUCT($ET90:$EX90,OFFSET(DNN!$Y$9:$AC$9,FC$9,0)) + OFFSET(DNN!$X$9,FC$9,0)</f>
        <v>-8.8749521084055777E-4</v>
      </c>
      <c r="FD90" s="97">
        <f ca="1">SUMPRODUCT($ET90:$EX90,OFFSET(DNN!$Y$9:$AC$9,FD$9,0)) + OFFSET(DNN!$X$9,FD$9,0)</f>
        <v>-4.235816470721872E-4</v>
      </c>
      <c r="FE90" s="97">
        <f ca="1">SUMPRODUCT($ET90:$EX90,OFFSET(DNN!$Y$9:$AC$9,FE$9,0)) + OFFSET(DNN!$X$9,FE$9,0)</f>
        <v>-1.574182761064886E-5</v>
      </c>
      <c r="FF90" s="97">
        <f ca="1">SUMPRODUCT($ET90:$EX90,OFFSET(DNN!$Y$9:$AC$9,FF$9,0)) + OFFSET(DNN!$X$9,FF$9,0)</f>
        <v>-1.3491460223194656E-3</v>
      </c>
      <c r="FG90" s="97">
        <f ca="1">SUMPRODUCT($ET90:$EX90,OFFSET(DNN!$Y$9:$AC$9,FG$9,0)) + OFFSET(DNN!$X$9,FG$9,0)</f>
        <v>-6.2604808096248285E-2</v>
      </c>
      <c r="FH90" s="97">
        <f ca="1">SUMPRODUCT($ET90:$EX90,OFFSET(DNN!$Y$9:$AC$9,FH$9,0)) + OFFSET(DNN!$X$9,FH$9,0)</f>
        <v>8.6810016937029894E-4</v>
      </c>
      <c r="FI90" s="108">
        <f ca="1">SUMPRODUCT($ET90:$EX90,OFFSET(DNN!$Y$9:$AC$9,FI$9,0)) + OFFSET(DNN!$X$9,FI$9,0)</f>
        <v>-1.3182687612562751</v>
      </c>
      <c r="FJ90" s="98">
        <f ca="1">SUMPRODUCT($ET90:$EX90,OFFSET(DNN!$Y$9:$AC$9,FJ$9,0)) + OFFSET(DNN!$X$9,FJ$9,0)</f>
        <v>-2.2535161745939301E-5</v>
      </c>
      <c r="FL90" s="415">
        <f t="shared" ca="1" si="224"/>
        <v>0.43031618918982212</v>
      </c>
      <c r="FM90" s="130">
        <f t="shared" ca="1" si="225"/>
        <v>1</v>
      </c>
      <c r="FN90" s="131">
        <f t="shared" ca="1" si="226"/>
        <v>0.65029522127322903</v>
      </c>
      <c r="FO90" s="131">
        <f t="shared" ca="1" si="227"/>
        <v>0.66028983545318687</v>
      </c>
      <c r="FP90" s="131">
        <f t="shared" ca="1" si="228"/>
        <v>0.64972655813153501</v>
      </c>
      <c r="FQ90" s="131">
        <f t="shared" ca="1" si="229"/>
        <v>0.65002804502111444</v>
      </c>
      <c r="FR90" s="131">
        <f t="shared" ca="1" si="230"/>
        <v>0.65029320640965171</v>
      </c>
      <c r="FS90" s="131">
        <f t="shared" ca="1" si="231"/>
        <v>0.64942668056342145</v>
      </c>
      <c r="FT90" s="131">
        <f t="shared" ca="1" si="232"/>
        <v>0.61083952513994022</v>
      </c>
      <c r="FU90" s="132">
        <f t="shared" ca="1" si="233"/>
        <v>0.6508682169276182</v>
      </c>
      <c r="FV90" s="131">
        <f t="shared" ca="1" si="234"/>
        <v>0.17402001625314881</v>
      </c>
      <c r="FW90" s="83">
        <f t="shared" ca="1" si="235"/>
        <v>-2.2535161742124597E-5</v>
      </c>
    </row>
    <row r="91" spans="1:179">
      <c r="A91" s="19">
        <f t="shared" si="240"/>
        <v>81</v>
      </c>
      <c r="B91" s="1">
        <f t="shared" ca="1" si="236"/>
        <v>0</v>
      </c>
      <c r="C91" s="20">
        <f t="shared" ca="1" si="237"/>
        <v>81</v>
      </c>
      <c r="D91" s="19" t="str">
        <f t="shared" ca="1" si="238"/>
        <v>〇×〇×〇×--〇</v>
      </c>
      <c r="E91" s="7">
        <f t="shared" ca="1" si="206"/>
        <v>9</v>
      </c>
      <c r="F91" s="7">
        <f t="shared" ca="1" si="207"/>
        <v>1</v>
      </c>
      <c r="G91" s="1" t="str">
        <f t="shared" ca="1" si="139"/>
        <v>〇×〇×〇×--〇</v>
      </c>
      <c r="H91" s="20" t="b">
        <f t="shared" ca="1" si="140"/>
        <v>1</v>
      </c>
      <c r="I91" s="22">
        <f t="shared" ca="1" si="239"/>
        <v>-1</v>
      </c>
      <c r="J91" s="1" t="b">
        <f ca="1">(1&lt;COUNTIF(D$10:D91,D91))</f>
        <v>1</v>
      </c>
      <c r="K91" s="1" t="b">
        <f t="shared" ca="1" si="141"/>
        <v>1</v>
      </c>
      <c r="L91" s="7">
        <f ca="1">MATCH(TRUE,K91:K$1048576,FALSE)-1</f>
        <v>0</v>
      </c>
      <c r="M91" s="24" t="str">
        <f t="shared" ca="1" si="142"/>
        <v>〇×〇×〇×--〇_9</v>
      </c>
      <c r="N91" s="25">
        <f t="shared" ca="1" si="208"/>
        <v>-2.2535161742124597E-5</v>
      </c>
      <c r="O91" s="26">
        <f t="shared" ca="1" si="209"/>
        <v>-1</v>
      </c>
      <c r="P91" s="27">
        <f t="shared" ca="1" si="210"/>
        <v>-1</v>
      </c>
      <c r="R91" s="41" t="str">
        <f ca="1">VLOOKUP(S91,cvt!$B$2:$C$4,2,FALSE)&amp;VLOOKUP(T91,cvt!$B$2:$C$4,2,FALSE)&amp;VLOOKUP(U91,cvt!$B$2:$C$4,2,FALSE)
&amp;VLOOKUP(V91,cvt!$B$2:$C$4,2,FALSE)&amp;VLOOKUP(W91,cvt!$B$2:$C$4,2,FALSE)&amp;VLOOKUP(X91,cvt!$B$2:$C$4,2,FALSE)
&amp;VLOOKUP(Y91,cvt!$B$2:$C$4,2,FALSE)&amp;VLOOKUP(Z91,cvt!$B$2:$C$4,2,FALSE)&amp;VLOOKUP(AA91,cvt!$B$2:$C$4,2,FALSE)</f>
        <v>〇×〇×〇×--〇</v>
      </c>
      <c r="S91" s="7">
        <f ca="1">VLOOKUP(MID($D91,S$9+1,1), cvt!$A$2:$B$4,2, FALSE)</f>
        <v>1</v>
      </c>
      <c r="T91" s="7">
        <f ca="1">VLOOKUP(MID($D91,T$9+1,1), cvt!$A$2:$B$4,2, FALSE)</f>
        <v>-1</v>
      </c>
      <c r="U91" s="7">
        <f ca="1">VLOOKUP(MID($D91,U$9+1,1), cvt!$A$2:$B$4,2, FALSE)</f>
        <v>1</v>
      </c>
      <c r="V91" s="17">
        <f ca="1">VLOOKUP(MID($D91,V$9+1,1), cvt!$A$2:$B$4,2, FALSE)</f>
        <v>-1</v>
      </c>
      <c r="W91" s="7">
        <f ca="1">VLOOKUP(MID($D91,W$9+1,1), cvt!$A$2:$B$4,2, FALSE)</f>
        <v>1</v>
      </c>
      <c r="X91" s="18">
        <f ca="1">VLOOKUP(MID($D91,X$9+1,1), cvt!$A$2:$B$4,2, FALSE)</f>
        <v>-1</v>
      </c>
      <c r="Y91" s="7">
        <f ca="1">VLOOKUP(MID($D91,Y$9+1,1), cvt!$A$2:$B$4,2, FALSE)</f>
        <v>0</v>
      </c>
      <c r="Z91" s="7">
        <f ca="1">VLOOKUP(MID($D91,Z$9+1,1), cvt!$A$2:$B$4,2, FALSE)</f>
        <v>0</v>
      </c>
      <c r="AA91" s="42">
        <f ca="1">VLOOKUP(MID($D91,AA$9+1,1), cvt!$A$2:$B$4,2, FALSE)</f>
        <v>1</v>
      </c>
      <c r="AB91" s="7">
        <f t="shared" ca="1" si="211"/>
        <v>1</v>
      </c>
      <c r="AC91" s="50" t="b">
        <f t="shared" ca="1" si="212"/>
        <v>1</v>
      </c>
      <c r="AE91" s="19" t="str">
        <f ca="1">VLOOKUP(AF91,cvt!$B$2:$C$4,2,FALSE)&amp;VLOOKUP(AG91,cvt!$B$2:$C$4,2,FALSE)&amp;VLOOKUP(AH91,cvt!$B$2:$C$4,2,FALSE)
&amp;VLOOKUP(AI91,cvt!$B$2:$C$4,2,FALSE)&amp;VLOOKUP(AJ91,cvt!$B$2:$C$4,2,FALSE)&amp;VLOOKUP(AK91,cvt!$B$2:$C$4,2,FALSE)
&amp;VLOOKUP(AL91,cvt!$B$2:$C$4,2,FALSE)&amp;VLOOKUP(AM91,cvt!$B$2:$C$4,2,FALSE)&amp;VLOOKUP(AN91,cvt!$B$2:$C$4,2,FALSE)</f>
        <v>〇×〇×〇×--〇</v>
      </c>
      <c r="AF91" s="17">
        <f t="shared" ca="1" si="143"/>
        <v>1</v>
      </c>
      <c r="AG91" s="7">
        <f t="shared" ca="1" si="144"/>
        <v>-1</v>
      </c>
      <c r="AH91" s="7">
        <f t="shared" ca="1" si="145"/>
        <v>1</v>
      </c>
      <c r="AI91" s="17">
        <f t="shared" ca="1" si="146"/>
        <v>-1</v>
      </c>
      <c r="AJ91" s="7">
        <f t="shared" ca="1" si="147"/>
        <v>1</v>
      </c>
      <c r="AK91" s="18">
        <f t="shared" ca="1" si="148"/>
        <v>-1</v>
      </c>
      <c r="AL91" s="7">
        <f t="shared" ca="1" si="149"/>
        <v>0</v>
      </c>
      <c r="AM91" s="7">
        <f t="shared" ca="1" si="150"/>
        <v>0</v>
      </c>
      <c r="AN91" s="18">
        <f t="shared" ca="1" si="151"/>
        <v>1</v>
      </c>
      <c r="AO91" s="7">
        <f t="shared" ca="1" si="213"/>
        <v>1</v>
      </c>
      <c r="AP91" s="50" t="b">
        <f t="shared" ca="1" si="152"/>
        <v>1</v>
      </c>
      <c r="AS91" s="22">
        <f t="shared" ca="1" si="214"/>
        <v>0</v>
      </c>
      <c r="AT91" s="7">
        <f t="shared" ca="1" si="153"/>
        <v>0</v>
      </c>
      <c r="AU91" s="7">
        <f t="shared" ca="1" si="154"/>
        <v>0</v>
      </c>
      <c r="AV91" s="7">
        <f t="shared" ca="1" si="155"/>
        <v>0</v>
      </c>
      <c r="AW91" s="7">
        <f t="shared" ca="1" si="156"/>
        <v>0</v>
      </c>
      <c r="AX91" s="7">
        <f t="shared" ca="1" si="157"/>
        <v>0</v>
      </c>
      <c r="AY91" s="7">
        <f t="shared" ca="1" si="158"/>
        <v>0</v>
      </c>
      <c r="AZ91" s="7">
        <f t="shared" ca="1" si="159"/>
        <v>0</v>
      </c>
      <c r="BA91" s="18">
        <f t="shared" ca="1" si="160"/>
        <v>0</v>
      </c>
      <c r="BB91" s="295">
        <f t="shared" ca="1" si="215"/>
        <v>1</v>
      </c>
      <c r="BD91" s="132"/>
      <c r="BE91" s="297">
        <f t="shared" ca="1" si="216"/>
        <v>1</v>
      </c>
      <c r="BF91" s="298">
        <f t="shared" ca="1" si="161"/>
        <v>0.65029522127322903</v>
      </c>
      <c r="BG91" s="298">
        <f t="shared" ca="1" si="162"/>
        <v>0.66028983545318687</v>
      </c>
      <c r="BH91" s="318">
        <f t="shared" ca="1" si="163"/>
        <v>0.64972655813153501</v>
      </c>
      <c r="BI91" s="298">
        <f t="shared" ca="1" si="164"/>
        <v>0.65002804502111444</v>
      </c>
      <c r="BJ91" s="299">
        <f t="shared" ca="1" si="165"/>
        <v>0.65029320640965171</v>
      </c>
      <c r="BK91" s="298">
        <f t="shared" ca="1" si="166"/>
        <v>0.64942668056342145</v>
      </c>
      <c r="BL91" s="298">
        <f t="shared" ca="1" si="167"/>
        <v>0.61083952513994022</v>
      </c>
      <c r="BM91" s="299">
        <f t="shared" ca="1" si="168"/>
        <v>0.6508682169276182</v>
      </c>
      <c r="BN91" s="295">
        <f t="shared" ca="1" si="169"/>
        <v>0.17402001625314881</v>
      </c>
      <c r="BO91" s="248">
        <f t="shared" ca="1" si="217"/>
        <v>-2.2535161742124597E-5</v>
      </c>
      <c r="BQ91" s="304">
        <f t="shared" ca="1" si="218"/>
        <v>0.1741200162531488</v>
      </c>
      <c r="BR91" s="297">
        <f t="shared" ca="1" si="219"/>
        <v>0</v>
      </c>
      <c r="BS91" s="298">
        <f t="shared" ca="1" si="170"/>
        <v>0</v>
      </c>
      <c r="BT91" s="298">
        <f t="shared" ca="1" si="171"/>
        <v>0</v>
      </c>
      <c r="BU91" s="318">
        <f t="shared" ca="1" si="172"/>
        <v>0</v>
      </c>
      <c r="BV91" s="298">
        <f t="shared" ca="1" si="173"/>
        <v>0</v>
      </c>
      <c r="BW91" s="299">
        <f t="shared" ca="1" si="174"/>
        <v>0</v>
      </c>
      <c r="BX91" s="298">
        <f t="shared" ca="1" si="175"/>
        <v>0</v>
      </c>
      <c r="BY91" s="298">
        <f t="shared" ca="1" si="176"/>
        <v>0</v>
      </c>
      <c r="BZ91" s="298">
        <f t="shared" ca="1" si="177"/>
        <v>0</v>
      </c>
      <c r="CA91" s="315">
        <f t="shared" ca="1" si="178"/>
        <v>0.1741200162531488</v>
      </c>
      <c r="CC91" s="52"/>
      <c r="CD91" s="306">
        <f t="shared" ca="1" si="220"/>
        <v>0</v>
      </c>
      <c r="CE91" s="15">
        <f t="shared" ca="1" si="179"/>
        <v>0</v>
      </c>
      <c r="CF91" s="15">
        <f t="shared" ca="1" si="180"/>
        <v>0</v>
      </c>
      <c r="CG91" s="286">
        <f t="shared" ca="1" si="181"/>
        <v>0</v>
      </c>
      <c r="CH91" s="15">
        <f t="shared" ca="1" si="182"/>
        <v>0</v>
      </c>
      <c r="CI91" s="288">
        <f t="shared" ca="1" si="183"/>
        <v>0</v>
      </c>
      <c r="CJ91" s="15">
        <f t="shared" ca="1" si="184"/>
        <v>0</v>
      </c>
      <c r="CK91" s="15">
        <f t="shared" ca="1" si="185"/>
        <v>0</v>
      </c>
      <c r="CL91" s="15">
        <f t="shared" ca="1" si="186"/>
        <v>0</v>
      </c>
      <c r="CM91" s="313">
        <f t="shared" ca="1" si="187"/>
        <v>1</v>
      </c>
      <c r="CO91" s="320">
        <f t="shared" ca="1" si="221"/>
        <v>80</v>
      </c>
      <c r="CP91" s="22">
        <f ca="1">COUNTIFS($C$10:$C90,"&lt;"&amp;$C91,$M$10:$M90,$D91&amp;"_"&amp;CP$9)</f>
        <v>0</v>
      </c>
      <c r="CQ91" s="7">
        <f ca="1">COUNTIFS($C$10:$C90,"&lt;"&amp;$C91,$M$10:$M90,$D91&amp;"_"&amp;CQ$9)</f>
        <v>0</v>
      </c>
      <c r="CR91" s="7">
        <f ca="1">COUNTIFS($C$10:$C90,"&lt;"&amp;$C91,$M$10:$M90,$D91&amp;"_"&amp;CR$9)</f>
        <v>0</v>
      </c>
      <c r="CS91" s="17">
        <f ca="1">COUNTIFS($C$10:$C90,"&lt;"&amp;$C91,$M$10:$M90,$D91&amp;"_"&amp;CS$9)</f>
        <v>0</v>
      </c>
      <c r="CT91" s="7">
        <f ca="1">COUNTIFS($C$10:$C90,"&lt;"&amp;$C91,$M$10:$M90,$D91&amp;"_"&amp;CT$9)</f>
        <v>0</v>
      </c>
      <c r="CU91" s="18">
        <f ca="1">COUNTIFS($C$10:$C90,"&lt;"&amp;$C91,$M$10:$M90,$D91&amp;"_"&amp;CU$9)</f>
        <v>0</v>
      </c>
      <c r="CV91" s="7">
        <f ca="1">COUNTIFS($C$10:$C90,"&lt;"&amp;$C91,$M$10:$M90,$D91&amp;"_"&amp;CV$9)</f>
        <v>0</v>
      </c>
      <c r="CW91" s="7">
        <f ca="1">COUNTIFS($C$10:$C90,"&lt;"&amp;$C91,$M$10:$M90,$D91&amp;"_"&amp;CW$9)</f>
        <v>0</v>
      </c>
      <c r="CX91" s="7">
        <f ca="1">COUNTIFS($C$10:$C90,"&lt;"&amp;$C91,$M$10:$M90,$D91&amp;"_"&amp;CX$9)</f>
        <v>0</v>
      </c>
      <c r="CY91" s="221">
        <f ca="1">COUNTIFS($C$10:$C90,"&lt;"&amp;$C91,$M$10:$M90,$D91&amp;"_"&amp;CY$9)</f>
        <v>80</v>
      </c>
      <c r="DA91" s="20"/>
      <c r="DB91" s="308">
        <f ca="1">IF(CP91=0,0,SUMIFS($P$10:$P90, $C$10:$C90,"&lt;"&amp;$C91, $M$10:$M90,$D91&amp;"_"&amp;DB$9)/CP91)</f>
        <v>0</v>
      </c>
      <c r="DC91" s="263">
        <f ca="1">IF(CQ91=0,0,SUMIFS($P$10:$P90, $C$10:$C90,"&lt;"&amp;$C91, $M$10:$M90,$D91&amp;"_"&amp;DC$9)/CQ91)</f>
        <v>0</v>
      </c>
      <c r="DD91" s="263">
        <f ca="1">IF(CR91=0,0,SUMIFS($P$10:$P90, $C$10:$C90,"&lt;"&amp;$C91, $M$10:$M90,$D91&amp;"_"&amp;DD$9)/CR91)</f>
        <v>0</v>
      </c>
      <c r="DE91" s="262">
        <f ca="1">IF(CS91=0,0,SUMIFS($P$10:$P90, $C$10:$C90,"&lt;"&amp;$C91, $M$10:$M90,$D91&amp;"_"&amp;DE$9)/CS91)</f>
        <v>0</v>
      </c>
      <c r="DF91" s="263">
        <f ca="1">IF(CT91=0,0,SUMIFS($P$10:$P90, $C$10:$C90,"&lt;"&amp;$C91, $M$10:$M90,$D91&amp;"_"&amp;DF$9)/CT91)</f>
        <v>0</v>
      </c>
      <c r="DG91" s="310">
        <f ca="1">IF(CU91=0,0,SUMIFS($P$10:$P90, $C$10:$C90,"&lt;"&amp;$C91, $M$10:$M90,$D91&amp;"_"&amp;DG$9)/CU91)</f>
        <v>0</v>
      </c>
      <c r="DH91" s="263">
        <f ca="1">IF(CV91=0,0,SUMIFS($P$10:$P90, $C$10:$C90,"&lt;"&amp;$C91, $M$10:$M90,$D91&amp;"_"&amp;DH$9)/CV91)</f>
        <v>0</v>
      </c>
      <c r="DI91" s="263">
        <f ca="1">IF(CW91=0,0,SUMIFS($P$10:$P90, $C$10:$C90,"&lt;"&amp;$C91, $M$10:$M90,$D91&amp;"_"&amp;DI$9)/CW91)</f>
        <v>0</v>
      </c>
      <c r="DJ91" s="264">
        <f ca="1">IF(CX91=0,0,SUMIFS($P$10:$P90, $C$10:$C90,"&lt;"&amp;$C91, $M$10:$M90,$D91&amp;"_"&amp;DJ$9)/CX91)</f>
        <v>0</v>
      </c>
      <c r="DK91" s="264">
        <f ca="1">IF(CY91=0,0,SUMIFS($P$10:$P90, $C$10:$C90,"&lt;"&amp;$C91, $M$10:$M90,$D91&amp;"_"&amp;DK$9)/CY91)</f>
        <v>-1</v>
      </c>
      <c r="DM91" s="104"/>
      <c r="DN91" s="306">
        <f t="shared" ca="1" si="222"/>
        <v>-9999</v>
      </c>
      <c r="DO91" s="15">
        <f t="shared" ca="1" si="188"/>
        <v>-9999</v>
      </c>
      <c r="DP91" s="15">
        <f t="shared" ca="1" si="189"/>
        <v>-9999</v>
      </c>
      <c r="DQ91" s="15">
        <f t="shared" ca="1" si="190"/>
        <v>-9999</v>
      </c>
      <c r="DR91" s="15">
        <f t="shared" ca="1" si="191"/>
        <v>-9999</v>
      </c>
      <c r="DS91" s="15">
        <f t="shared" ca="1" si="192"/>
        <v>-9999</v>
      </c>
      <c r="DT91" s="15">
        <f t="shared" ca="1" si="193"/>
        <v>-9999</v>
      </c>
      <c r="DU91" s="15">
        <f t="shared" ca="1" si="194"/>
        <v>-9999</v>
      </c>
      <c r="DV91" s="52">
        <f t="shared" ca="1" si="195"/>
        <v>-9999</v>
      </c>
      <c r="DW91" s="313">
        <f t="shared" ca="1" si="196"/>
        <v>-0.88957689000001039</v>
      </c>
      <c r="DX91" s="52"/>
      <c r="DY91" s="402">
        <f t="shared" ca="1" si="223"/>
        <v>9</v>
      </c>
      <c r="ED91" s="19">
        <f t="shared" ca="1" si="197"/>
        <v>-1</v>
      </c>
      <c r="EE91" s="1">
        <f t="shared" ca="1" si="198"/>
        <v>1</v>
      </c>
      <c r="EF91" s="1">
        <f t="shared" ca="1" si="199"/>
        <v>-1</v>
      </c>
      <c r="EG91" s="2">
        <f t="shared" ca="1" si="200"/>
        <v>1</v>
      </c>
      <c r="EH91" s="1">
        <f t="shared" ca="1" si="201"/>
        <v>-1</v>
      </c>
      <c r="EI91" s="3">
        <f t="shared" ca="1" si="202"/>
        <v>1</v>
      </c>
      <c r="EJ91" s="1">
        <f t="shared" ca="1" si="203"/>
        <v>0</v>
      </c>
      <c r="EK91" s="1">
        <f t="shared" ca="1" si="204"/>
        <v>0</v>
      </c>
      <c r="EL91" s="20">
        <f t="shared" ca="1" si="205"/>
        <v>-1</v>
      </c>
      <c r="EN91" s="86">
        <f ca="1">MAX(0, SUMPRODUCT($ED91:$EL91,OFFSET(DNN!$E$9:$M$9,EN$9,0)) + OFFSET(DNN!$D$9,EN$9,0))</f>
        <v>0</v>
      </c>
      <c r="EO91" s="84">
        <f ca="1">MAX(0, SUMPRODUCT($ED91:$EL91,OFFSET(DNN!$E$9:$M$9,EO$9,0)) + OFFSET(DNN!$D$9,EO$9,0))</f>
        <v>7.2346022384755949E-3</v>
      </c>
      <c r="EP91" s="84">
        <f ca="1">MAX(0, SUMPRODUCT($ED91:$EL91,OFFSET(DNN!$E$9:$M$9,EP$9,0)) + OFFSET(DNN!$D$9,EP$9,0))</f>
        <v>3.6951849750035152E-3</v>
      </c>
      <c r="EQ91" s="84">
        <f ca="1">MAX(0, SUMPRODUCT($ED91:$EL91,OFFSET(DNN!$E$9:$M$9,EQ$9,0)) + OFFSET(DNN!$D$9,EQ$9,0))</f>
        <v>0</v>
      </c>
      <c r="ER91" s="85">
        <f ca="1">MAX(0, SUMPRODUCT($ED91:$EL91,OFFSET(DNN!$E$9:$M$9,ER$9,0)) + OFFSET(DNN!$D$9,ER$9,0))</f>
        <v>0</v>
      </c>
      <c r="ET91" s="86">
        <f ca="1">MAX(0, SUMPRODUCT($EN91:$ER91,OFFSET(DNN!$Q$9:$U$9,ET$9,0)) + OFFSET(DNN!$P$9,ET$9,0))</f>
        <v>4.3954959453478351E-4</v>
      </c>
      <c r="EU91" s="84">
        <f ca="1">MAX(0, SUMPRODUCT($EN91:$ER91,OFFSET(DNN!$Q$9:$U$9,EU$9,0)) + OFFSET(DNN!$P$9,EU$9,0))</f>
        <v>0</v>
      </c>
      <c r="EV91" s="84">
        <f ca="1">MAX(0, SUMPRODUCT($EN91:$ER91,OFFSET(DNN!$Q$9:$U$9,EV$9,0)) + OFFSET(DNN!$P$9,EV$9,0))</f>
        <v>1.2810123361902579E-3</v>
      </c>
      <c r="EW91" s="84">
        <f ca="1">MAX(0, SUMPRODUCT($EN91:$ER91,OFFSET(DNN!$Q$9:$U$9,EW$9,0)) + OFFSET(DNN!$P$9,EW$9,0))</f>
        <v>7.8382123007882457E-4</v>
      </c>
      <c r="EX91" s="85">
        <f ca="1">MAX(0, SUMPRODUCT($EN91:$ER91,OFFSET(DNN!$Q$9:$U$9,EX$9,0)) + OFFSET(DNN!$P$9,EX$9,0))</f>
        <v>0</v>
      </c>
      <c r="EZ91" s="111">
        <f ca="1">SUMPRODUCT($ET91:$EX91,OFFSET(DNN!$Y$9:$AC$9,EZ$9,0)) + OFFSET(DNN!$X$9,EZ$9,0)</f>
        <v>0.43031618918982212</v>
      </c>
      <c r="FA91" s="97">
        <f ca="1">SUMPRODUCT($ET91:$EX91,OFFSET(DNN!$Y$9:$AC$9,FA$9,0)) + OFFSET(DNN!$X$9,FA$9,0)</f>
        <v>-1.2643439935754107E-5</v>
      </c>
      <c r="FB91" s="97">
        <f ca="1">SUMPRODUCT($ET91:$EX91,OFFSET(DNN!$Y$9:$AC$9,FB$9,0)) + OFFSET(DNN!$X$9,FB$9,0)</f>
        <v>1.5239793458415756E-2</v>
      </c>
      <c r="FC91" s="97">
        <f ca="1">SUMPRODUCT($ET91:$EX91,OFFSET(DNN!$Y$9:$AC$9,FC$9,0)) + OFFSET(DNN!$X$9,FC$9,0)</f>
        <v>-8.8749521084055777E-4</v>
      </c>
      <c r="FD91" s="97">
        <f ca="1">SUMPRODUCT($ET91:$EX91,OFFSET(DNN!$Y$9:$AC$9,FD$9,0)) + OFFSET(DNN!$X$9,FD$9,0)</f>
        <v>-4.235816470721872E-4</v>
      </c>
      <c r="FE91" s="97">
        <f ca="1">SUMPRODUCT($ET91:$EX91,OFFSET(DNN!$Y$9:$AC$9,FE$9,0)) + OFFSET(DNN!$X$9,FE$9,0)</f>
        <v>-1.574182761064886E-5</v>
      </c>
      <c r="FF91" s="97">
        <f ca="1">SUMPRODUCT($ET91:$EX91,OFFSET(DNN!$Y$9:$AC$9,FF$9,0)) + OFFSET(DNN!$X$9,FF$9,0)</f>
        <v>-1.3491460223194656E-3</v>
      </c>
      <c r="FG91" s="97">
        <f ca="1">SUMPRODUCT($ET91:$EX91,OFFSET(DNN!$Y$9:$AC$9,FG$9,0)) + OFFSET(DNN!$X$9,FG$9,0)</f>
        <v>-6.2604808096248285E-2</v>
      </c>
      <c r="FH91" s="97">
        <f ca="1">SUMPRODUCT($ET91:$EX91,OFFSET(DNN!$Y$9:$AC$9,FH$9,0)) + OFFSET(DNN!$X$9,FH$9,0)</f>
        <v>8.6810016937029894E-4</v>
      </c>
      <c r="FI91" s="108">
        <f ca="1">SUMPRODUCT($ET91:$EX91,OFFSET(DNN!$Y$9:$AC$9,FI$9,0)) + OFFSET(DNN!$X$9,FI$9,0)</f>
        <v>-1.3182687612562751</v>
      </c>
      <c r="FJ91" s="98">
        <f ca="1">SUMPRODUCT($ET91:$EX91,OFFSET(DNN!$Y$9:$AC$9,FJ$9,0)) + OFFSET(DNN!$X$9,FJ$9,0)</f>
        <v>-2.2535161745939301E-5</v>
      </c>
      <c r="FL91" s="415">
        <f t="shared" ca="1" si="224"/>
        <v>0.43031618918982212</v>
      </c>
      <c r="FM91" s="130">
        <f t="shared" ca="1" si="225"/>
        <v>1</v>
      </c>
      <c r="FN91" s="131">
        <f t="shared" ca="1" si="226"/>
        <v>0.65029522127322903</v>
      </c>
      <c r="FO91" s="131">
        <f t="shared" ca="1" si="227"/>
        <v>0.66028983545318687</v>
      </c>
      <c r="FP91" s="131">
        <f t="shared" ca="1" si="228"/>
        <v>0.64972655813153501</v>
      </c>
      <c r="FQ91" s="131">
        <f t="shared" ca="1" si="229"/>
        <v>0.65002804502111444</v>
      </c>
      <c r="FR91" s="131">
        <f t="shared" ca="1" si="230"/>
        <v>0.65029320640965171</v>
      </c>
      <c r="FS91" s="131">
        <f t="shared" ca="1" si="231"/>
        <v>0.64942668056342145</v>
      </c>
      <c r="FT91" s="131">
        <f t="shared" ca="1" si="232"/>
        <v>0.61083952513994022</v>
      </c>
      <c r="FU91" s="132">
        <f t="shared" ca="1" si="233"/>
        <v>0.6508682169276182</v>
      </c>
      <c r="FV91" s="131">
        <f t="shared" ca="1" si="234"/>
        <v>0.17402001625314881</v>
      </c>
      <c r="FW91" s="83">
        <f t="shared" ca="1" si="235"/>
        <v>-2.2535161742124597E-5</v>
      </c>
    </row>
    <row r="92" spans="1:179">
      <c r="A92" s="19">
        <f t="shared" si="240"/>
        <v>82</v>
      </c>
      <c r="B92" s="1">
        <f t="shared" ca="1" si="236"/>
        <v>0</v>
      </c>
      <c r="C92" s="20">
        <f t="shared" ca="1" si="237"/>
        <v>82</v>
      </c>
      <c r="D92" s="19" t="str">
        <f t="shared" ca="1" si="238"/>
        <v>〇×〇×〇×--〇</v>
      </c>
      <c r="E92" s="7">
        <f t="shared" ca="1" si="206"/>
        <v>9</v>
      </c>
      <c r="F92" s="7">
        <f t="shared" ca="1" si="207"/>
        <v>1</v>
      </c>
      <c r="G92" s="1" t="str">
        <f t="shared" ca="1" si="139"/>
        <v>〇×〇×〇×--〇</v>
      </c>
      <c r="H92" s="20" t="b">
        <f t="shared" ca="1" si="140"/>
        <v>1</v>
      </c>
      <c r="I92" s="22">
        <f t="shared" ca="1" si="239"/>
        <v>-1</v>
      </c>
      <c r="J92" s="1" t="b">
        <f ca="1">(1&lt;COUNTIF(D$10:D92,D92))</f>
        <v>1</v>
      </c>
      <c r="K92" s="1" t="b">
        <f t="shared" ca="1" si="141"/>
        <v>1</v>
      </c>
      <c r="L92" s="7">
        <f ca="1">MATCH(TRUE,K92:K$1048576,FALSE)-1</f>
        <v>0</v>
      </c>
      <c r="M92" s="24" t="str">
        <f t="shared" ca="1" si="142"/>
        <v>〇×〇×〇×--〇_9</v>
      </c>
      <c r="N92" s="25">
        <f t="shared" ca="1" si="208"/>
        <v>-2.2535161742124597E-5</v>
      </c>
      <c r="O92" s="26">
        <f t="shared" ca="1" si="209"/>
        <v>-1</v>
      </c>
      <c r="P92" s="27">
        <f t="shared" ca="1" si="210"/>
        <v>-1</v>
      </c>
      <c r="R92" s="41" t="str">
        <f ca="1">VLOOKUP(S92,cvt!$B$2:$C$4,2,FALSE)&amp;VLOOKUP(T92,cvt!$B$2:$C$4,2,FALSE)&amp;VLOOKUP(U92,cvt!$B$2:$C$4,2,FALSE)
&amp;VLOOKUP(V92,cvt!$B$2:$C$4,2,FALSE)&amp;VLOOKUP(W92,cvt!$B$2:$C$4,2,FALSE)&amp;VLOOKUP(X92,cvt!$B$2:$C$4,2,FALSE)
&amp;VLOOKUP(Y92,cvt!$B$2:$C$4,2,FALSE)&amp;VLOOKUP(Z92,cvt!$B$2:$C$4,2,FALSE)&amp;VLOOKUP(AA92,cvt!$B$2:$C$4,2,FALSE)</f>
        <v>〇×〇×〇×--〇</v>
      </c>
      <c r="S92" s="7">
        <f ca="1">VLOOKUP(MID($D92,S$9+1,1), cvt!$A$2:$B$4,2, FALSE)</f>
        <v>1</v>
      </c>
      <c r="T92" s="7">
        <f ca="1">VLOOKUP(MID($D92,T$9+1,1), cvt!$A$2:$B$4,2, FALSE)</f>
        <v>-1</v>
      </c>
      <c r="U92" s="7">
        <f ca="1">VLOOKUP(MID($D92,U$9+1,1), cvt!$A$2:$B$4,2, FALSE)</f>
        <v>1</v>
      </c>
      <c r="V92" s="17">
        <f ca="1">VLOOKUP(MID($D92,V$9+1,1), cvt!$A$2:$B$4,2, FALSE)</f>
        <v>-1</v>
      </c>
      <c r="W92" s="7">
        <f ca="1">VLOOKUP(MID($D92,W$9+1,1), cvt!$A$2:$B$4,2, FALSE)</f>
        <v>1</v>
      </c>
      <c r="X92" s="18">
        <f ca="1">VLOOKUP(MID($D92,X$9+1,1), cvt!$A$2:$B$4,2, FALSE)</f>
        <v>-1</v>
      </c>
      <c r="Y92" s="7">
        <f ca="1">VLOOKUP(MID($D92,Y$9+1,1), cvt!$A$2:$B$4,2, FALSE)</f>
        <v>0</v>
      </c>
      <c r="Z92" s="7">
        <f ca="1">VLOOKUP(MID($D92,Z$9+1,1), cvt!$A$2:$B$4,2, FALSE)</f>
        <v>0</v>
      </c>
      <c r="AA92" s="42">
        <f ca="1">VLOOKUP(MID($D92,AA$9+1,1), cvt!$A$2:$B$4,2, FALSE)</f>
        <v>1</v>
      </c>
      <c r="AB92" s="7">
        <f t="shared" ca="1" si="211"/>
        <v>1</v>
      </c>
      <c r="AC92" s="50" t="b">
        <f t="shared" ca="1" si="212"/>
        <v>1</v>
      </c>
      <c r="AE92" s="19" t="str">
        <f ca="1">VLOOKUP(AF92,cvt!$B$2:$C$4,2,FALSE)&amp;VLOOKUP(AG92,cvt!$B$2:$C$4,2,FALSE)&amp;VLOOKUP(AH92,cvt!$B$2:$C$4,2,FALSE)
&amp;VLOOKUP(AI92,cvt!$B$2:$C$4,2,FALSE)&amp;VLOOKUP(AJ92,cvt!$B$2:$C$4,2,FALSE)&amp;VLOOKUP(AK92,cvt!$B$2:$C$4,2,FALSE)
&amp;VLOOKUP(AL92,cvt!$B$2:$C$4,2,FALSE)&amp;VLOOKUP(AM92,cvt!$B$2:$C$4,2,FALSE)&amp;VLOOKUP(AN92,cvt!$B$2:$C$4,2,FALSE)</f>
        <v>〇×〇×〇×--〇</v>
      </c>
      <c r="AF92" s="17">
        <f t="shared" ca="1" si="143"/>
        <v>1</v>
      </c>
      <c r="AG92" s="7">
        <f t="shared" ca="1" si="144"/>
        <v>-1</v>
      </c>
      <c r="AH92" s="7">
        <f t="shared" ca="1" si="145"/>
        <v>1</v>
      </c>
      <c r="AI92" s="17">
        <f t="shared" ca="1" si="146"/>
        <v>-1</v>
      </c>
      <c r="AJ92" s="7">
        <f t="shared" ca="1" si="147"/>
        <v>1</v>
      </c>
      <c r="AK92" s="18">
        <f t="shared" ca="1" si="148"/>
        <v>-1</v>
      </c>
      <c r="AL92" s="7">
        <f t="shared" ca="1" si="149"/>
        <v>0</v>
      </c>
      <c r="AM92" s="7">
        <f t="shared" ca="1" si="150"/>
        <v>0</v>
      </c>
      <c r="AN92" s="18">
        <f t="shared" ca="1" si="151"/>
        <v>1</v>
      </c>
      <c r="AO92" s="7">
        <f t="shared" ca="1" si="213"/>
        <v>1</v>
      </c>
      <c r="AP92" s="50" t="b">
        <f t="shared" ca="1" si="152"/>
        <v>1</v>
      </c>
      <c r="AS92" s="22">
        <f t="shared" ca="1" si="214"/>
        <v>0</v>
      </c>
      <c r="AT92" s="7">
        <f t="shared" ca="1" si="153"/>
        <v>0</v>
      </c>
      <c r="AU92" s="7">
        <f t="shared" ca="1" si="154"/>
        <v>0</v>
      </c>
      <c r="AV92" s="7">
        <f t="shared" ca="1" si="155"/>
        <v>0</v>
      </c>
      <c r="AW92" s="7">
        <f t="shared" ca="1" si="156"/>
        <v>0</v>
      </c>
      <c r="AX92" s="7">
        <f t="shared" ca="1" si="157"/>
        <v>0</v>
      </c>
      <c r="AY92" s="7">
        <f t="shared" ca="1" si="158"/>
        <v>0</v>
      </c>
      <c r="AZ92" s="7">
        <f t="shared" ca="1" si="159"/>
        <v>0</v>
      </c>
      <c r="BA92" s="18">
        <f t="shared" ca="1" si="160"/>
        <v>0</v>
      </c>
      <c r="BB92" s="295">
        <f t="shared" ca="1" si="215"/>
        <v>1</v>
      </c>
      <c r="BD92" s="132"/>
      <c r="BE92" s="297">
        <f t="shared" ca="1" si="216"/>
        <v>1</v>
      </c>
      <c r="BF92" s="298">
        <f t="shared" ca="1" si="161"/>
        <v>0.65029522127322903</v>
      </c>
      <c r="BG92" s="298">
        <f t="shared" ca="1" si="162"/>
        <v>0.66028983545318687</v>
      </c>
      <c r="BH92" s="318">
        <f t="shared" ca="1" si="163"/>
        <v>0.64972655813153501</v>
      </c>
      <c r="BI92" s="298">
        <f t="shared" ca="1" si="164"/>
        <v>0.65002804502111444</v>
      </c>
      <c r="BJ92" s="299">
        <f t="shared" ca="1" si="165"/>
        <v>0.65029320640965171</v>
      </c>
      <c r="BK92" s="298">
        <f t="shared" ca="1" si="166"/>
        <v>0.64942668056342145</v>
      </c>
      <c r="BL92" s="298">
        <f t="shared" ca="1" si="167"/>
        <v>0.61083952513994022</v>
      </c>
      <c r="BM92" s="299">
        <f t="shared" ca="1" si="168"/>
        <v>0.6508682169276182</v>
      </c>
      <c r="BN92" s="295">
        <f t="shared" ca="1" si="169"/>
        <v>0.17402001625314881</v>
      </c>
      <c r="BO92" s="248">
        <f t="shared" ca="1" si="217"/>
        <v>-2.2535161742124597E-5</v>
      </c>
      <c r="BQ92" s="304">
        <f t="shared" ca="1" si="218"/>
        <v>0.1741200162531488</v>
      </c>
      <c r="BR92" s="297">
        <f t="shared" ca="1" si="219"/>
        <v>0</v>
      </c>
      <c r="BS92" s="298">
        <f t="shared" ca="1" si="170"/>
        <v>0</v>
      </c>
      <c r="BT92" s="298">
        <f t="shared" ca="1" si="171"/>
        <v>0</v>
      </c>
      <c r="BU92" s="318">
        <f t="shared" ca="1" si="172"/>
        <v>0</v>
      </c>
      <c r="BV92" s="298">
        <f t="shared" ca="1" si="173"/>
        <v>0</v>
      </c>
      <c r="BW92" s="299">
        <f t="shared" ca="1" si="174"/>
        <v>0</v>
      </c>
      <c r="BX92" s="298">
        <f t="shared" ca="1" si="175"/>
        <v>0</v>
      </c>
      <c r="BY92" s="298">
        <f t="shared" ca="1" si="176"/>
        <v>0</v>
      </c>
      <c r="BZ92" s="298">
        <f t="shared" ca="1" si="177"/>
        <v>0</v>
      </c>
      <c r="CA92" s="315">
        <f t="shared" ca="1" si="178"/>
        <v>0.1741200162531488</v>
      </c>
      <c r="CC92" s="52"/>
      <c r="CD92" s="306">
        <f t="shared" ca="1" si="220"/>
        <v>0</v>
      </c>
      <c r="CE92" s="15">
        <f t="shared" ca="1" si="179"/>
        <v>0</v>
      </c>
      <c r="CF92" s="15">
        <f t="shared" ca="1" si="180"/>
        <v>0</v>
      </c>
      <c r="CG92" s="286">
        <f t="shared" ca="1" si="181"/>
        <v>0</v>
      </c>
      <c r="CH92" s="15">
        <f t="shared" ca="1" si="182"/>
        <v>0</v>
      </c>
      <c r="CI92" s="288">
        <f t="shared" ca="1" si="183"/>
        <v>0</v>
      </c>
      <c r="CJ92" s="15">
        <f t="shared" ca="1" si="184"/>
        <v>0</v>
      </c>
      <c r="CK92" s="15">
        <f t="shared" ca="1" si="185"/>
        <v>0</v>
      </c>
      <c r="CL92" s="15">
        <f t="shared" ca="1" si="186"/>
        <v>0</v>
      </c>
      <c r="CM92" s="313">
        <f t="shared" ca="1" si="187"/>
        <v>1</v>
      </c>
      <c r="CO92" s="320">
        <f t="shared" ca="1" si="221"/>
        <v>81</v>
      </c>
      <c r="CP92" s="22">
        <f ca="1">COUNTIFS($C$10:$C91,"&lt;"&amp;$C92,$M$10:$M91,$D92&amp;"_"&amp;CP$9)</f>
        <v>0</v>
      </c>
      <c r="CQ92" s="7">
        <f ca="1">COUNTIFS($C$10:$C91,"&lt;"&amp;$C92,$M$10:$M91,$D92&amp;"_"&amp;CQ$9)</f>
        <v>0</v>
      </c>
      <c r="CR92" s="7">
        <f ca="1">COUNTIFS($C$10:$C91,"&lt;"&amp;$C92,$M$10:$M91,$D92&amp;"_"&amp;CR$9)</f>
        <v>0</v>
      </c>
      <c r="CS92" s="17">
        <f ca="1">COUNTIFS($C$10:$C91,"&lt;"&amp;$C92,$M$10:$M91,$D92&amp;"_"&amp;CS$9)</f>
        <v>0</v>
      </c>
      <c r="CT92" s="7">
        <f ca="1">COUNTIFS($C$10:$C91,"&lt;"&amp;$C92,$M$10:$M91,$D92&amp;"_"&amp;CT$9)</f>
        <v>0</v>
      </c>
      <c r="CU92" s="18">
        <f ca="1">COUNTIFS($C$10:$C91,"&lt;"&amp;$C92,$M$10:$M91,$D92&amp;"_"&amp;CU$9)</f>
        <v>0</v>
      </c>
      <c r="CV92" s="7">
        <f ca="1">COUNTIFS($C$10:$C91,"&lt;"&amp;$C92,$M$10:$M91,$D92&amp;"_"&amp;CV$9)</f>
        <v>0</v>
      </c>
      <c r="CW92" s="7">
        <f ca="1">COUNTIFS($C$10:$C91,"&lt;"&amp;$C92,$M$10:$M91,$D92&amp;"_"&amp;CW$9)</f>
        <v>0</v>
      </c>
      <c r="CX92" s="7">
        <f ca="1">COUNTIFS($C$10:$C91,"&lt;"&amp;$C92,$M$10:$M91,$D92&amp;"_"&amp;CX$9)</f>
        <v>0</v>
      </c>
      <c r="CY92" s="221">
        <f ca="1">COUNTIFS($C$10:$C91,"&lt;"&amp;$C92,$M$10:$M91,$D92&amp;"_"&amp;CY$9)</f>
        <v>81</v>
      </c>
      <c r="DA92" s="20"/>
      <c r="DB92" s="308">
        <f ca="1">IF(CP92=0,0,SUMIFS($P$10:$P91, $C$10:$C91,"&lt;"&amp;$C92, $M$10:$M91,$D92&amp;"_"&amp;DB$9)/CP92)</f>
        <v>0</v>
      </c>
      <c r="DC92" s="263">
        <f ca="1">IF(CQ92=0,0,SUMIFS($P$10:$P91, $C$10:$C91,"&lt;"&amp;$C92, $M$10:$M91,$D92&amp;"_"&amp;DC$9)/CQ92)</f>
        <v>0</v>
      </c>
      <c r="DD92" s="263">
        <f ca="1">IF(CR92=0,0,SUMIFS($P$10:$P91, $C$10:$C91,"&lt;"&amp;$C92, $M$10:$M91,$D92&amp;"_"&amp;DD$9)/CR92)</f>
        <v>0</v>
      </c>
      <c r="DE92" s="262">
        <f ca="1">IF(CS92=0,0,SUMIFS($P$10:$P91, $C$10:$C91,"&lt;"&amp;$C92, $M$10:$M91,$D92&amp;"_"&amp;DE$9)/CS92)</f>
        <v>0</v>
      </c>
      <c r="DF92" s="263">
        <f ca="1">IF(CT92=0,0,SUMIFS($P$10:$P91, $C$10:$C91,"&lt;"&amp;$C92, $M$10:$M91,$D92&amp;"_"&amp;DF$9)/CT92)</f>
        <v>0</v>
      </c>
      <c r="DG92" s="310">
        <f ca="1">IF(CU92=0,0,SUMIFS($P$10:$P91, $C$10:$C91,"&lt;"&amp;$C92, $M$10:$M91,$D92&amp;"_"&amp;DG$9)/CU92)</f>
        <v>0</v>
      </c>
      <c r="DH92" s="263">
        <f ca="1">IF(CV92=0,0,SUMIFS($P$10:$P91, $C$10:$C91,"&lt;"&amp;$C92, $M$10:$M91,$D92&amp;"_"&amp;DH$9)/CV92)</f>
        <v>0</v>
      </c>
      <c r="DI92" s="263">
        <f ca="1">IF(CW92=0,0,SUMIFS($P$10:$P91, $C$10:$C91,"&lt;"&amp;$C92, $M$10:$M91,$D92&amp;"_"&amp;DI$9)/CW92)</f>
        <v>0</v>
      </c>
      <c r="DJ92" s="264">
        <f ca="1">IF(CX92=0,0,SUMIFS($P$10:$P91, $C$10:$C91,"&lt;"&amp;$C92, $M$10:$M91,$D92&amp;"_"&amp;DJ$9)/CX92)</f>
        <v>0</v>
      </c>
      <c r="DK92" s="264">
        <f ca="1">IF(CY92=0,0,SUMIFS($P$10:$P91, $C$10:$C91,"&lt;"&amp;$C92, $M$10:$M91,$D92&amp;"_"&amp;DK$9)/CY92)</f>
        <v>-1</v>
      </c>
      <c r="DM92" s="104"/>
      <c r="DN92" s="306">
        <f t="shared" ca="1" si="222"/>
        <v>-9999</v>
      </c>
      <c r="DO92" s="15">
        <f t="shared" ca="1" si="188"/>
        <v>-9999</v>
      </c>
      <c r="DP92" s="15">
        <f t="shared" ca="1" si="189"/>
        <v>-9999</v>
      </c>
      <c r="DQ92" s="15">
        <f t="shared" ca="1" si="190"/>
        <v>-9999</v>
      </c>
      <c r="DR92" s="15">
        <f t="shared" ca="1" si="191"/>
        <v>-9999</v>
      </c>
      <c r="DS92" s="15">
        <f t="shared" ca="1" si="192"/>
        <v>-9999</v>
      </c>
      <c r="DT92" s="15">
        <f t="shared" ca="1" si="193"/>
        <v>-9999</v>
      </c>
      <c r="DU92" s="15">
        <f t="shared" ca="1" si="194"/>
        <v>-9999</v>
      </c>
      <c r="DV92" s="52">
        <f t="shared" ca="1" si="195"/>
        <v>-9999</v>
      </c>
      <c r="DW92" s="313">
        <f t="shared" ca="1" si="196"/>
        <v>-0.8902439024390244</v>
      </c>
      <c r="DX92" s="52"/>
      <c r="DY92" s="402">
        <f t="shared" ca="1" si="223"/>
        <v>9</v>
      </c>
      <c r="ED92" s="19">
        <f t="shared" ca="1" si="197"/>
        <v>-1</v>
      </c>
      <c r="EE92" s="1">
        <f t="shared" ca="1" si="198"/>
        <v>1</v>
      </c>
      <c r="EF92" s="1">
        <f t="shared" ca="1" si="199"/>
        <v>-1</v>
      </c>
      <c r="EG92" s="2">
        <f t="shared" ca="1" si="200"/>
        <v>1</v>
      </c>
      <c r="EH92" s="1">
        <f t="shared" ca="1" si="201"/>
        <v>-1</v>
      </c>
      <c r="EI92" s="3">
        <f t="shared" ca="1" si="202"/>
        <v>1</v>
      </c>
      <c r="EJ92" s="1">
        <f t="shared" ca="1" si="203"/>
        <v>0</v>
      </c>
      <c r="EK92" s="1">
        <f t="shared" ca="1" si="204"/>
        <v>0</v>
      </c>
      <c r="EL92" s="20">
        <f t="shared" ca="1" si="205"/>
        <v>-1</v>
      </c>
      <c r="EN92" s="86">
        <f ca="1">MAX(0, SUMPRODUCT($ED92:$EL92,OFFSET(DNN!$E$9:$M$9,EN$9,0)) + OFFSET(DNN!$D$9,EN$9,0))</f>
        <v>0</v>
      </c>
      <c r="EO92" s="84">
        <f ca="1">MAX(0, SUMPRODUCT($ED92:$EL92,OFFSET(DNN!$E$9:$M$9,EO$9,0)) + OFFSET(DNN!$D$9,EO$9,0))</f>
        <v>7.2346022384755949E-3</v>
      </c>
      <c r="EP92" s="84">
        <f ca="1">MAX(0, SUMPRODUCT($ED92:$EL92,OFFSET(DNN!$E$9:$M$9,EP$9,0)) + OFFSET(DNN!$D$9,EP$9,0))</f>
        <v>3.6951849750035152E-3</v>
      </c>
      <c r="EQ92" s="84">
        <f ca="1">MAX(0, SUMPRODUCT($ED92:$EL92,OFFSET(DNN!$E$9:$M$9,EQ$9,0)) + OFFSET(DNN!$D$9,EQ$9,0))</f>
        <v>0</v>
      </c>
      <c r="ER92" s="85">
        <f ca="1">MAX(0, SUMPRODUCT($ED92:$EL92,OFFSET(DNN!$E$9:$M$9,ER$9,0)) + OFFSET(DNN!$D$9,ER$9,0))</f>
        <v>0</v>
      </c>
      <c r="ET92" s="86">
        <f ca="1">MAX(0, SUMPRODUCT($EN92:$ER92,OFFSET(DNN!$Q$9:$U$9,ET$9,0)) + OFFSET(DNN!$P$9,ET$9,0))</f>
        <v>4.3954959453478351E-4</v>
      </c>
      <c r="EU92" s="84">
        <f ca="1">MAX(0, SUMPRODUCT($EN92:$ER92,OFFSET(DNN!$Q$9:$U$9,EU$9,0)) + OFFSET(DNN!$P$9,EU$9,0))</f>
        <v>0</v>
      </c>
      <c r="EV92" s="84">
        <f ca="1">MAX(0, SUMPRODUCT($EN92:$ER92,OFFSET(DNN!$Q$9:$U$9,EV$9,0)) + OFFSET(DNN!$P$9,EV$9,0))</f>
        <v>1.2810123361902579E-3</v>
      </c>
      <c r="EW92" s="84">
        <f ca="1">MAX(0, SUMPRODUCT($EN92:$ER92,OFFSET(DNN!$Q$9:$U$9,EW$9,0)) + OFFSET(DNN!$P$9,EW$9,0))</f>
        <v>7.8382123007882457E-4</v>
      </c>
      <c r="EX92" s="85">
        <f ca="1">MAX(0, SUMPRODUCT($EN92:$ER92,OFFSET(DNN!$Q$9:$U$9,EX$9,0)) + OFFSET(DNN!$P$9,EX$9,0))</f>
        <v>0</v>
      </c>
      <c r="EZ92" s="111">
        <f ca="1">SUMPRODUCT($ET92:$EX92,OFFSET(DNN!$Y$9:$AC$9,EZ$9,0)) + OFFSET(DNN!$X$9,EZ$9,0)</f>
        <v>0.43031618918982212</v>
      </c>
      <c r="FA92" s="97">
        <f ca="1">SUMPRODUCT($ET92:$EX92,OFFSET(DNN!$Y$9:$AC$9,FA$9,0)) + OFFSET(DNN!$X$9,FA$9,0)</f>
        <v>-1.2643439935754107E-5</v>
      </c>
      <c r="FB92" s="97">
        <f ca="1">SUMPRODUCT($ET92:$EX92,OFFSET(DNN!$Y$9:$AC$9,FB$9,0)) + OFFSET(DNN!$X$9,FB$9,0)</f>
        <v>1.5239793458415756E-2</v>
      </c>
      <c r="FC92" s="97">
        <f ca="1">SUMPRODUCT($ET92:$EX92,OFFSET(DNN!$Y$9:$AC$9,FC$9,0)) + OFFSET(DNN!$X$9,FC$9,0)</f>
        <v>-8.8749521084055777E-4</v>
      </c>
      <c r="FD92" s="97">
        <f ca="1">SUMPRODUCT($ET92:$EX92,OFFSET(DNN!$Y$9:$AC$9,FD$9,0)) + OFFSET(DNN!$X$9,FD$9,0)</f>
        <v>-4.235816470721872E-4</v>
      </c>
      <c r="FE92" s="97">
        <f ca="1">SUMPRODUCT($ET92:$EX92,OFFSET(DNN!$Y$9:$AC$9,FE$9,0)) + OFFSET(DNN!$X$9,FE$9,0)</f>
        <v>-1.574182761064886E-5</v>
      </c>
      <c r="FF92" s="97">
        <f ca="1">SUMPRODUCT($ET92:$EX92,OFFSET(DNN!$Y$9:$AC$9,FF$9,0)) + OFFSET(DNN!$X$9,FF$9,0)</f>
        <v>-1.3491460223194656E-3</v>
      </c>
      <c r="FG92" s="97">
        <f ca="1">SUMPRODUCT($ET92:$EX92,OFFSET(DNN!$Y$9:$AC$9,FG$9,0)) + OFFSET(DNN!$X$9,FG$9,0)</f>
        <v>-6.2604808096248285E-2</v>
      </c>
      <c r="FH92" s="97">
        <f ca="1">SUMPRODUCT($ET92:$EX92,OFFSET(DNN!$Y$9:$AC$9,FH$9,0)) + OFFSET(DNN!$X$9,FH$9,0)</f>
        <v>8.6810016937029894E-4</v>
      </c>
      <c r="FI92" s="108">
        <f ca="1">SUMPRODUCT($ET92:$EX92,OFFSET(DNN!$Y$9:$AC$9,FI$9,0)) + OFFSET(DNN!$X$9,FI$9,0)</f>
        <v>-1.3182687612562751</v>
      </c>
      <c r="FJ92" s="98">
        <f ca="1">SUMPRODUCT($ET92:$EX92,OFFSET(DNN!$Y$9:$AC$9,FJ$9,0)) + OFFSET(DNN!$X$9,FJ$9,0)</f>
        <v>-2.2535161745939301E-5</v>
      </c>
      <c r="FL92" s="415">
        <f t="shared" ca="1" si="224"/>
        <v>0.43031618918982212</v>
      </c>
      <c r="FM92" s="130">
        <f t="shared" ca="1" si="225"/>
        <v>1</v>
      </c>
      <c r="FN92" s="131">
        <f t="shared" ca="1" si="226"/>
        <v>0.65029522127322903</v>
      </c>
      <c r="FO92" s="131">
        <f t="shared" ca="1" si="227"/>
        <v>0.66028983545318687</v>
      </c>
      <c r="FP92" s="131">
        <f t="shared" ca="1" si="228"/>
        <v>0.64972655813153501</v>
      </c>
      <c r="FQ92" s="131">
        <f t="shared" ca="1" si="229"/>
        <v>0.65002804502111444</v>
      </c>
      <c r="FR92" s="131">
        <f t="shared" ca="1" si="230"/>
        <v>0.65029320640965171</v>
      </c>
      <c r="FS92" s="131">
        <f t="shared" ca="1" si="231"/>
        <v>0.64942668056342145</v>
      </c>
      <c r="FT92" s="131">
        <f t="shared" ca="1" si="232"/>
        <v>0.61083952513994022</v>
      </c>
      <c r="FU92" s="132">
        <f t="shared" ca="1" si="233"/>
        <v>0.6508682169276182</v>
      </c>
      <c r="FV92" s="131">
        <f t="shared" ca="1" si="234"/>
        <v>0.17402001625314881</v>
      </c>
      <c r="FW92" s="83">
        <f t="shared" ca="1" si="235"/>
        <v>-2.2535161742124597E-5</v>
      </c>
    </row>
    <row r="93" spans="1:179">
      <c r="A93" s="19">
        <f t="shared" si="240"/>
        <v>83</v>
      </c>
      <c r="B93" s="1">
        <f t="shared" ca="1" si="236"/>
        <v>0</v>
      </c>
      <c r="C93" s="20">
        <f t="shared" ca="1" si="237"/>
        <v>83</v>
      </c>
      <c r="D93" s="19" t="str">
        <f t="shared" ca="1" si="238"/>
        <v>〇×〇×〇×--〇</v>
      </c>
      <c r="E93" s="7">
        <f t="shared" ca="1" si="206"/>
        <v>9</v>
      </c>
      <c r="F93" s="7">
        <f t="shared" ca="1" si="207"/>
        <v>1</v>
      </c>
      <c r="G93" s="1" t="str">
        <f t="shared" ca="1" si="139"/>
        <v>〇×〇×〇×--〇</v>
      </c>
      <c r="H93" s="20" t="b">
        <f t="shared" ca="1" si="140"/>
        <v>1</v>
      </c>
      <c r="I93" s="22">
        <f t="shared" ca="1" si="239"/>
        <v>-1</v>
      </c>
      <c r="J93" s="1" t="b">
        <f ca="1">(1&lt;COUNTIF(D$10:D93,D93))</f>
        <v>1</v>
      </c>
      <c r="K93" s="1" t="b">
        <f t="shared" ca="1" si="141"/>
        <v>1</v>
      </c>
      <c r="L93" s="7">
        <f ca="1">MATCH(TRUE,K93:K$1048576,FALSE)-1</f>
        <v>0</v>
      </c>
      <c r="M93" s="24" t="str">
        <f t="shared" ca="1" si="142"/>
        <v>〇×〇×〇×--〇_9</v>
      </c>
      <c r="N93" s="25">
        <f t="shared" ca="1" si="208"/>
        <v>-2.2535161742124597E-5</v>
      </c>
      <c r="O93" s="26">
        <f t="shared" ca="1" si="209"/>
        <v>-1</v>
      </c>
      <c r="P93" s="27">
        <f t="shared" ca="1" si="210"/>
        <v>-1</v>
      </c>
      <c r="R93" s="41" t="str">
        <f ca="1">VLOOKUP(S93,cvt!$B$2:$C$4,2,FALSE)&amp;VLOOKUP(T93,cvt!$B$2:$C$4,2,FALSE)&amp;VLOOKUP(U93,cvt!$B$2:$C$4,2,FALSE)
&amp;VLOOKUP(V93,cvt!$B$2:$C$4,2,FALSE)&amp;VLOOKUP(W93,cvt!$B$2:$C$4,2,FALSE)&amp;VLOOKUP(X93,cvt!$B$2:$C$4,2,FALSE)
&amp;VLOOKUP(Y93,cvt!$B$2:$C$4,2,FALSE)&amp;VLOOKUP(Z93,cvt!$B$2:$C$4,2,FALSE)&amp;VLOOKUP(AA93,cvt!$B$2:$C$4,2,FALSE)</f>
        <v>〇×〇×〇×--〇</v>
      </c>
      <c r="S93" s="7">
        <f ca="1">VLOOKUP(MID($D93,S$9+1,1), cvt!$A$2:$B$4,2, FALSE)</f>
        <v>1</v>
      </c>
      <c r="T93" s="7">
        <f ca="1">VLOOKUP(MID($D93,T$9+1,1), cvt!$A$2:$B$4,2, FALSE)</f>
        <v>-1</v>
      </c>
      <c r="U93" s="7">
        <f ca="1">VLOOKUP(MID($D93,U$9+1,1), cvt!$A$2:$B$4,2, FALSE)</f>
        <v>1</v>
      </c>
      <c r="V93" s="17">
        <f ca="1">VLOOKUP(MID($D93,V$9+1,1), cvt!$A$2:$B$4,2, FALSE)</f>
        <v>-1</v>
      </c>
      <c r="W93" s="7">
        <f ca="1">VLOOKUP(MID($D93,W$9+1,1), cvt!$A$2:$B$4,2, FALSE)</f>
        <v>1</v>
      </c>
      <c r="X93" s="18">
        <f ca="1">VLOOKUP(MID($D93,X$9+1,1), cvt!$A$2:$B$4,2, FALSE)</f>
        <v>-1</v>
      </c>
      <c r="Y93" s="7">
        <f ca="1">VLOOKUP(MID($D93,Y$9+1,1), cvt!$A$2:$B$4,2, FALSE)</f>
        <v>0</v>
      </c>
      <c r="Z93" s="7">
        <f ca="1">VLOOKUP(MID($D93,Z$9+1,1), cvt!$A$2:$B$4,2, FALSE)</f>
        <v>0</v>
      </c>
      <c r="AA93" s="42">
        <f ca="1">VLOOKUP(MID($D93,AA$9+1,1), cvt!$A$2:$B$4,2, FALSE)</f>
        <v>1</v>
      </c>
      <c r="AB93" s="7">
        <f t="shared" ca="1" si="211"/>
        <v>1</v>
      </c>
      <c r="AC93" s="50" t="b">
        <f t="shared" ca="1" si="212"/>
        <v>1</v>
      </c>
      <c r="AE93" s="19" t="str">
        <f ca="1">VLOOKUP(AF93,cvt!$B$2:$C$4,2,FALSE)&amp;VLOOKUP(AG93,cvt!$B$2:$C$4,2,FALSE)&amp;VLOOKUP(AH93,cvt!$B$2:$C$4,2,FALSE)
&amp;VLOOKUP(AI93,cvt!$B$2:$C$4,2,FALSE)&amp;VLOOKUP(AJ93,cvt!$B$2:$C$4,2,FALSE)&amp;VLOOKUP(AK93,cvt!$B$2:$C$4,2,FALSE)
&amp;VLOOKUP(AL93,cvt!$B$2:$C$4,2,FALSE)&amp;VLOOKUP(AM93,cvt!$B$2:$C$4,2,FALSE)&amp;VLOOKUP(AN93,cvt!$B$2:$C$4,2,FALSE)</f>
        <v>〇×〇×〇×--〇</v>
      </c>
      <c r="AF93" s="17">
        <f t="shared" ca="1" si="143"/>
        <v>1</v>
      </c>
      <c r="AG93" s="7">
        <f t="shared" ca="1" si="144"/>
        <v>-1</v>
      </c>
      <c r="AH93" s="7">
        <f t="shared" ca="1" si="145"/>
        <v>1</v>
      </c>
      <c r="AI93" s="17">
        <f t="shared" ca="1" si="146"/>
        <v>-1</v>
      </c>
      <c r="AJ93" s="7">
        <f t="shared" ca="1" si="147"/>
        <v>1</v>
      </c>
      <c r="AK93" s="18">
        <f t="shared" ca="1" si="148"/>
        <v>-1</v>
      </c>
      <c r="AL93" s="7">
        <f t="shared" ca="1" si="149"/>
        <v>0</v>
      </c>
      <c r="AM93" s="7">
        <f t="shared" ca="1" si="150"/>
        <v>0</v>
      </c>
      <c r="AN93" s="18">
        <f t="shared" ca="1" si="151"/>
        <v>1</v>
      </c>
      <c r="AO93" s="7">
        <f t="shared" ca="1" si="213"/>
        <v>1</v>
      </c>
      <c r="AP93" s="50" t="b">
        <f t="shared" ca="1" si="152"/>
        <v>1</v>
      </c>
      <c r="AS93" s="22">
        <f t="shared" ca="1" si="214"/>
        <v>0</v>
      </c>
      <c r="AT93" s="7">
        <f t="shared" ca="1" si="153"/>
        <v>0</v>
      </c>
      <c r="AU93" s="7">
        <f t="shared" ca="1" si="154"/>
        <v>0</v>
      </c>
      <c r="AV93" s="7">
        <f t="shared" ca="1" si="155"/>
        <v>0</v>
      </c>
      <c r="AW93" s="7">
        <f t="shared" ca="1" si="156"/>
        <v>0</v>
      </c>
      <c r="AX93" s="7">
        <f t="shared" ca="1" si="157"/>
        <v>0</v>
      </c>
      <c r="AY93" s="7">
        <f t="shared" ca="1" si="158"/>
        <v>0</v>
      </c>
      <c r="AZ93" s="7">
        <f t="shared" ca="1" si="159"/>
        <v>0</v>
      </c>
      <c r="BA93" s="18">
        <f t="shared" ca="1" si="160"/>
        <v>0</v>
      </c>
      <c r="BB93" s="295">
        <f t="shared" ca="1" si="215"/>
        <v>1</v>
      </c>
      <c r="BD93" s="132"/>
      <c r="BE93" s="297">
        <f t="shared" ca="1" si="216"/>
        <v>1</v>
      </c>
      <c r="BF93" s="298">
        <f t="shared" ca="1" si="161"/>
        <v>0.65029522127322903</v>
      </c>
      <c r="BG93" s="298">
        <f t="shared" ca="1" si="162"/>
        <v>0.66028983545318687</v>
      </c>
      <c r="BH93" s="318">
        <f t="shared" ca="1" si="163"/>
        <v>0.64972655813153501</v>
      </c>
      <c r="BI93" s="298">
        <f t="shared" ca="1" si="164"/>
        <v>0.65002804502111444</v>
      </c>
      <c r="BJ93" s="299">
        <f t="shared" ca="1" si="165"/>
        <v>0.65029320640965171</v>
      </c>
      <c r="BK93" s="298">
        <f t="shared" ca="1" si="166"/>
        <v>0.64942668056342145</v>
      </c>
      <c r="BL93" s="298">
        <f t="shared" ca="1" si="167"/>
        <v>0.61083952513994022</v>
      </c>
      <c r="BM93" s="299">
        <f t="shared" ca="1" si="168"/>
        <v>0.6508682169276182</v>
      </c>
      <c r="BN93" s="295">
        <f t="shared" ca="1" si="169"/>
        <v>0.17402001625314881</v>
      </c>
      <c r="BO93" s="248">
        <f t="shared" ca="1" si="217"/>
        <v>-2.2535161742124597E-5</v>
      </c>
      <c r="BQ93" s="304">
        <f t="shared" ca="1" si="218"/>
        <v>0.42412001625314877</v>
      </c>
      <c r="BR93" s="297">
        <f t="shared" ca="1" si="219"/>
        <v>0</v>
      </c>
      <c r="BS93" s="298">
        <f t="shared" ca="1" si="170"/>
        <v>0</v>
      </c>
      <c r="BT93" s="298">
        <f t="shared" ca="1" si="171"/>
        <v>0</v>
      </c>
      <c r="BU93" s="318">
        <f t="shared" ca="1" si="172"/>
        <v>0</v>
      </c>
      <c r="BV93" s="298">
        <f t="shared" ca="1" si="173"/>
        <v>0</v>
      </c>
      <c r="BW93" s="299">
        <f t="shared" ca="1" si="174"/>
        <v>0</v>
      </c>
      <c r="BX93" s="298">
        <f t="shared" ca="1" si="175"/>
        <v>0</v>
      </c>
      <c r="BY93" s="298">
        <f t="shared" ca="1" si="176"/>
        <v>0</v>
      </c>
      <c r="BZ93" s="298">
        <f t="shared" ca="1" si="177"/>
        <v>0</v>
      </c>
      <c r="CA93" s="315">
        <f t="shared" ca="1" si="178"/>
        <v>0.42412001625314877</v>
      </c>
      <c r="CC93" s="52"/>
      <c r="CD93" s="306">
        <f t="shared" ca="1" si="220"/>
        <v>0</v>
      </c>
      <c r="CE93" s="15">
        <f t="shared" ca="1" si="179"/>
        <v>0</v>
      </c>
      <c r="CF93" s="15">
        <f t="shared" ca="1" si="180"/>
        <v>0</v>
      </c>
      <c r="CG93" s="286">
        <f t="shared" ca="1" si="181"/>
        <v>0</v>
      </c>
      <c r="CH93" s="15">
        <f t="shared" ca="1" si="182"/>
        <v>0</v>
      </c>
      <c r="CI93" s="288">
        <f t="shared" ca="1" si="183"/>
        <v>0</v>
      </c>
      <c r="CJ93" s="15">
        <f t="shared" ca="1" si="184"/>
        <v>0</v>
      </c>
      <c r="CK93" s="15">
        <f t="shared" ca="1" si="185"/>
        <v>0</v>
      </c>
      <c r="CL93" s="15">
        <f t="shared" ca="1" si="186"/>
        <v>0</v>
      </c>
      <c r="CM93" s="313">
        <f t="shared" ca="1" si="187"/>
        <v>1</v>
      </c>
      <c r="CO93" s="320">
        <f t="shared" ca="1" si="221"/>
        <v>82</v>
      </c>
      <c r="CP93" s="22">
        <f ca="1">COUNTIFS($C$10:$C92,"&lt;"&amp;$C93,$M$10:$M92,$D93&amp;"_"&amp;CP$9)</f>
        <v>0</v>
      </c>
      <c r="CQ93" s="7">
        <f ca="1">COUNTIFS($C$10:$C92,"&lt;"&amp;$C93,$M$10:$M92,$D93&amp;"_"&amp;CQ$9)</f>
        <v>0</v>
      </c>
      <c r="CR93" s="7">
        <f ca="1">COUNTIFS($C$10:$C92,"&lt;"&amp;$C93,$M$10:$M92,$D93&amp;"_"&amp;CR$9)</f>
        <v>0</v>
      </c>
      <c r="CS93" s="17">
        <f ca="1">COUNTIFS($C$10:$C92,"&lt;"&amp;$C93,$M$10:$M92,$D93&amp;"_"&amp;CS$9)</f>
        <v>0</v>
      </c>
      <c r="CT93" s="7">
        <f ca="1">COUNTIFS($C$10:$C92,"&lt;"&amp;$C93,$M$10:$M92,$D93&amp;"_"&amp;CT$9)</f>
        <v>0</v>
      </c>
      <c r="CU93" s="18">
        <f ca="1">COUNTIFS($C$10:$C92,"&lt;"&amp;$C93,$M$10:$M92,$D93&amp;"_"&amp;CU$9)</f>
        <v>0</v>
      </c>
      <c r="CV93" s="7">
        <f ca="1">COUNTIFS($C$10:$C92,"&lt;"&amp;$C93,$M$10:$M92,$D93&amp;"_"&amp;CV$9)</f>
        <v>0</v>
      </c>
      <c r="CW93" s="7">
        <f ca="1">COUNTIFS($C$10:$C92,"&lt;"&amp;$C93,$M$10:$M92,$D93&amp;"_"&amp;CW$9)</f>
        <v>0</v>
      </c>
      <c r="CX93" s="7">
        <f ca="1">COUNTIFS($C$10:$C92,"&lt;"&amp;$C93,$M$10:$M92,$D93&amp;"_"&amp;CX$9)</f>
        <v>0</v>
      </c>
      <c r="CY93" s="221">
        <f ca="1">COUNTIFS($C$10:$C92,"&lt;"&amp;$C93,$M$10:$M92,$D93&amp;"_"&amp;CY$9)</f>
        <v>82</v>
      </c>
      <c r="DA93" s="20"/>
      <c r="DB93" s="308">
        <f ca="1">IF(CP93=0,0,SUMIFS($P$10:$P92, $C$10:$C92,"&lt;"&amp;$C93, $M$10:$M92,$D93&amp;"_"&amp;DB$9)/CP93)</f>
        <v>0</v>
      </c>
      <c r="DC93" s="263">
        <f ca="1">IF(CQ93=0,0,SUMIFS($P$10:$P92, $C$10:$C92,"&lt;"&amp;$C93, $M$10:$M92,$D93&amp;"_"&amp;DC$9)/CQ93)</f>
        <v>0</v>
      </c>
      <c r="DD93" s="263">
        <f ca="1">IF(CR93=0,0,SUMIFS($P$10:$P92, $C$10:$C92,"&lt;"&amp;$C93, $M$10:$M92,$D93&amp;"_"&amp;DD$9)/CR93)</f>
        <v>0</v>
      </c>
      <c r="DE93" s="262">
        <f ca="1">IF(CS93=0,0,SUMIFS($P$10:$P92, $C$10:$C92,"&lt;"&amp;$C93, $M$10:$M92,$D93&amp;"_"&amp;DE$9)/CS93)</f>
        <v>0</v>
      </c>
      <c r="DF93" s="263">
        <f ca="1">IF(CT93=0,0,SUMIFS($P$10:$P92, $C$10:$C92,"&lt;"&amp;$C93, $M$10:$M92,$D93&amp;"_"&amp;DF$9)/CT93)</f>
        <v>0</v>
      </c>
      <c r="DG93" s="310">
        <f ca="1">IF(CU93=0,0,SUMIFS($P$10:$P92, $C$10:$C92,"&lt;"&amp;$C93, $M$10:$M92,$D93&amp;"_"&amp;DG$9)/CU93)</f>
        <v>0</v>
      </c>
      <c r="DH93" s="263">
        <f ca="1">IF(CV93=0,0,SUMIFS($P$10:$P92, $C$10:$C92,"&lt;"&amp;$C93, $M$10:$M92,$D93&amp;"_"&amp;DH$9)/CV93)</f>
        <v>0</v>
      </c>
      <c r="DI93" s="263">
        <f ca="1">IF(CW93=0,0,SUMIFS($P$10:$P92, $C$10:$C92,"&lt;"&amp;$C93, $M$10:$M92,$D93&amp;"_"&amp;DI$9)/CW93)</f>
        <v>0</v>
      </c>
      <c r="DJ93" s="264">
        <f ca="1">IF(CX93=0,0,SUMIFS($P$10:$P92, $C$10:$C92,"&lt;"&amp;$C93, $M$10:$M92,$D93&amp;"_"&amp;DJ$9)/CX93)</f>
        <v>0</v>
      </c>
      <c r="DK93" s="264">
        <f ca="1">IF(CY93=0,0,SUMIFS($P$10:$P92, $C$10:$C92,"&lt;"&amp;$C93, $M$10:$M92,$D93&amp;"_"&amp;DK$9)/CY93)</f>
        <v>-1</v>
      </c>
      <c r="DM93" s="104"/>
      <c r="DN93" s="306">
        <f t="shared" ca="1" si="222"/>
        <v>-9999</v>
      </c>
      <c r="DO93" s="15">
        <f t="shared" ca="1" si="188"/>
        <v>-9999</v>
      </c>
      <c r="DP93" s="15">
        <f t="shared" ca="1" si="189"/>
        <v>-9999</v>
      </c>
      <c r="DQ93" s="15">
        <f t="shared" ca="1" si="190"/>
        <v>-9999</v>
      </c>
      <c r="DR93" s="15">
        <f t="shared" ca="1" si="191"/>
        <v>-9999</v>
      </c>
      <c r="DS93" s="15">
        <f t="shared" ca="1" si="192"/>
        <v>-9999</v>
      </c>
      <c r="DT93" s="15">
        <f t="shared" ca="1" si="193"/>
        <v>-9999</v>
      </c>
      <c r="DU93" s="15">
        <f t="shared" ca="1" si="194"/>
        <v>-9999</v>
      </c>
      <c r="DV93" s="52">
        <f t="shared" ca="1" si="195"/>
        <v>-9999</v>
      </c>
      <c r="DW93" s="313">
        <f t="shared" ca="1" si="196"/>
        <v>-0.89089897423930819</v>
      </c>
      <c r="DX93" s="52"/>
      <c r="DY93" s="402">
        <f t="shared" ca="1" si="223"/>
        <v>9</v>
      </c>
      <c r="ED93" s="19">
        <f t="shared" ca="1" si="197"/>
        <v>-1</v>
      </c>
      <c r="EE93" s="1">
        <f t="shared" ca="1" si="198"/>
        <v>1</v>
      </c>
      <c r="EF93" s="1">
        <f t="shared" ca="1" si="199"/>
        <v>-1</v>
      </c>
      <c r="EG93" s="2">
        <f t="shared" ca="1" si="200"/>
        <v>1</v>
      </c>
      <c r="EH93" s="1">
        <f t="shared" ca="1" si="201"/>
        <v>-1</v>
      </c>
      <c r="EI93" s="3">
        <f t="shared" ca="1" si="202"/>
        <v>1</v>
      </c>
      <c r="EJ93" s="1">
        <f t="shared" ca="1" si="203"/>
        <v>0</v>
      </c>
      <c r="EK93" s="1">
        <f t="shared" ca="1" si="204"/>
        <v>0</v>
      </c>
      <c r="EL93" s="20">
        <f t="shared" ca="1" si="205"/>
        <v>-1</v>
      </c>
      <c r="EN93" s="86">
        <f ca="1">MAX(0, SUMPRODUCT($ED93:$EL93,OFFSET(DNN!$E$9:$M$9,EN$9,0)) + OFFSET(DNN!$D$9,EN$9,0))</f>
        <v>0</v>
      </c>
      <c r="EO93" s="84">
        <f ca="1">MAX(0, SUMPRODUCT($ED93:$EL93,OFFSET(DNN!$E$9:$M$9,EO$9,0)) + OFFSET(DNN!$D$9,EO$9,0))</f>
        <v>7.2346022384755949E-3</v>
      </c>
      <c r="EP93" s="84">
        <f ca="1">MAX(0, SUMPRODUCT($ED93:$EL93,OFFSET(DNN!$E$9:$M$9,EP$9,0)) + OFFSET(DNN!$D$9,EP$9,0))</f>
        <v>3.6951849750035152E-3</v>
      </c>
      <c r="EQ93" s="84">
        <f ca="1">MAX(0, SUMPRODUCT($ED93:$EL93,OFFSET(DNN!$E$9:$M$9,EQ$9,0)) + OFFSET(DNN!$D$9,EQ$9,0))</f>
        <v>0</v>
      </c>
      <c r="ER93" s="85">
        <f ca="1">MAX(0, SUMPRODUCT($ED93:$EL93,OFFSET(DNN!$E$9:$M$9,ER$9,0)) + OFFSET(DNN!$D$9,ER$9,0))</f>
        <v>0</v>
      </c>
      <c r="ET93" s="86">
        <f ca="1">MAX(0, SUMPRODUCT($EN93:$ER93,OFFSET(DNN!$Q$9:$U$9,ET$9,0)) + OFFSET(DNN!$P$9,ET$9,0))</f>
        <v>4.3954959453478351E-4</v>
      </c>
      <c r="EU93" s="84">
        <f ca="1">MAX(0, SUMPRODUCT($EN93:$ER93,OFFSET(DNN!$Q$9:$U$9,EU$9,0)) + OFFSET(DNN!$P$9,EU$9,0))</f>
        <v>0</v>
      </c>
      <c r="EV93" s="84">
        <f ca="1">MAX(0, SUMPRODUCT($EN93:$ER93,OFFSET(DNN!$Q$9:$U$9,EV$9,0)) + OFFSET(DNN!$P$9,EV$9,0))</f>
        <v>1.2810123361902579E-3</v>
      </c>
      <c r="EW93" s="84">
        <f ca="1">MAX(0, SUMPRODUCT($EN93:$ER93,OFFSET(DNN!$Q$9:$U$9,EW$9,0)) + OFFSET(DNN!$P$9,EW$9,0))</f>
        <v>7.8382123007882457E-4</v>
      </c>
      <c r="EX93" s="85">
        <f ca="1">MAX(0, SUMPRODUCT($EN93:$ER93,OFFSET(DNN!$Q$9:$U$9,EX$9,0)) + OFFSET(DNN!$P$9,EX$9,0))</f>
        <v>0</v>
      </c>
      <c r="EZ93" s="111">
        <f ca="1">SUMPRODUCT($ET93:$EX93,OFFSET(DNN!$Y$9:$AC$9,EZ$9,0)) + OFFSET(DNN!$X$9,EZ$9,0)</f>
        <v>0.43031618918982212</v>
      </c>
      <c r="FA93" s="97">
        <f ca="1">SUMPRODUCT($ET93:$EX93,OFFSET(DNN!$Y$9:$AC$9,FA$9,0)) + OFFSET(DNN!$X$9,FA$9,0)</f>
        <v>-1.2643439935754107E-5</v>
      </c>
      <c r="FB93" s="97">
        <f ca="1">SUMPRODUCT($ET93:$EX93,OFFSET(DNN!$Y$9:$AC$9,FB$9,0)) + OFFSET(DNN!$X$9,FB$9,0)</f>
        <v>1.5239793458415756E-2</v>
      </c>
      <c r="FC93" s="97">
        <f ca="1">SUMPRODUCT($ET93:$EX93,OFFSET(DNN!$Y$9:$AC$9,FC$9,0)) + OFFSET(DNN!$X$9,FC$9,0)</f>
        <v>-8.8749521084055777E-4</v>
      </c>
      <c r="FD93" s="97">
        <f ca="1">SUMPRODUCT($ET93:$EX93,OFFSET(DNN!$Y$9:$AC$9,FD$9,0)) + OFFSET(DNN!$X$9,FD$9,0)</f>
        <v>-4.235816470721872E-4</v>
      </c>
      <c r="FE93" s="97">
        <f ca="1">SUMPRODUCT($ET93:$EX93,OFFSET(DNN!$Y$9:$AC$9,FE$9,0)) + OFFSET(DNN!$X$9,FE$9,0)</f>
        <v>-1.574182761064886E-5</v>
      </c>
      <c r="FF93" s="97">
        <f ca="1">SUMPRODUCT($ET93:$EX93,OFFSET(DNN!$Y$9:$AC$9,FF$9,0)) + OFFSET(DNN!$X$9,FF$9,0)</f>
        <v>-1.3491460223194656E-3</v>
      </c>
      <c r="FG93" s="97">
        <f ca="1">SUMPRODUCT($ET93:$EX93,OFFSET(DNN!$Y$9:$AC$9,FG$9,0)) + OFFSET(DNN!$X$9,FG$9,0)</f>
        <v>-6.2604808096248285E-2</v>
      </c>
      <c r="FH93" s="97">
        <f ca="1">SUMPRODUCT($ET93:$EX93,OFFSET(DNN!$Y$9:$AC$9,FH$9,0)) + OFFSET(DNN!$X$9,FH$9,0)</f>
        <v>8.6810016937029894E-4</v>
      </c>
      <c r="FI93" s="108">
        <f ca="1">SUMPRODUCT($ET93:$EX93,OFFSET(DNN!$Y$9:$AC$9,FI$9,0)) + OFFSET(DNN!$X$9,FI$9,0)</f>
        <v>-1.3182687612562751</v>
      </c>
      <c r="FJ93" s="98">
        <f ca="1">SUMPRODUCT($ET93:$EX93,OFFSET(DNN!$Y$9:$AC$9,FJ$9,0)) + OFFSET(DNN!$X$9,FJ$9,0)</f>
        <v>-2.2535161745939301E-5</v>
      </c>
      <c r="FL93" s="415">
        <f t="shared" ca="1" si="224"/>
        <v>0.43031618918982212</v>
      </c>
      <c r="FM93" s="130">
        <f t="shared" ca="1" si="225"/>
        <v>1</v>
      </c>
      <c r="FN93" s="131">
        <f t="shared" ca="1" si="226"/>
        <v>0.65029522127322903</v>
      </c>
      <c r="FO93" s="131">
        <f t="shared" ca="1" si="227"/>
        <v>0.66028983545318687</v>
      </c>
      <c r="FP93" s="131">
        <f t="shared" ca="1" si="228"/>
        <v>0.64972655813153501</v>
      </c>
      <c r="FQ93" s="131">
        <f t="shared" ca="1" si="229"/>
        <v>0.65002804502111444</v>
      </c>
      <c r="FR93" s="131">
        <f t="shared" ca="1" si="230"/>
        <v>0.65029320640965171</v>
      </c>
      <c r="FS93" s="131">
        <f t="shared" ca="1" si="231"/>
        <v>0.64942668056342145</v>
      </c>
      <c r="FT93" s="131">
        <f t="shared" ca="1" si="232"/>
        <v>0.61083952513994022</v>
      </c>
      <c r="FU93" s="132">
        <f t="shared" ca="1" si="233"/>
        <v>0.6508682169276182</v>
      </c>
      <c r="FV93" s="131">
        <f t="shared" ca="1" si="234"/>
        <v>0.17402001625314881</v>
      </c>
      <c r="FW93" s="83">
        <f t="shared" ca="1" si="235"/>
        <v>-2.2535161742124597E-5</v>
      </c>
    </row>
    <row r="94" spans="1:179">
      <c r="A94" s="19">
        <f t="shared" si="240"/>
        <v>84</v>
      </c>
      <c r="B94" s="1">
        <f t="shared" ca="1" si="236"/>
        <v>0</v>
      </c>
      <c r="C94" s="20">
        <f t="shared" ca="1" si="237"/>
        <v>84</v>
      </c>
      <c r="D94" s="19" t="str">
        <f t="shared" ca="1" si="238"/>
        <v>〇×〇×〇×--〇</v>
      </c>
      <c r="E94" s="7">
        <f t="shared" ca="1" si="206"/>
        <v>9</v>
      </c>
      <c r="F94" s="7">
        <f t="shared" ca="1" si="207"/>
        <v>1</v>
      </c>
      <c r="G94" s="1" t="str">
        <f t="shared" ca="1" si="139"/>
        <v>〇×〇×〇×--〇</v>
      </c>
      <c r="H94" s="20" t="b">
        <f t="shared" ca="1" si="140"/>
        <v>1</v>
      </c>
      <c r="I94" s="22">
        <f t="shared" ca="1" si="239"/>
        <v>-1</v>
      </c>
      <c r="J94" s="1" t="b">
        <f ca="1">(1&lt;COUNTIF(D$10:D94,D94))</f>
        <v>1</v>
      </c>
      <c r="K94" s="1" t="b">
        <f t="shared" ca="1" si="141"/>
        <v>1</v>
      </c>
      <c r="L94" s="7">
        <f ca="1">MATCH(TRUE,K94:K$1048576,FALSE)-1</f>
        <v>0</v>
      </c>
      <c r="M94" s="24" t="str">
        <f t="shared" ca="1" si="142"/>
        <v>〇×〇×〇×--〇_9</v>
      </c>
      <c r="N94" s="25">
        <f t="shared" ca="1" si="208"/>
        <v>-2.2535161742124597E-5</v>
      </c>
      <c r="O94" s="26">
        <f t="shared" ca="1" si="209"/>
        <v>-1</v>
      </c>
      <c r="P94" s="27">
        <f t="shared" ca="1" si="210"/>
        <v>-1</v>
      </c>
      <c r="R94" s="41" t="str">
        <f ca="1">VLOOKUP(S94,cvt!$B$2:$C$4,2,FALSE)&amp;VLOOKUP(T94,cvt!$B$2:$C$4,2,FALSE)&amp;VLOOKUP(U94,cvt!$B$2:$C$4,2,FALSE)
&amp;VLOOKUP(V94,cvt!$B$2:$C$4,2,FALSE)&amp;VLOOKUP(W94,cvt!$B$2:$C$4,2,FALSE)&amp;VLOOKUP(X94,cvt!$B$2:$C$4,2,FALSE)
&amp;VLOOKUP(Y94,cvt!$B$2:$C$4,2,FALSE)&amp;VLOOKUP(Z94,cvt!$B$2:$C$4,2,FALSE)&amp;VLOOKUP(AA94,cvt!$B$2:$C$4,2,FALSE)</f>
        <v>〇×〇×〇×--〇</v>
      </c>
      <c r="S94" s="7">
        <f ca="1">VLOOKUP(MID($D94,S$9+1,1), cvt!$A$2:$B$4,2, FALSE)</f>
        <v>1</v>
      </c>
      <c r="T94" s="7">
        <f ca="1">VLOOKUP(MID($D94,T$9+1,1), cvt!$A$2:$B$4,2, FALSE)</f>
        <v>-1</v>
      </c>
      <c r="U94" s="7">
        <f ca="1">VLOOKUP(MID($D94,U$9+1,1), cvt!$A$2:$B$4,2, FALSE)</f>
        <v>1</v>
      </c>
      <c r="V94" s="17">
        <f ca="1">VLOOKUP(MID($D94,V$9+1,1), cvt!$A$2:$B$4,2, FALSE)</f>
        <v>-1</v>
      </c>
      <c r="W94" s="7">
        <f ca="1">VLOOKUP(MID($D94,W$9+1,1), cvt!$A$2:$B$4,2, FALSE)</f>
        <v>1</v>
      </c>
      <c r="X94" s="18">
        <f ca="1">VLOOKUP(MID($D94,X$9+1,1), cvt!$A$2:$B$4,2, FALSE)</f>
        <v>-1</v>
      </c>
      <c r="Y94" s="7">
        <f ca="1">VLOOKUP(MID($D94,Y$9+1,1), cvt!$A$2:$B$4,2, FALSE)</f>
        <v>0</v>
      </c>
      <c r="Z94" s="7">
        <f ca="1">VLOOKUP(MID($D94,Z$9+1,1), cvt!$A$2:$B$4,2, FALSE)</f>
        <v>0</v>
      </c>
      <c r="AA94" s="42">
        <f ca="1">VLOOKUP(MID($D94,AA$9+1,1), cvt!$A$2:$B$4,2, FALSE)</f>
        <v>1</v>
      </c>
      <c r="AB94" s="7">
        <f t="shared" ca="1" si="211"/>
        <v>1</v>
      </c>
      <c r="AC94" s="50" t="b">
        <f t="shared" ca="1" si="212"/>
        <v>1</v>
      </c>
      <c r="AE94" s="19" t="str">
        <f ca="1">VLOOKUP(AF94,cvt!$B$2:$C$4,2,FALSE)&amp;VLOOKUP(AG94,cvt!$B$2:$C$4,2,FALSE)&amp;VLOOKUP(AH94,cvt!$B$2:$C$4,2,FALSE)
&amp;VLOOKUP(AI94,cvt!$B$2:$C$4,2,FALSE)&amp;VLOOKUP(AJ94,cvt!$B$2:$C$4,2,FALSE)&amp;VLOOKUP(AK94,cvt!$B$2:$C$4,2,FALSE)
&amp;VLOOKUP(AL94,cvt!$B$2:$C$4,2,FALSE)&amp;VLOOKUP(AM94,cvt!$B$2:$C$4,2,FALSE)&amp;VLOOKUP(AN94,cvt!$B$2:$C$4,2,FALSE)</f>
        <v>〇×〇×〇×--〇</v>
      </c>
      <c r="AF94" s="17">
        <f t="shared" ca="1" si="143"/>
        <v>1</v>
      </c>
      <c r="AG94" s="7">
        <f t="shared" ca="1" si="144"/>
        <v>-1</v>
      </c>
      <c r="AH94" s="7">
        <f t="shared" ca="1" si="145"/>
        <v>1</v>
      </c>
      <c r="AI94" s="17">
        <f t="shared" ca="1" si="146"/>
        <v>-1</v>
      </c>
      <c r="AJ94" s="7">
        <f t="shared" ca="1" si="147"/>
        <v>1</v>
      </c>
      <c r="AK94" s="18">
        <f t="shared" ca="1" si="148"/>
        <v>-1</v>
      </c>
      <c r="AL94" s="7">
        <f t="shared" ca="1" si="149"/>
        <v>0</v>
      </c>
      <c r="AM94" s="7">
        <f t="shared" ca="1" si="150"/>
        <v>0</v>
      </c>
      <c r="AN94" s="18">
        <f t="shared" ca="1" si="151"/>
        <v>1</v>
      </c>
      <c r="AO94" s="7">
        <f t="shared" ca="1" si="213"/>
        <v>1</v>
      </c>
      <c r="AP94" s="50" t="b">
        <f t="shared" ca="1" si="152"/>
        <v>1</v>
      </c>
      <c r="AS94" s="22">
        <f t="shared" ca="1" si="214"/>
        <v>0</v>
      </c>
      <c r="AT94" s="7">
        <f t="shared" ca="1" si="153"/>
        <v>0</v>
      </c>
      <c r="AU94" s="7">
        <f t="shared" ca="1" si="154"/>
        <v>0</v>
      </c>
      <c r="AV94" s="7">
        <f t="shared" ca="1" si="155"/>
        <v>0</v>
      </c>
      <c r="AW94" s="7">
        <f t="shared" ca="1" si="156"/>
        <v>0</v>
      </c>
      <c r="AX94" s="7">
        <f t="shared" ca="1" si="157"/>
        <v>0</v>
      </c>
      <c r="AY94" s="7">
        <f t="shared" ca="1" si="158"/>
        <v>0</v>
      </c>
      <c r="AZ94" s="7">
        <f t="shared" ca="1" si="159"/>
        <v>0</v>
      </c>
      <c r="BA94" s="18">
        <f t="shared" ca="1" si="160"/>
        <v>0</v>
      </c>
      <c r="BB94" s="295">
        <f t="shared" ca="1" si="215"/>
        <v>1</v>
      </c>
      <c r="BD94" s="132"/>
      <c r="BE94" s="297">
        <f t="shared" ca="1" si="216"/>
        <v>1</v>
      </c>
      <c r="BF94" s="298">
        <f t="shared" ca="1" si="161"/>
        <v>0.65029522127322903</v>
      </c>
      <c r="BG94" s="298">
        <f t="shared" ca="1" si="162"/>
        <v>0.66028983545318687</v>
      </c>
      <c r="BH94" s="318">
        <f t="shared" ca="1" si="163"/>
        <v>0.64972655813153501</v>
      </c>
      <c r="BI94" s="298">
        <f t="shared" ca="1" si="164"/>
        <v>0.65002804502111444</v>
      </c>
      <c r="BJ94" s="299">
        <f t="shared" ca="1" si="165"/>
        <v>0.65029320640965171</v>
      </c>
      <c r="BK94" s="298">
        <f t="shared" ca="1" si="166"/>
        <v>0.64942668056342145</v>
      </c>
      <c r="BL94" s="298">
        <f t="shared" ca="1" si="167"/>
        <v>0.61083952513994022</v>
      </c>
      <c r="BM94" s="299">
        <f t="shared" ca="1" si="168"/>
        <v>0.6508682169276182</v>
      </c>
      <c r="BN94" s="295">
        <f t="shared" ca="1" si="169"/>
        <v>0.17402001625314881</v>
      </c>
      <c r="BO94" s="248">
        <f t="shared" ca="1" si="217"/>
        <v>-2.2535161742124597E-5</v>
      </c>
      <c r="BQ94" s="304">
        <f t="shared" ca="1" si="218"/>
        <v>0.1741200162531488</v>
      </c>
      <c r="BR94" s="297">
        <f t="shared" ca="1" si="219"/>
        <v>0</v>
      </c>
      <c r="BS94" s="298">
        <f t="shared" ca="1" si="170"/>
        <v>0</v>
      </c>
      <c r="BT94" s="298">
        <f t="shared" ca="1" si="171"/>
        <v>0</v>
      </c>
      <c r="BU94" s="318">
        <f t="shared" ca="1" si="172"/>
        <v>0</v>
      </c>
      <c r="BV94" s="298">
        <f t="shared" ca="1" si="173"/>
        <v>0</v>
      </c>
      <c r="BW94" s="299">
        <f t="shared" ca="1" si="174"/>
        <v>0</v>
      </c>
      <c r="BX94" s="298">
        <f t="shared" ca="1" si="175"/>
        <v>0</v>
      </c>
      <c r="BY94" s="298">
        <f t="shared" ca="1" si="176"/>
        <v>0</v>
      </c>
      <c r="BZ94" s="298">
        <f t="shared" ca="1" si="177"/>
        <v>0</v>
      </c>
      <c r="CA94" s="315">
        <f t="shared" ca="1" si="178"/>
        <v>0.1741200162531488</v>
      </c>
      <c r="CC94" s="52"/>
      <c r="CD94" s="306">
        <f t="shared" ca="1" si="220"/>
        <v>0</v>
      </c>
      <c r="CE94" s="15">
        <f t="shared" ca="1" si="179"/>
        <v>0</v>
      </c>
      <c r="CF94" s="15">
        <f t="shared" ca="1" si="180"/>
        <v>0</v>
      </c>
      <c r="CG94" s="286">
        <f t="shared" ca="1" si="181"/>
        <v>0</v>
      </c>
      <c r="CH94" s="15">
        <f t="shared" ca="1" si="182"/>
        <v>0</v>
      </c>
      <c r="CI94" s="288">
        <f t="shared" ca="1" si="183"/>
        <v>0</v>
      </c>
      <c r="CJ94" s="15">
        <f t="shared" ca="1" si="184"/>
        <v>0</v>
      </c>
      <c r="CK94" s="15">
        <f t="shared" ca="1" si="185"/>
        <v>0</v>
      </c>
      <c r="CL94" s="15">
        <f t="shared" ca="1" si="186"/>
        <v>0</v>
      </c>
      <c r="CM94" s="313">
        <f t="shared" ca="1" si="187"/>
        <v>1</v>
      </c>
      <c r="CO94" s="320">
        <f t="shared" ca="1" si="221"/>
        <v>83</v>
      </c>
      <c r="CP94" s="22">
        <f ca="1">COUNTIFS($C$10:$C93,"&lt;"&amp;$C94,$M$10:$M93,$D94&amp;"_"&amp;CP$9)</f>
        <v>0</v>
      </c>
      <c r="CQ94" s="7">
        <f ca="1">COUNTIFS($C$10:$C93,"&lt;"&amp;$C94,$M$10:$M93,$D94&amp;"_"&amp;CQ$9)</f>
        <v>0</v>
      </c>
      <c r="CR94" s="7">
        <f ca="1">COUNTIFS($C$10:$C93,"&lt;"&amp;$C94,$M$10:$M93,$D94&amp;"_"&amp;CR$9)</f>
        <v>0</v>
      </c>
      <c r="CS94" s="17">
        <f ca="1">COUNTIFS($C$10:$C93,"&lt;"&amp;$C94,$M$10:$M93,$D94&amp;"_"&amp;CS$9)</f>
        <v>0</v>
      </c>
      <c r="CT94" s="7">
        <f ca="1">COUNTIFS($C$10:$C93,"&lt;"&amp;$C94,$M$10:$M93,$D94&amp;"_"&amp;CT$9)</f>
        <v>0</v>
      </c>
      <c r="CU94" s="18">
        <f ca="1">COUNTIFS($C$10:$C93,"&lt;"&amp;$C94,$M$10:$M93,$D94&amp;"_"&amp;CU$9)</f>
        <v>0</v>
      </c>
      <c r="CV94" s="7">
        <f ca="1">COUNTIFS($C$10:$C93,"&lt;"&amp;$C94,$M$10:$M93,$D94&amp;"_"&amp;CV$9)</f>
        <v>0</v>
      </c>
      <c r="CW94" s="7">
        <f ca="1">COUNTIFS($C$10:$C93,"&lt;"&amp;$C94,$M$10:$M93,$D94&amp;"_"&amp;CW$9)</f>
        <v>0</v>
      </c>
      <c r="CX94" s="7">
        <f ca="1">COUNTIFS($C$10:$C93,"&lt;"&amp;$C94,$M$10:$M93,$D94&amp;"_"&amp;CX$9)</f>
        <v>0</v>
      </c>
      <c r="CY94" s="221">
        <f ca="1">COUNTIFS($C$10:$C93,"&lt;"&amp;$C94,$M$10:$M93,$D94&amp;"_"&amp;CY$9)</f>
        <v>83</v>
      </c>
      <c r="DA94" s="20"/>
      <c r="DB94" s="308">
        <f ca="1">IF(CP94=0,0,SUMIFS($P$10:$P93, $C$10:$C93,"&lt;"&amp;$C94, $M$10:$M93,$D94&amp;"_"&amp;DB$9)/CP94)</f>
        <v>0</v>
      </c>
      <c r="DC94" s="263">
        <f ca="1">IF(CQ94=0,0,SUMIFS($P$10:$P93, $C$10:$C93,"&lt;"&amp;$C94, $M$10:$M93,$D94&amp;"_"&amp;DC$9)/CQ94)</f>
        <v>0</v>
      </c>
      <c r="DD94" s="263">
        <f ca="1">IF(CR94=0,0,SUMIFS($P$10:$P93, $C$10:$C93,"&lt;"&amp;$C94, $M$10:$M93,$D94&amp;"_"&amp;DD$9)/CR94)</f>
        <v>0</v>
      </c>
      <c r="DE94" s="262">
        <f ca="1">IF(CS94=0,0,SUMIFS($P$10:$P93, $C$10:$C93,"&lt;"&amp;$C94, $M$10:$M93,$D94&amp;"_"&amp;DE$9)/CS94)</f>
        <v>0</v>
      </c>
      <c r="DF94" s="263">
        <f ca="1">IF(CT94=0,0,SUMIFS($P$10:$P93, $C$10:$C93,"&lt;"&amp;$C94, $M$10:$M93,$D94&amp;"_"&amp;DF$9)/CT94)</f>
        <v>0</v>
      </c>
      <c r="DG94" s="310">
        <f ca="1">IF(CU94=0,0,SUMIFS($P$10:$P93, $C$10:$C93,"&lt;"&amp;$C94, $M$10:$M93,$D94&amp;"_"&amp;DG$9)/CU94)</f>
        <v>0</v>
      </c>
      <c r="DH94" s="263">
        <f ca="1">IF(CV94=0,0,SUMIFS($P$10:$P93, $C$10:$C93,"&lt;"&amp;$C94, $M$10:$M93,$D94&amp;"_"&amp;DH$9)/CV94)</f>
        <v>0</v>
      </c>
      <c r="DI94" s="263">
        <f ca="1">IF(CW94=0,0,SUMIFS($P$10:$P93, $C$10:$C93,"&lt;"&amp;$C94, $M$10:$M93,$D94&amp;"_"&amp;DI$9)/CW94)</f>
        <v>0</v>
      </c>
      <c r="DJ94" s="264">
        <f ca="1">IF(CX94=0,0,SUMIFS($P$10:$P93, $C$10:$C93,"&lt;"&amp;$C94, $M$10:$M93,$D94&amp;"_"&amp;DJ$9)/CX94)</f>
        <v>0</v>
      </c>
      <c r="DK94" s="264">
        <f ca="1">IF(CY94=0,0,SUMIFS($P$10:$P93, $C$10:$C93,"&lt;"&amp;$C94, $M$10:$M93,$D94&amp;"_"&amp;DK$9)/CY94)</f>
        <v>-1</v>
      </c>
      <c r="DM94" s="104"/>
      <c r="DN94" s="306">
        <f t="shared" ca="1" si="222"/>
        <v>-9999</v>
      </c>
      <c r="DO94" s="15">
        <f t="shared" ca="1" si="188"/>
        <v>-9999</v>
      </c>
      <c r="DP94" s="15">
        <f t="shared" ca="1" si="189"/>
        <v>-9999</v>
      </c>
      <c r="DQ94" s="15">
        <f t="shared" ca="1" si="190"/>
        <v>-9999</v>
      </c>
      <c r="DR94" s="15">
        <f t="shared" ca="1" si="191"/>
        <v>-9999</v>
      </c>
      <c r="DS94" s="15">
        <f t="shared" ca="1" si="192"/>
        <v>-9999</v>
      </c>
      <c r="DT94" s="15">
        <f t="shared" ca="1" si="193"/>
        <v>-9999</v>
      </c>
      <c r="DU94" s="15">
        <f t="shared" ca="1" si="194"/>
        <v>-9999</v>
      </c>
      <c r="DV94" s="52">
        <f t="shared" ca="1" si="195"/>
        <v>-9999</v>
      </c>
      <c r="DW94" s="313">
        <f t="shared" ca="1" si="196"/>
        <v>-0.89154245739113924</v>
      </c>
      <c r="DX94" s="52"/>
      <c r="DY94" s="402">
        <f t="shared" ca="1" si="223"/>
        <v>9</v>
      </c>
      <c r="ED94" s="19">
        <f t="shared" ca="1" si="197"/>
        <v>-1</v>
      </c>
      <c r="EE94" s="1">
        <f t="shared" ca="1" si="198"/>
        <v>1</v>
      </c>
      <c r="EF94" s="1">
        <f t="shared" ca="1" si="199"/>
        <v>-1</v>
      </c>
      <c r="EG94" s="2">
        <f t="shared" ca="1" si="200"/>
        <v>1</v>
      </c>
      <c r="EH94" s="1">
        <f t="shared" ca="1" si="201"/>
        <v>-1</v>
      </c>
      <c r="EI94" s="3">
        <f t="shared" ca="1" si="202"/>
        <v>1</v>
      </c>
      <c r="EJ94" s="1">
        <f t="shared" ca="1" si="203"/>
        <v>0</v>
      </c>
      <c r="EK94" s="1">
        <f t="shared" ca="1" si="204"/>
        <v>0</v>
      </c>
      <c r="EL94" s="20">
        <f t="shared" ca="1" si="205"/>
        <v>-1</v>
      </c>
      <c r="EN94" s="86">
        <f ca="1">MAX(0, SUMPRODUCT($ED94:$EL94,OFFSET(DNN!$E$9:$M$9,EN$9,0)) + OFFSET(DNN!$D$9,EN$9,0))</f>
        <v>0</v>
      </c>
      <c r="EO94" s="84">
        <f ca="1">MAX(0, SUMPRODUCT($ED94:$EL94,OFFSET(DNN!$E$9:$M$9,EO$9,0)) + OFFSET(DNN!$D$9,EO$9,0))</f>
        <v>7.2346022384755949E-3</v>
      </c>
      <c r="EP94" s="84">
        <f ca="1">MAX(0, SUMPRODUCT($ED94:$EL94,OFFSET(DNN!$E$9:$M$9,EP$9,0)) + OFFSET(DNN!$D$9,EP$9,0))</f>
        <v>3.6951849750035152E-3</v>
      </c>
      <c r="EQ94" s="84">
        <f ca="1">MAX(0, SUMPRODUCT($ED94:$EL94,OFFSET(DNN!$E$9:$M$9,EQ$9,0)) + OFFSET(DNN!$D$9,EQ$9,0))</f>
        <v>0</v>
      </c>
      <c r="ER94" s="85">
        <f ca="1">MAX(0, SUMPRODUCT($ED94:$EL94,OFFSET(DNN!$E$9:$M$9,ER$9,0)) + OFFSET(DNN!$D$9,ER$9,0))</f>
        <v>0</v>
      </c>
      <c r="ET94" s="86">
        <f ca="1">MAX(0, SUMPRODUCT($EN94:$ER94,OFFSET(DNN!$Q$9:$U$9,ET$9,0)) + OFFSET(DNN!$P$9,ET$9,0))</f>
        <v>4.3954959453478351E-4</v>
      </c>
      <c r="EU94" s="84">
        <f ca="1">MAX(0, SUMPRODUCT($EN94:$ER94,OFFSET(DNN!$Q$9:$U$9,EU$9,0)) + OFFSET(DNN!$P$9,EU$9,0))</f>
        <v>0</v>
      </c>
      <c r="EV94" s="84">
        <f ca="1">MAX(0, SUMPRODUCT($EN94:$ER94,OFFSET(DNN!$Q$9:$U$9,EV$9,0)) + OFFSET(DNN!$P$9,EV$9,0))</f>
        <v>1.2810123361902579E-3</v>
      </c>
      <c r="EW94" s="84">
        <f ca="1">MAX(0, SUMPRODUCT($EN94:$ER94,OFFSET(DNN!$Q$9:$U$9,EW$9,0)) + OFFSET(DNN!$P$9,EW$9,0))</f>
        <v>7.8382123007882457E-4</v>
      </c>
      <c r="EX94" s="85">
        <f ca="1">MAX(0, SUMPRODUCT($EN94:$ER94,OFFSET(DNN!$Q$9:$U$9,EX$9,0)) + OFFSET(DNN!$P$9,EX$9,0))</f>
        <v>0</v>
      </c>
      <c r="EZ94" s="111">
        <f ca="1">SUMPRODUCT($ET94:$EX94,OFFSET(DNN!$Y$9:$AC$9,EZ$9,0)) + OFFSET(DNN!$X$9,EZ$9,0)</f>
        <v>0.43031618918982212</v>
      </c>
      <c r="FA94" s="97">
        <f ca="1">SUMPRODUCT($ET94:$EX94,OFFSET(DNN!$Y$9:$AC$9,FA$9,0)) + OFFSET(DNN!$X$9,FA$9,0)</f>
        <v>-1.2643439935754107E-5</v>
      </c>
      <c r="FB94" s="97">
        <f ca="1">SUMPRODUCT($ET94:$EX94,OFFSET(DNN!$Y$9:$AC$9,FB$9,0)) + OFFSET(DNN!$X$9,FB$9,0)</f>
        <v>1.5239793458415756E-2</v>
      </c>
      <c r="FC94" s="97">
        <f ca="1">SUMPRODUCT($ET94:$EX94,OFFSET(DNN!$Y$9:$AC$9,FC$9,0)) + OFFSET(DNN!$X$9,FC$9,0)</f>
        <v>-8.8749521084055777E-4</v>
      </c>
      <c r="FD94" s="97">
        <f ca="1">SUMPRODUCT($ET94:$EX94,OFFSET(DNN!$Y$9:$AC$9,FD$9,0)) + OFFSET(DNN!$X$9,FD$9,0)</f>
        <v>-4.235816470721872E-4</v>
      </c>
      <c r="FE94" s="97">
        <f ca="1">SUMPRODUCT($ET94:$EX94,OFFSET(DNN!$Y$9:$AC$9,FE$9,0)) + OFFSET(DNN!$X$9,FE$9,0)</f>
        <v>-1.574182761064886E-5</v>
      </c>
      <c r="FF94" s="97">
        <f ca="1">SUMPRODUCT($ET94:$EX94,OFFSET(DNN!$Y$9:$AC$9,FF$9,0)) + OFFSET(DNN!$X$9,FF$9,0)</f>
        <v>-1.3491460223194656E-3</v>
      </c>
      <c r="FG94" s="97">
        <f ca="1">SUMPRODUCT($ET94:$EX94,OFFSET(DNN!$Y$9:$AC$9,FG$9,0)) + OFFSET(DNN!$X$9,FG$9,0)</f>
        <v>-6.2604808096248285E-2</v>
      </c>
      <c r="FH94" s="97">
        <f ca="1">SUMPRODUCT($ET94:$EX94,OFFSET(DNN!$Y$9:$AC$9,FH$9,0)) + OFFSET(DNN!$X$9,FH$9,0)</f>
        <v>8.6810016937029894E-4</v>
      </c>
      <c r="FI94" s="108">
        <f ca="1">SUMPRODUCT($ET94:$EX94,OFFSET(DNN!$Y$9:$AC$9,FI$9,0)) + OFFSET(DNN!$X$9,FI$9,0)</f>
        <v>-1.3182687612562751</v>
      </c>
      <c r="FJ94" s="98">
        <f ca="1">SUMPRODUCT($ET94:$EX94,OFFSET(DNN!$Y$9:$AC$9,FJ$9,0)) + OFFSET(DNN!$X$9,FJ$9,0)</f>
        <v>-2.2535161745939301E-5</v>
      </c>
      <c r="FL94" s="415">
        <f t="shared" ca="1" si="224"/>
        <v>0.43031618918982212</v>
      </c>
      <c r="FM94" s="130">
        <f t="shared" ca="1" si="225"/>
        <v>1</v>
      </c>
      <c r="FN94" s="131">
        <f t="shared" ca="1" si="226"/>
        <v>0.65029522127322903</v>
      </c>
      <c r="FO94" s="131">
        <f t="shared" ca="1" si="227"/>
        <v>0.66028983545318687</v>
      </c>
      <c r="FP94" s="131">
        <f t="shared" ca="1" si="228"/>
        <v>0.64972655813153501</v>
      </c>
      <c r="FQ94" s="131">
        <f t="shared" ca="1" si="229"/>
        <v>0.65002804502111444</v>
      </c>
      <c r="FR94" s="131">
        <f t="shared" ca="1" si="230"/>
        <v>0.65029320640965171</v>
      </c>
      <c r="FS94" s="131">
        <f t="shared" ca="1" si="231"/>
        <v>0.64942668056342145</v>
      </c>
      <c r="FT94" s="131">
        <f t="shared" ca="1" si="232"/>
        <v>0.61083952513994022</v>
      </c>
      <c r="FU94" s="132">
        <f t="shared" ca="1" si="233"/>
        <v>0.6508682169276182</v>
      </c>
      <c r="FV94" s="131">
        <f t="shared" ca="1" si="234"/>
        <v>0.17402001625314881</v>
      </c>
      <c r="FW94" s="83">
        <f t="shared" ca="1" si="235"/>
        <v>-2.2535161742124597E-5</v>
      </c>
    </row>
    <row r="95" spans="1:179">
      <c r="A95" s="19">
        <f t="shared" si="240"/>
        <v>85</v>
      </c>
      <c r="B95" s="1">
        <f t="shared" ca="1" si="236"/>
        <v>0</v>
      </c>
      <c r="C95" s="20">
        <f t="shared" ca="1" si="237"/>
        <v>85</v>
      </c>
      <c r="D95" s="19" t="str">
        <f t="shared" ca="1" si="238"/>
        <v>〇×〇×〇×--〇</v>
      </c>
      <c r="E95" s="7">
        <f t="shared" ca="1" si="206"/>
        <v>9</v>
      </c>
      <c r="F95" s="7">
        <f t="shared" ca="1" si="207"/>
        <v>1</v>
      </c>
      <c r="G95" s="1" t="str">
        <f t="shared" ca="1" si="139"/>
        <v>〇×〇×〇×--〇</v>
      </c>
      <c r="H95" s="20" t="b">
        <f t="shared" ca="1" si="140"/>
        <v>1</v>
      </c>
      <c r="I95" s="22">
        <f t="shared" ca="1" si="239"/>
        <v>-1</v>
      </c>
      <c r="J95" s="1" t="b">
        <f ca="1">(1&lt;COUNTIF(D$10:D95,D95))</f>
        <v>1</v>
      </c>
      <c r="K95" s="1" t="b">
        <f t="shared" ca="1" si="141"/>
        <v>1</v>
      </c>
      <c r="L95" s="7">
        <f ca="1">MATCH(TRUE,K95:K$1048576,FALSE)-1</f>
        <v>0</v>
      </c>
      <c r="M95" s="24" t="str">
        <f t="shared" ca="1" si="142"/>
        <v>〇×〇×〇×--〇_9</v>
      </c>
      <c r="N95" s="25">
        <f t="shared" ca="1" si="208"/>
        <v>-2.2535161742124597E-5</v>
      </c>
      <c r="O95" s="26">
        <f t="shared" ca="1" si="209"/>
        <v>-1</v>
      </c>
      <c r="P95" s="27">
        <f t="shared" ca="1" si="210"/>
        <v>-1</v>
      </c>
      <c r="R95" s="41" t="str">
        <f ca="1">VLOOKUP(S95,cvt!$B$2:$C$4,2,FALSE)&amp;VLOOKUP(T95,cvt!$B$2:$C$4,2,FALSE)&amp;VLOOKUP(U95,cvt!$B$2:$C$4,2,FALSE)
&amp;VLOOKUP(V95,cvt!$B$2:$C$4,2,FALSE)&amp;VLOOKUP(W95,cvt!$B$2:$C$4,2,FALSE)&amp;VLOOKUP(X95,cvt!$B$2:$C$4,2,FALSE)
&amp;VLOOKUP(Y95,cvt!$B$2:$C$4,2,FALSE)&amp;VLOOKUP(Z95,cvt!$B$2:$C$4,2,FALSE)&amp;VLOOKUP(AA95,cvt!$B$2:$C$4,2,FALSE)</f>
        <v>〇×〇×〇×--〇</v>
      </c>
      <c r="S95" s="7">
        <f ca="1">VLOOKUP(MID($D95,S$9+1,1), cvt!$A$2:$B$4,2, FALSE)</f>
        <v>1</v>
      </c>
      <c r="T95" s="7">
        <f ca="1">VLOOKUP(MID($D95,T$9+1,1), cvt!$A$2:$B$4,2, FALSE)</f>
        <v>-1</v>
      </c>
      <c r="U95" s="7">
        <f ca="1">VLOOKUP(MID($D95,U$9+1,1), cvt!$A$2:$B$4,2, FALSE)</f>
        <v>1</v>
      </c>
      <c r="V95" s="17">
        <f ca="1">VLOOKUP(MID($D95,V$9+1,1), cvt!$A$2:$B$4,2, FALSE)</f>
        <v>-1</v>
      </c>
      <c r="W95" s="7">
        <f ca="1">VLOOKUP(MID($D95,W$9+1,1), cvt!$A$2:$B$4,2, FALSE)</f>
        <v>1</v>
      </c>
      <c r="X95" s="18">
        <f ca="1">VLOOKUP(MID($D95,X$9+1,1), cvt!$A$2:$B$4,2, FALSE)</f>
        <v>-1</v>
      </c>
      <c r="Y95" s="7">
        <f ca="1">VLOOKUP(MID($D95,Y$9+1,1), cvt!$A$2:$B$4,2, FALSE)</f>
        <v>0</v>
      </c>
      <c r="Z95" s="7">
        <f ca="1">VLOOKUP(MID($D95,Z$9+1,1), cvt!$A$2:$B$4,2, FALSE)</f>
        <v>0</v>
      </c>
      <c r="AA95" s="42">
        <f ca="1">VLOOKUP(MID($D95,AA$9+1,1), cvt!$A$2:$B$4,2, FALSE)</f>
        <v>1</v>
      </c>
      <c r="AB95" s="7">
        <f t="shared" ca="1" si="211"/>
        <v>1</v>
      </c>
      <c r="AC95" s="50" t="b">
        <f t="shared" ca="1" si="212"/>
        <v>1</v>
      </c>
      <c r="AE95" s="19" t="str">
        <f ca="1">VLOOKUP(AF95,cvt!$B$2:$C$4,2,FALSE)&amp;VLOOKUP(AG95,cvt!$B$2:$C$4,2,FALSE)&amp;VLOOKUP(AH95,cvt!$B$2:$C$4,2,FALSE)
&amp;VLOOKUP(AI95,cvt!$B$2:$C$4,2,FALSE)&amp;VLOOKUP(AJ95,cvt!$B$2:$C$4,2,FALSE)&amp;VLOOKUP(AK95,cvt!$B$2:$C$4,2,FALSE)
&amp;VLOOKUP(AL95,cvt!$B$2:$C$4,2,FALSE)&amp;VLOOKUP(AM95,cvt!$B$2:$C$4,2,FALSE)&amp;VLOOKUP(AN95,cvt!$B$2:$C$4,2,FALSE)</f>
        <v>〇×〇×〇×--〇</v>
      </c>
      <c r="AF95" s="17">
        <f t="shared" ca="1" si="143"/>
        <v>1</v>
      </c>
      <c r="AG95" s="7">
        <f t="shared" ca="1" si="144"/>
        <v>-1</v>
      </c>
      <c r="AH95" s="7">
        <f t="shared" ca="1" si="145"/>
        <v>1</v>
      </c>
      <c r="AI95" s="17">
        <f t="shared" ca="1" si="146"/>
        <v>-1</v>
      </c>
      <c r="AJ95" s="7">
        <f t="shared" ca="1" si="147"/>
        <v>1</v>
      </c>
      <c r="AK95" s="18">
        <f t="shared" ca="1" si="148"/>
        <v>-1</v>
      </c>
      <c r="AL95" s="7">
        <f t="shared" ca="1" si="149"/>
        <v>0</v>
      </c>
      <c r="AM95" s="7">
        <f t="shared" ca="1" si="150"/>
        <v>0</v>
      </c>
      <c r="AN95" s="18">
        <f t="shared" ca="1" si="151"/>
        <v>1</v>
      </c>
      <c r="AO95" s="7">
        <f t="shared" ca="1" si="213"/>
        <v>1</v>
      </c>
      <c r="AP95" s="50" t="b">
        <f t="shared" ca="1" si="152"/>
        <v>1</v>
      </c>
      <c r="AS95" s="22">
        <f t="shared" ca="1" si="214"/>
        <v>0</v>
      </c>
      <c r="AT95" s="7">
        <f t="shared" ca="1" si="153"/>
        <v>0</v>
      </c>
      <c r="AU95" s="7">
        <f t="shared" ca="1" si="154"/>
        <v>0</v>
      </c>
      <c r="AV95" s="7">
        <f t="shared" ca="1" si="155"/>
        <v>0</v>
      </c>
      <c r="AW95" s="7">
        <f t="shared" ca="1" si="156"/>
        <v>0</v>
      </c>
      <c r="AX95" s="7">
        <f t="shared" ca="1" si="157"/>
        <v>0</v>
      </c>
      <c r="AY95" s="7">
        <f t="shared" ca="1" si="158"/>
        <v>0</v>
      </c>
      <c r="AZ95" s="7">
        <f t="shared" ca="1" si="159"/>
        <v>0</v>
      </c>
      <c r="BA95" s="18">
        <f t="shared" ca="1" si="160"/>
        <v>0</v>
      </c>
      <c r="BB95" s="295">
        <f t="shared" ca="1" si="215"/>
        <v>1</v>
      </c>
      <c r="BD95" s="132"/>
      <c r="BE95" s="297">
        <f t="shared" ca="1" si="216"/>
        <v>1</v>
      </c>
      <c r="BF95" s="298">
        <f t="shared" ca="1" si="161"/>
        <v>0.65029522127322903</v>
      </c>
      <c r="BG95" s="298">
        <f t="shared" ca="1" si="162"/>
        <v>0.66028983545318687</v>
      </c>
      <c r="BH95" s="318">
        <f t="shared" ca="1" si="163"/>
        <v>0.64972655813153501</v>
      </c>
      <c r="BI95" s="298">
        <f t="shared" ca="1" si="164"/>
        <v>0.65002804502111444</v>
      </c>
      <c r="BJ95" s="299">
        <f t="shared" ca="1" si="165"/>
        <v>0.65029320640965171</v>
      </c>
      <c r="BK95" s="298">
        <f t="shared" ca="1" si="166"/>
        <v>0.64942668056342145</v>
      </c>
      <c r="BL95" s="298">
        <f t="shared" ca="1" si="167"/>
        <v>0.61083952513994022</v>
      </c>
      <c r="BM95" s="299">
        <f t="shared" ca="1" si="168"/>
        <v>0.6508682169276182</v>
      </c>
      <c r="BN95" s="295">
        <f t="shared" ca="1" si="169"/>
        <v>0.17402001625314881</v>
      </c>
      <c r="BO95" s="248">
        <f t="shared" ca="1" si="217"/>
        <v>-2.2535161742124597E-5</v>
      </c>
      <c r="BQ95" s="304">
        <f t="shared" ca="1" si="218"/>
        <v>0.1741200162531488</v>
      </c>
      <c r="BR95" s="297">
        <f t="shared" ca="1" si="219"/>
        <v>0</v>
      </c>
      <c r="BS95" s="298">
        <f t="shared" ca="1" si="170"/>
        <v>0</v>
      </c>
      <c r="BT95" s="298">
        <f t="shared" ca="1" si="171"/>
        <v>0</v>
      </c>
      <c r="BU95" s="318">
        <f t="shared" ca="1" si="172"/>
        <v>0</v>
      </c>
      <c r="BV95" s="298">
        <f t="shared" ca="1" si="173"/>
        <v>0</v>
      </c>
      <c r="BW95" s="299">
        <f t="shared" ca="1" si="174"/>
        <v>0</v>
      </c>
      <c r="BX95" s="298">
        <f t="shared" ca="1" si="175"/>
        <v>0</v>
      </c>
      <c r="BY95" s="298">
        <f t="shared" ca="1" si="176"/>
        <v>0</v>
      </c>
      <c r="BZ95" s="298">
        <f t="shared" ca="1" si="177"/>
        <v>0</v>
      </c>
      <c r="CA95" s="315">
        <f t="shared" ca="1" si="178"/>
        <v>0.1741200162531488</v>
      </c>
      <c r="CC95" s="52"/>
      <c r="CD95" s="306">
        <f t="shared" ca="1" si="220"/>
        <v>0</v>
      </c>
      <c r="CE95" s="15">
        <f t="shared" ca="1" si="179"/>
        <v>0</v>
      </c>
      <c r="CF95" s="15">
        <f t="shared" ca="1" si="180"/>
        <v>0</v>
      </c>
      <c r="CG95" s="286">
        <f t="shared" ca="1" si="181"/>
        <v>0</v>
      </c>
      <c r="CH95" s="15">
        <f t="shared" ca="1" si="182"/>
        <v>0</v>
      </c>
      <c r="CI95" s="288">
        <f t="shared" ca="1" si="183"/>
        <v>0</v>
      </c>
      <c r="CJ95" s="15">
        <f t="shared" ca="1" si="184"/>
        <v>0</v>
      </c>
      <c r="CK95" s="15">
        <f t="shared" ca="1" si="185"/>
        <v>0</v>
      </c>
      <c r="CL95" s="15">
        <f t="shared" ca="1" si="186"/>
        <v>0</v>
      </c>
      <c r="CM95" s="313">
        <f t="shared" ca="1" si="187"/>
        <v>1</v>
      </c>
      <c r="CO95" s="320">
        <f t="shared" ca="1" si="221"/>
        <v>84</v>
      </c>
      <c r="CP95" s="22">
        <f ca="1">COUNTIFS($C$10:$C94,"&lt;"&amp;$C95,$M$10:$M94,$D95&amp;"_"&amp;CP$9)</f>
        <v>0</v>
      </c>
      <c r="CQ95" s="7">
        <f ca="1">COUNTIFS($C$10:$C94,"&lt;"&amp;$C95,$M$10:$M94,$D95&amp;"_"&amp;CQ$9)</f>
        <v>0</v>
      </c>
      <c r="CR95" s="7">
        <f ca="1">COUNTIFS($C$10:$C94,"&lt;"&amp;$C95,$M$10:$M94,$D95&amp;"_"&amp;CR$9)</f>
        <v>0</v>
      </c>
      <c r="CS95" s="17">
        <f ca="1">COUNTIFS($C$10:$C94,"&lt;"&amp;$C95,$M$10:$M94,$D95&amp;"_"&amp;CS$9)</f>
        <v>0</v>
      </c>
      <c r="CT95" s="7">
        <f ca="1">COUNTIFS($C$10:$C94,"&lt;"&amp;$C95,$M$10:$M94,$D95&amp;"_"&amp;CT$9)</f>
        <v>0</v>
      </c>
      <c r="CU95" s="18">
        <f ca="1">COUNTIFS($C$10:$C94,"&lt;"&amp;$C95,$M$10:$M94,$D95&amp;"_"&amp;CU$9)</f>
        <v>0</v>
      </c>
      <c r="CV95" s="7">
        <f ca="1">COUNTIFS($C$10:$C94,"&lt;"&amp;$C95,$M$10:$M94,$D95&amp;"_"&amp;CV$9)</f>
        <v>0</v>
      </c>
      <c r="CW95" s="7">
        <f ca="1">COUNTIFS($C$10:$C94,"&lt;"&amp;$C95,$M$10:$M94,$D95&amp;"_"&amp;CW$9)</f>
        <v>0</v>
      </c>
      <c r="CX95" s="7">
        <f ca="1">COUNTIFS($C$10:$C94,"&lt;"&amp;$C95,$M$10:$M94,$D95&amp;"_"&amp;CX$9)</f>
        <v>0</v>
      </c>
      <c r="CY95" s="221">
        <f ca="1">COUNTIFS($C$10:$C94,"&lt;"&amp;$C95,$M$10:$M94,$D95&amp;"_"&amp;CY$9)</f>
        <v>84</v>
      </c>
      <c r="DA95" s="20"/>
      <c r="DB95" s="308">
        <f ca="1">IF(CP95=0,0,SUMIFS($P$10:$P94, $C$10:$C94,"&lt;"&amp;$C95, $M$10:$M94,$D95&amp;"_"&amp;DB$9)/CP95)</f>
        <v>0</v>
      </c>
      <c r="DC95" s="263">
        <f ca="1">IF(CQ95=0,0,SUMIFS($P$10:$P94, $C$10:$C94,"&lt;"&amp;$C95, $M$10:$M94,$D95&amp;"_"&amp;DC$9)/CQ95)</f>
        <v>0</v>
      </c>
      <c r="DD95" s="263">
        <f ca="1">IF(CR95=0,0,SUMIFS($P$10:$P94, $C$10:$C94,"&lt;"&amp;$C95, $M$10:$M94,$D95&amp;"_"&amp;DD$9)/CR95)</f>
        <v>0</v>
      </c>
      <c r="DE95" s="262">
        <f ca="1">IF(CS95=0,0,SUMIFS($P$10:$P94, $C$10:$C94,"&lt;"&amp;$C95, $M$10:$M94,$D95&amp;"_"&amp;DE$9)/CS95)</f>
        <v>0</v>
      </c>
      <c r="DF95" s="263">
        <f ca="1">IF(CT95=0,0,SUMIFS($P$10:$P94, $C$10:$C94,"&lt;"&amp;$C95, $M$10:$M94,$D95&amp;"_"&amp;DF$9)/CT95)</f>
        <v>0</v>
      </c>
      <c r="DG95" s="310">
        <f ca="1">IF(CU95=0,0,SUMIFS($P$10:$P94, $C$10:$C94,"&lt;"&amp;$C95, $M$10:$M94,$D95&amp;"_"&amp;DG$9)/CU95)</f>
        <v>0</v>
      </c>
      <c r="DH95" s="263">
        <f ca="1">IF(CV95=0,0,SUMIFS($P$10:$P94, $C$10:$C94,"&lt;"&amp;$C95, $M$10:$M94,$D95&amp;"_"&amp;DH$9)/CV95)</f>
        <v>0</v>
      </c>
      <c r="DI95" s="263">
        <f ca="1">IF(CW95=0,0,SUMIFS($P$10:$P94, $C$10:$C94,"&lt;"&amp;$C95, $M$10:$M94,$D95&amp;"_"&amp;DI$9)/CW95)</f>
        <v>0</v>
      </c>
      <c r="DJ95" s="264">
        <f ca="1">IF(CX95=0,0,SUMIFS($P$10:$P94, $C$10:$C94,"&lt;"&amp;$C95, $M$10:$M94,$D95&amp;"_"&amp;DJ$9)/CX95)</f>
        <v>0</v>
      </c>
      <c r="DK95" s="264">
        <f ca="1">IF(CY95=0,0,SUMIFS($P$10:$P94, $C$10:$C94,"&lt;"&amp;$C95, $M$10:$M94,$D95&amp;"_"&amp;DK$9)/CY95)</f>
        <v>-1</v>
      </c>
      <c r="DM95" s="104"/>
      <c r="DN95" s="306">
        <f t="shared" ca="1" si="222"/>
        <v>-9999</v>
      </c>
      <c r="DO95" s="15">
        <f t="shared" ca="1" si="188"/>
        <v>-9999</v>
      </c>
      <c r="DP95" s="15">
        <f t="shared" ca="1" si="189"/>
        <v>-9999</v>
      </c>
      <c r="DQ95" s="15">
        <f t="shared" ca="1" si="190"/>
        <v>-9999</v>
      </c>
      <c r="DR95" s="15">
        <f t="shared" ca="1" si="191"/>
        <v>-9999</v>
      </c>
      <c r="DS95" s="15">
        <f t="shared" ca="1" si="192"/>
        <v>-9999</v>
      </c>
      <c r="DT95" s="15">
        <f t="shared" ca="1" si="193"/>
        <v>-9999</v>
      </c>
      <c r="DU95" s="15">
        <f t="shared" ca="1" si="194"/>
        <v>-9999</v>
      </c>
      <c r="DV95" s="52">
        <f t="shared" ca="1" si="195"/>
        <v>-9999</v>
      </c>
      <c r="DW95" s="313">
        <f t="shared" ca="1" si="196"/>
        <v>-0.89217468953045087</v>
      </c>
      <c r="DX95" s="52"/>
      <c r="DY95" s="402">
        <f t="shared" ca="1" si="223"/>
        <v>9</v>
      </c>
      <c r="ED95" s="19">
        <f t="shared" ca="1" si="197"/>
        <v>-1</v>
      </c>
      <c r="EE95" s="1">
        <f t="shared" ca="1" si="198"/>
        <v>1</v>
      </c>
      <c r="EF95" s="1">
        <f t="shared" ca="1" si="199"/>
        <v>-1</v>
      </c>
      <c r="EG95" s="2">
        <f t="shared" ca="1" si="200"/>
        <v>1</v>
      </c>
      <c r="EH95" s="1">
        <f t="shared" ca="1" si="201"/>
        <v>-1</v>
      </c>
      <c r="EI95" s="3">
        <f t="shared" ca="1" si="202"/>
        <v>1</v>
      </c>
      <c r="EJ95" s="1">
        <f t="shared" ca="1" si="203"/>
        <v>0</v>
      </c>
      <c r="EK95" s="1">
        <f t="shared" ca="1" si="204"/>
        <v>0</v>
      </c>
      <c r="EL95" s="20">
        <f t="shared" ca="1" si="205"/>
        <v>-1</v>
      </c>
      <c r="EN95" s="86">
        <f ca="1">MAX(0, SUMPRODUCT($ED95:$EL95,OFFSET(DNN!$E$9:$M$9,EN$9,0)) + OFFSET(DNN!$D$9,EN$9,0))</f>
        <v>0</v>
      </c>
      <c r="EO95" s="84">
        <f ca="1">MAX(0, SUMPRODUCT($ED95:$EL95,OFFSET(DNN!$E$9:$M$9,EO$9,0)) + OFFSET(DNN!$D$9,EO$9,0))</f>
        <v>7.2346022384755949E-3</v>
      </c>
      <c r="EP95" s="84">
        <f ca="1">MAX(0, SUMPRODUCT($ED95:$EL95,OFFSET(DNN!$E$9:$M$9,EP$9,0)) + OFFSET(DNN!$D$9,EP$9,0))</f>
        <v>3.6951849750035152E-3</v>
      </c>
      <c r="EQ95" s="84">
        <f ca="1">MAX(0, SUMPRODUCT($ED95:$EL95,OFFSET(DNN!$E$9:$M$9,EQ$9,0)) + OFFSET(DNN!$D$9,EQ$9,0))</f>
        <v>0</v>
      </c>
      <c r="ER95" s="85">
        <f ca="1">MAX(0, SUMPRODUCT($ED95:$EL95,OFFSET(DNN!$E$9:$M$9,ER$9,0)) + OFFSET(DNN!$D$9,ER$9,0))</f>
        <v>0</v>
      </c>
      <c r="ET95" s="86">
        <f ca="1">MAX(0, SUMPRODUCT($EN95:$ER95,OFFSET(DNN!$Q$9:$U$9,ET$9,0)) + OFFSET(DNN!$P$9,ET$9,0))</f>
        <v>4.3954959453478351E-4</v>
      </c>
      <c r="EU95" s="84">
        <f ca="1">MAX(0, SUMPRODUCT($EN95:$ER95,OFFSET(DNN!$Q$9:$U$9,EU$9,0)) + OFFSET(DNN!$P$9,EU$9,0))</f>
        <v>0</v>
      </c>
      <c r="EV95" s="84">
        <f ca="1">MAX(0, SUMPRODUCT($EN95:$ER95,OFFSET(DNN!$Q$9:$U$9,EV$9,0)) + OFFSET(DNN!$P$9,EV$9,0))</f>
        <v>1.2810123361902579E-3</v>
      </c>
      <c r="EW95" s="84">
        <f ca="1">MAX(0, SUMPRODUCT($EN95:$ER95,OFFSET(DNN!$Q$9:$U$9,EW$9,0)) + OFFSET(DNN!$P$9,EW$9,0))</f>
        <v>7.8382123007882457E-4</v>
      </c>
      <c r="EX95" s="85">
        <f ca="1">MAX(0, SUMPRODUCT($EN95:$ER95,OFFSET(DNN!$Q$9:$U$9,EX$9,0)) + OFFSET(DNN!$P$9,EX$9,0))</f>
        <v>0</v>
      </c>
      <c r="EZ95" s="111">
        <f ca="1">SUMPRODUCT($ET95:$EX95,OFFSET(DNN!$Y$9:$AC$9,EZ$9,0)) + OFFSET(DNN!$X$9,EZ$9,0)</f>
        <v>0.43031618918982212</v>
      </c>
      <c r="FA95" s="97">
        <f ca="1">SUMPRODUCT($ET95:$EX95,OFFSET(DNN!$Y$9:$AC$9,FA$9,0)) + OFFSET(DNN!$X$9,FA$9,0)</f>
        <v>-1.2643439935754107E-5</v>
      </c>
      <c r="FB95" s="97">
        <f ca="1">SUMPRODUCT($ET95:$EX95,OFFSET(DNN!$Y$9:$AC$9,FB$9,0)) + OFFSET(DNN!$X$9,FB$9,0)</f>
        <v>1.5239793458415756E-2</v>
      </c>
      <c r="FC95" s="97">
        <f ca="1">SUMPRODUCT($ET95:$EX95,OFFSET(DNN!$Y$9:$AC$9,FC$9,0)) + OFFSET(DNN!$X$9,FC$9,0)</f>
        <v>-8.8749521084055777E-4</v>
      </c>
      <c r="FD95" s="97">
        <f ca="1">SUMPRODUCT($ET95:$EX95,OFFSET(DNN!$Y$9:$AC$9,FD$9,0)) + OFFSET(DNN!$X$9,FD$9,0)</f>
        <v>-4.235816470721872E-4</v>
      </c>
      <c r="FE95" s="97">
        <f ca="1">SUMPRODUCT($ET95:$EX95,OFFSET(DNN!$Y$9:$AC$9,FE$9,0)) + OFFSET(DNN!$X$9,FE$9,0)</f>
        <v>-1.574182761064886E-5</v>
      </c>
      <c r="FF95" s="97">
        <f ca="1">SUMPRODUCT($ET95:$EX95,OFFSET(DNN!$Y$9:$AC$9,FF$9,0)) + OFFSET(DNN!$X$9,FF$9,0)</f>
        <v>-1.3491460223194656E-3</v>
      </c>
      <c r="FG95" s="97">
        <f ca="1">SUMPRODUCT($ET95:$EX95,OFFSET(DNN!$Y$9:$AC$9,FG$9,0)) + OFFSET(DNN!$X$9,FG$9,0)</f>
        <v>-6.2604808096248285E-2</v>
      </c>
      <c r="FH95" s="97">
        <f ca="1">SUMPRODUCT($ET95:$EX95,OFFSET(DNN!$Y$9:$AC$9,FH$9,0)) + OFFSET(DNN!$X$9,FH$9,0)</f>
        <v>8.6810016937029894E-4</v>
      </c>
      <c r="FI95" s="108">
        <f ca="1">SUMPRODUCT($ET95:$EX95,OFFSET(DNN!$Y$9:$AC$9,FI$9,0)) + OFFSET(DNN!$X$9,FI$9,0)</f>
        <v>-1.3182687612562751</v>
      </c>
      <c r="FJ95" s="98">
        <f ca="1">SUMPRODUCT($ET95:$EX95,OFFSET(DNN!$Y$9:$AC$9,FJ$9,0)) + OFFSET(DNN!$X$9,FJ$9,0)</f>
        <v>-2.2535161745939301E-5</v>
      </c>
      <c r="FL95" s="415">
        <f t="shared" ca="1" si="224"/>
        <v>0.43031618918982212</v>
      </c>
      <c r="FM95" s="130">
        <f t="shared" ca="1" si="225"/>
        <v>1</v>
      </c>
      <c r="FN95" s="131">
        <f t="shared" ca="1" si="226"/>
        <v>0.65029522127322903</v>
      </c>
      <c r="FO95" s="131">
        <f t="shared" ca="1" si="227"/>
        <v>0.66028983545318687</v>
      </c>
      <c r="FP95" s="131">
        <f t="shared" ca="1" si="228"/>
        <v>0.64972655813153501</v>
      </c>
      <c r="FQ95" s="131">
        <f t="shared" ca="1" si="229"/>
        <v>0.65002804502111444</v>
      </c>
      <c r="FR95" s="131">
        <f t="shared" ca="1" si="230"/>
        <v>0.65029320640965171</v>
      </c>
      <c r="FS95" s="131">
        <f t="shared" ca="1" si="231"/>
        <v>0.64942668056342145</v>
      </c>
      <c r="FT95" s="131">
        <f t="shared" ca="1" si="232"/>
        <v>0.61083952513994022</v>
      </c>
      <c r="FU95" s="132">
        <f t="shared" ca="1" si="233"/>
        <v>0.6508682169276182</v>
      </c>
      <c r="FV95" s="131">
        <f t="shared" ca="1" si="234"/>
        <v>0.17402001625314881</v>
      </c>
      <c r="FW95" s="83">
        <f t="shared" ca="1" si="235"/>
        <v>-2.2535161742124597E-5</v>
      </c>
    </row>
    <row r="96" spans="1:179">
      <c r="A96" s="19">
        <f t="shared" si="240"/>
        <v>86</v>
      </c>
      <c r="B96" s="1">
        <f t="shared" ca="1" si="236"/>
        <v>0</v>
      </c>
      <c r="C96" s="20">
        <f t="shared" ca="1" si="237"/>
        <v>86</v>
      </c>
      <c r="D96" s="19" t="str">
        <f t="shared" ca="1" si="238"/>
        <v>〇×〇×〇×--〇</v>
      </c>
      <c r="E96" s="7">
        <f t="shared" ca="1" si="206"/>
        <v>9</v>
      </c>
      <c r="F96" s="7">
        <f t="shared" ca="1" si="207"/>
        <v>1</v>
      </c>
      <c r="G96" s="1" t="str">
        <f t="shared" ca="1" si="139"/>
        <v>〇×〇×〇×--〇</v>
      </c>
      <c r="H96" s="20" t="b">
        <f t="shared" ca="1" si="140"/>
        <v>1</v>
      </c>
      <c r="I96" s="22">
        <f t="shared" ca="1" si="239"/>
        <v>-1</v>
      </c>
      <c r="J96" s="1" t="b">
        <f ca="1">(1&lt;COUNTIF(D$10:D96,D96))</f>
        <v>1</v>
      </c>
      <c r="K96" s="1" t="b">
        <f t="shared" ca="1" si="141"/>
        <v>1</v>
      </c>
      <c r="L96" s="7">
        <f ca="1">MATCH(TRUE,K96:K$1048576,FALSE)-1</f>
        <v>0</v>
      </c>
      <c r="M96" s="24" t="str">
        <f t="shared" ca="1" si="142"/>
        <v>〇×〇×〇×--〇_9</v>
      </c>
      <c r="N96" s="25">
        <f t="shared" ca="1" si="208"/>
        <v>-2.2535161742124597E-5</v>
      </c>
      <c r="O96" s="26">
        <f t="shared" ca="1" si="209"/>
        <v>-1</v>
      </c>
      <c r="P96" s="27">
        <f t="shared" ca="1" si="210"/>
        <v>-1</v>
      </c>
      <c r="R96" s="41" t="str">
        <f ca="1">VLOOKUP(S96,cvt!$B$2:$C$4,2,FALSE)&amp;VLOOKUP(T96,cvt!$B$2:$C$4,2,FALSE)&amp;VLOOKUP(U96,cvt!$B$2:$C$4,2,FALSE)
&amp;VLOOKUP(V96,cvt!$B$2:$C$4,2,FALSE)&amp;VLOOKUP(W96,cvt!$B$2:$C$4,2,FALSE)&amp;VLOOKUP(X96,cvt!$B$2:$C$4,2,FALSE)
&amp;VLOOKUP(Y96,cvt!$B$2:$C$4,2,FALSE)&amp;VLOOKUP(Z96,cvt!$B$2:$C$4,2,FALSE)&amp;VLOOKUP(AA96,cvt!$B$2:$C$4,2,FALSE)</f>
        <v>〇×〇×〇×--〇</v>
      </c>
      <c r="S96" s="7">
        <f ca="1">VLOOKUP(MID($D96,S$9+1,1), cvt!$A$2:$B$4,2, FALSE)</f>
        <v>1</v>
      </c>
      <c r="T96" s="7">
        <f ca="1">VLOOKUP(MID($D96,T$9+1,1), cvt!$A$2:$B$4,2, FALSE)</f>
        <v>-1</v>
      </c>
      <c r="U96" s="7">
        <f ca="1">VLOOKUP(MID($D96,U$9+1,1), cvt!$A$2:$B$4,2, FALSE)</f>
        <v>1</v>
      </c>
      <c r="V96" s="17">
        <f ca="1">VLOOKUP(MID($D96,V$9+1,1), cvt!$A$2:$B$4,2, FALSE)</f>
        <v>-1</v>
      </c>
      <c r="W96" s="7">
        <f ca="1">VLOOKUP(MID($D96,W$9+1,1), cvt!$A$2:$B$4,2, FALSE)</f>
        <v>1</v>
      </c>
      <c r="X96" s="18">
        <f ca="1">VLOOKUP(MID($D96,X$9+1,1), cvt!$A$2:$B$4,2, FALSE)</f>
        <v>-1</v>
      </c>
      <c r="Y96" s="7">
        <f ca="1">VLOOKUP(MID($D96,Y$9+1,1), cvt!$A$2:$B$4,2, FALSE)</f>
        <v>0</v>
      </c>
      <c r="Z96" s="7">
        <f ca="1">VLOOKUP(MID($D96,Z$9+1,1), cvt!$A$2:$B$4,2, FALSE)</f>
        <v>0</v>
      </c>
      <c r="AA96" s="42">
        <f ca="1">VLOOKUP(MID($D96,AA$9+1,1), cvt!$A$2:$B$4,2, FALSE)</f>
        <v>1</v>
      </c>
      <c r="AB96" s="7">
        <f t="shared" ca="1" si="211"/>
        <v>1</v>
      </c>
      <c r="AC96" s="50" t="b">
        <f t="shared" ca="1" si="212"/>
        <v>1</v>
      </c>
      <c r="AE96" s="19" t="str">
        <f ca="1">VLOOKUP(AF96,cvt!$B$2:$C$4,2,FALSE)&amp;VLOOKUP(AG96,cvt!$B$2:$C$4,2,FALSE)&amp;VLOOKUP(AH96,cvt!$B$2:$C$4,2,FALSE)
&amp;VLOOKUP(AI96,cvt!$B$2:$C$4,2,FALSE)&amp;VLOOKUP(AJ96,cvt!$B$2:$C$4,2,FALSE)&amp;VLOOKUP(AK96,cvt!$B$2:$C$4,2,FALSE)
&amp;VLOOKUP(AL96,cvt!$B$2:$C$4,2,FALSE)&amp;VLOOKUP(AM96,cvt!$B$2:$C$4,2,FALSE)&amp;VLOOKUP(AN96,cvt!$B$2:$C$4,2,FALSE)</f>
        <v>〇×〇×〇×--〇</v>
      </c>
      <c r="AF96" s="17">
        <f t="shared" ca="1" si="143"/>
        <v>1</v>
      </c>
      <c r="AG96" s="7">
        <f t="shared" ca="1" si="144"/>
        <v>-1</v>
      </c>
      <c r="AH96" s="7">
        <f t="shared" ca="1" si="145"/>
        <v>1</v>
      </c>
      <c r="AI96" s="17">
        <f t="shared" ca="1" si="146"/>
        <v>-1</v>
      </c>
      <c r="AJ96" s="7">
        <f t="shared" ca="1" si="147"/>
        <v>1</v>
      </c>
      <c r="AK96" s="18">
        <f t="shared" ca="1" si="148"/>
        <v>-1</v>
      </c>
      <c r="AL96" s="7">
        <f t="shared" ca="1" si="149"/>
        <v>0</v>
      </c>
      <c r="AM96" s="7">
        <f t="shared" ca="1" si="150"/>
        <v>0</v>
      </c>
      <c r="AN96" s="18">
        <f t="shared" ca="1" si="151"/>
        <v>1</v>
      </c>
      <c r="AO96" s="7">
        <f t="shared" ca="1" si="213"/>
        <v>1</v>
      </c>
      <c r="AP96" s="50" t="b">
        <f t="shared" ca="1" si="152"/>
        <v>1</v>
      </c>
      <c r="AS96" s="22">
        <f t="shared" ca="1" si="214"/>
        <v>0</v>
      </c>
      <c r="AT96" s="7">
        <f t="shared" ca="1" si="153"/>
        <v>0</v>
      </c>
      <c r="AU96" s="7">
        <f t="shared" ca="1" si="154"/>
        <v>0</v>
      </c>
      <c r="AV96" s="7">
        <f t="shared" ca="1" si="155"/>
        <v>0</v>
      </c>
      <c r="AW96" s="7">
        <f t="shared" ca="1" si="156"/>
        <v>0</v>
      </c>
      <c r="AX96" s="7">
        <f t="shared" ca="1" si="157"/>
        <v>0</v>
      </c>
      <c r="AY96" s="7">
        <f t="shared" ca="1" si="158"/>
        <v>0</v>
      </c>
      <c r="AZ96" s="7">
        <f t="shared" ca="1" si="159"/>
        <v>0</v>
      </c>
      <c r="BA96" s="18">
        <f t="shared" ca="1" si="160"/>
        <v>0</v>
      </c>
      <c r="BB96" s="295">
        <f t="shared" ca="1" si="215"/>
        <v>1</v>
      </c>
      <c r="BD96" s="132"/>
      <c r="BE96" s="297">
        <f t="shared" ca="1" si="216"/>
        <v>1</v>
      </c>
      <c r="BF96" s="298">
        <f t="shared" ca="1" si="161"/>
        <v>0.65029522127322903</v>
      </c>
      <c r="BG96" s="298">
        <f t="shared" ca="1" si="162"/>
        <v>0.66028983545318687</v>
      </c>
      <c r="BH96" s="318">
        <f t="shared" ca="1" si="163"/>
        <v>0.64972655813153501</v>
      </c>
      <c r="BI96" s="298">
        <f t="shared" ca="1" si="164"/>
        <v>0.65002804502111444</v>
      </c>
      <c r="BJ96" s="299">
        <f t="shared" ca="1" si="165"/>
        <v>0.65029320640965171</v>
      </c>
      <c r="BK96" s="298">
        <f t="shared" ca="1" si="166"/>
        <v>0.64942668056342145</v>
      </c>
      <c r="BL96" s="298">
        <f t="shared" ca="1" si="167"/>
        <v>0.61083952513994022</v>
      </c>
      <c r="BM96" s="299">
        <f t="shared" ca="1" si="168"/>
        <v>0.6508682169276182</v>
      </c>
      <c r="BN96" s="295">
        <f t="shared" ca="1" si="169"/>
        <v>0.17402001625314881</v>
      </c>
      <c r="BO96" s="248">
        <f t="shared" ca="1" si="217"/>
        <v>-2.2535161742124597E-5</v>
      </c>
      <c r="BQ96" s="304">
        <f t="shared" ca="1" si="218"/>
        <v>0.42412001625314877</v>
      </c>
      <c r="BR96" s="297">
        <f t="shared" ca="1" si="219"/>
        <v>0</v>
      </c>
      <c r="BS96" s="298">
        <f t="shared" ca="1" si="170"/>
        <v>0</v>
      </c>
      <c r="BT96" s="298">
        <f t="shared" ca="1" si="171"/>
        <v>0</v>
      </c>
      <c r="BU96" s="318">
        <f t="shared" ca="1" si="172"/>
        <v>0</v>
      </c>
      <c r="BV96" s="298">
        <f t="shared" ca="1" si="173"/>
        <v>0</v>
      </c>
      <c r="BW96" s="299">
        <f t="shared" ca="1" si="174"/>
        <v>0</v>
      </c>
      <c r="BX96" s="298">
        <f t="shared" ca="1" si="175"/>
        <v>0</v>
      </c>
      <c r="BY96" s="298">
        <f t="shared" ca="1" si="176"/>
        <v>0</v>
      </c>
      <c r="BZ96" s="298">
        <f t="shared" ca="1" si="177"/>
        <v>0</v>
      </c>
      <c r="CA96" s="315">
        <f t="shared" ca="1" si="178"/>
        <v>0.42412001625314877</v>
      </c>
      <c r="CC96" s="52"/>
      <c r="CD96" s="306">
        <f t="shared" ca="1" si="220"/>
        <v>0</v>
      </c>
      <c r="CE96" s="15">
        <f t="shared" ca="1" si="179"/>
        <v>0</v>
      </c>
      <c r="CF96" s="15">
        <f t="shared" ca="1" si="180"/>
        <v>0</v>
      </c>
      <c r="CG96" s="286">
        <f t="shared" ca="1" si="181"/>
        <v>0</v>
      </c>
      <c r="CH96" s="15">
        <f t="shared" ca="1" si="182"/>
        <v>0</v>
      </c>
      <c r="CI96" s="288">
        <f t="shared" ca="1" si="183"/>
        <v>0</v>
      </c>
      <c r="CJ96" s="15">
        <f t="shared" ca="1" si="184"/>
        <v>0</v>
      </c>
      <c r="CK96" s="15">
        <f t="shared" ca="1" si="185"/>
        <v>0</v>
      </c>
      <c r="CL96" s="15">
        <f t="shared" ca="1" si="186"/>
        <v>0</v>
      </c>
      <c r="CM96" s="313">
        <f t="shared" ca="1" si="187"/>
        <v>1</v>
      </c>
      <c r="CO96" s="320">
        <f t="shared" ca="1" si="221"/>
        <v>85</v>
      </c>
      <c r="CP96" s="22">
        <f ca="1">COUNTIFS($C$10:$C95,"&lt;"&amp;$C96,$M$10:$M95,$D96&amp;"_"&amp;CP$9)</f>
        <v>0</v>
      </c>
      <c r="CQ96" s="7">
        <f ca="1">COUNTIFS($C$10:$C95,"&lt;"&amp;$C96,$M$10:$M95,$D96&amp;"_"&amp;CQ$9)</f>
        <v>0</v>
      </c>
      <c r="CR96" s="7">
        <f ca="1">COUNTIFS($C$10:$C95,"&lt;"&amp;$C96,$M$10:$M95,$D96&amp;"_"&amp;CR$9)</f>
        <v>0</v>
      </c>
      <c r="CS96" s="17">
        <f ca="1">COUNTIFS($C$10:$C95,"&lt;"&amp;$C96,$M$10:$M95,$D96&amp;"_"&amp;CS$9)</f>
        <v>0</v>
      </c>
      <c r="CT96" s="7">
        <f ca="1">COUNTIFS($C$10:$C95,"&lt;"&amp;$C96,$M$10:$M95,$D96&amp;"_"&amp;CT$9)</f>
        <v>0</v>
      </c>
      <c r="CU96" s="18">
        <f ca="1">COUNTIFS($C$10:$C95,"&lt;"&amp;$C96,$M$10:$M95,$D96&amp;"_"&amp;CU$9)</f>
        <v>0</v>
      </c>
      <c r="CV96" s="7">
        <f ca="1">COUNTIFS($C$10:$C95,"&lt;"&amp;$C96,$M$10:$M95,$D96&amp;"_"&amp;CV$9)</f>
        <v>0</v>
      </c>
      <c r="CW96" s="7">
        <f ca="1">COUNTIFS($C$10:$C95,"&lt;"&amp;$C96,$M$10:$M95,$D96&amp;"_"&amp;CW$9)</f>
        <v>0</v>
      </c>
      <c r="CX96" s="7">
        <f ca="1">COUNTIFS($C$10:$C95,"&lt;"&amp;$C96,$M$10:$M95,$D96&amp;"_"&amp;CX$9)</f>
        <v>0</v>
      </c>
      <c r="CY96" s="221">
        <f ca="1">COUNTIFS($C$10:$C95,"&lt;"&amp;$C96,$M$10:$M95,$D96&amp;"_"&amp;CY$9)</f>
        <v>85</v>
      </c>
      <c r="DA96" s="20"/>
      <c r="DB96" s="308">
        <f ca="1">IF(CP96=0,0,SUMIFS($P$10:$P95, $C$10:$C95,"&lt;"&amp;$C96, $M$10:$M95,$D96&amp;"_"&amp;DB$9)/CP96)</f>
        <v>0</v>
      </c>
      <c r="DC96" s="263">
        <f ca="1">IF(CQ96=0,0,SUMIFS($P$10:$P95, $C$10:$C95,"&lt;"&amp;$C96, $M$10:$M95,$D96&amp;"_"&amp;DC$9)/CQ96)</f>
        <v>0</v>
      </c>
      <c r="DD96" s="263">
        <f ca="1">IF(CR96=0,0,SUMIFS($P$10:$P95, $C$10:$C95,"&lt;"&amp;$C96, $M$10:$M95,$D96&amp;"_"&amp;DD$9)/CR96)</f>
        <v>0</v>
      </c>
      <c r="DE96" s="262">
        <f ca="1">IF(CS96=0,0,SUMIFS($P$10:$P95, $C$10:$C95,"&lt;"&amp;$C96, $M$10:$M95,$D96&amp;"_"&amp;DE$9)/CS96)</f>
        <v>0</v>
      </c>
      <c r="DF96" s="263">
        <f ca="1">IF(CT96=0,0,SUMIFS($P$10:$P95, $C$10:$C95,"&lt;"&amp;$C96, $M$10:$M95,$D96&amp;"_"&amp;DF$9)/CT96)</f>
        <v>0</v>
      </c>
      <c r="DG96" s="310">
        <f ca="1">IF(CU96=0,0,SUMIFS($P$10:$P95, $C$10:$C95,"&lt;"&amp;$C96, $M$10:$M95,$D96&amp;"_"&amp;DG$9)/CU96)</f>
        <v>0</v>
      </c>
      <c r="DH96" s="263">
        <f ca="1">IF(CV96=0,0,SUMIFS($P$10:$P95, $C$10:$C95,"&lt;"&amp;$C96, $M$10:$M95,$D96&amp;"_"&amp;DH$9)/CV96)</f>
        <v>0</v>
      </c>
      <c r="DI96" s="263">
        <f ca="1">IF(CW96=0,0,SUMIFS($P$10:$P95, $C$10:$C95,"&lt;"&amp;$C96, $M$10:$M95,$D96&amp;"_"&amp;DI$9)/CW96)</f>
        <v>0</v>
      </c>
      <c r="DJ96" s="264">
        <f ca="1">IF(CX96=0,0,SUMIFS($P$10:$P95, $C$10:$C95,"&lt;"&amp;$C96, $M$10:$M95,$D96&amp;"_"&amp;DJ$9)/CX96)</f>
        <v>0</v>
      </c>
      <c r="DK96" s="264">
        <f ca="1">IF(CY96=0,0,SUMIFS($P$10:$P95, $C$10:$C95,"&lt;"&amp;$C96, $M$10:$M95,$D96&amp;"_"&amp;DK$9)/CY96)</f>
        <v>-1</v>
      </c>
      <c r="DM96" s="104"/>
      <c r="DN96" s="306">
        <f t="shared" ca="1" si="222"/>
        <v>-9999</v>
      </c>
      <c r="DO96" s="15">
        <f t="shared" ca="1" si="188"/>
        <v>-9999</v>
      </c>
      <c r="DP96" s="15">
        <f t="shared" ca="1" si="189"/>
        <v>-9999</v>
      </c>
      <c r="DQ96" s="15">
        <f t="shared" ca="1" si="190"/>
        <v>-9999</v>
      </c>
      <c r="DR96" s="15">
        <f t="shared" ca="1" si="191"/>
        <v>-9999</v>
      </c>
      <c r="DS96" s="15">
        <f t="shared" ca="1" si="192"/>
        <v>-9999</v>
      </c>
      <c r="DT96" s="15">
        <f t="shared" ca="1" si="193"/>
        <v>-9999</v>
      </c>
      <c r="DU96" s="15">
        <f t="shared" ca="1" si="194"/>
        <v>-9999</v>
      </c>
      <c r="DV96" s="52">
        <f t="shared" ca="1" si="195"/>
        <v>-9999</v>
      </c>
      <c r="DW96" s="313">
        <f t="shared" ca="1" si="196"/>
        <v>-0.89279599468264081</v>
      </c>
      <c r="DX96" s="52"/>
      <c r="DY96" s="402">
        <f t="shared" ca="1" si="223"/>
        <v>9</v>
      </c>
      <c r="ED96" s="19">
        <f t="shared" ca="1" si="197"/>
        <v>-1</v>
      </c>
      <c r="EE96" s="1">
        <f t="shared" ca="1" si="198"/>
        <v>1</v>
      </c>
      <c r="EF96" s="1">
        <f t="shared" ca="1" si="199"/>
        <v>-1</v>
      </c>
      <c r="EG96" s="2">
        <f t="shared" ca="1" si="200"/>
        <v>1</v>
      </c>
      <c r="EH96" s="1">
        <f t="shared" ca="1" si="201"/>
        <v>-1</v>
      </c>
      <c r="EI96" s="3">
        <f t="shared" ca="1" si="202"/>
        <v>1</v>
      </c>
      <c r="EJ96" s="1">
        <f t="shared" ca="1" si="203"/>
        <v>0</v>
      </c>
      <c r="EK96" s="1">
        <f t="shared" ca="1" si="204"/>
        <v>0</v>
      </c>
      <c r="EL96" s="20">
        <f t="shared" ca="1" si="205"/>
        <v>-1</v>
      </c>
      <c r="EN96" s="86">
        <f ca="1">MAX(0, SUMPRODUCT($ED96:$EL96,OFFSET(DNN!$E$9:$M$9,EN$9,0)) + OFFSET(DNN!$D$9,EN$9,0))</f>
        <v>0</v>
      </c>
      <c r="EO96" s="84">
        <f ca="1">MAX(0, SUMPRODUCT($ED96:$EL96,OFFSET(DNN!$E$9:$M$9,EO$9,0)) + OFFSET(DNN!$D$9,EO$9,0))</f>
        <v>7.2346022384755949E-3</v>
      </c>
      <c r="EP96" s="84">
        <f ca="1">MAX(0, SUMPRODUCT($ED96:$EL96,OFFSET(DNN!$E$9:$M$9,EP$9,0)) + OFFSET(DNN!$D$9,EP$9,0))</f>
        <v>3.6951849750035152E-3</v>
      </c>
      <c r="EQ96" s="84">
        <f ca="1">MAX(0, SUMPRODUCT($ED96:$EL96,OFFSET(DNN!$E$9:$M$9,EQ$9,0)) + OFFSET(DNN!$D$9,EQ$9,0))</f>
        <v>0</v>
      </c>
      <c r="ER96" s="85">
        <f ca="1">MAX(0, SUMPRODUCT($ED96:$EL96,OFFSET(DNN!$E$9:$M$9,ER$9,0)) + OFFSET(DNN!$D$9,ER$9,0))</f>
        <v>0</v>
      </c>
      <c r="ET96" s="86">
        <f ca="1">MAX(0, SUMPRODUCT($EN96:$ER96,OFFSET(DNN!$Q$9:$U$9,ET$9,0)) + OFFSET(DNN!$P$9,ET$9,0))</f>
        <v>4.3954959453478351E-4</v>
      </c>
      <c r="EU96" s="84">
        <f ca="1">MAX(0, SUMPRODUCT($EN96:$ER96,OFFSET(DNN!$Q$9:$U$9,EU$9,0)) + OFFSET(DNN!$P$9,EU$9,0))</f>
        <v>0</v>
      </c>
      <c r="EV96" s="84">
        <f ca="1">MAX(0, SUMPRODUCT($EN96:$ER96,OFFSET(DNN!$Q$9:$U$9,EV$9,0)) + OFFSET(DNN!$P$9,EV$9,0))</f>
        <v>1.2810123361902579E-3</v>
      </c>
      <c r="EW96" s="84">
        <f ca="1">MAX(0, SUMPRODUCT($EN96:$ER96,OFFSET(DNN!$Q$9:$U$9,EW$9,0)) + OFFSET(DNN!$P$9,EW$9,0))</f>
        <v>7.8382123007882457E-4</v>
      </c>
      <c r="EX96" s="85">
        <f ca="1">MAX(0, SUMPRODUCT($EN96:$ER96,OFFSET(DNN!$Q$9:$U$9,EX$9,0)) + OFFSET(DNN!$P$9,EX$9,0))</f>
        <v>0</v>
      </c>
      <c r="EZ96" s="111">
        <f ca="1">SUMPRODUCT($ET96:$EX96,OFFSET(DNN!$Y$9:$AC$9,EZ$9,0)) + OFFSET(DNN!$X$9,EZ$9,0)</f>
        <v>0.43031618918982212</v>
      </c>
      <c r="FA96" s="97">
        <f ca="1">SUMPRODUCT($ET96:$EX96,OFFSET(DNN!$Y$9:$AC$9,FA$9,0)) + OFFSET(DNN!$X$9,FA$9,0)</f>
        <v>-1.2643439935754107E-5</v>
      </c>
      <c r="FB96" s="97">
        <f ca="1">SUMPRODUCT($ET96:$EX96,OFFSET(DNN!$Y$9:$AC$9,FB$9,0)) + OFFSET(DNN!$X$9,FB$9,0)</f>
        <v>1.5239793458415756E-2</v>
      </c>
      <c r="FC96" s="97">
        <f ca="1">SUMPRODUCT($ET96:$EX96,OFFSET(DNN!$Y$9:$AC$9,FC$9,0)) + OFFSET(DNN!$X$9,FC$9,0)</f>
        <v>-8.8749521084055777E-4</v>
      </c>
      <c r="FD96" s="97">
        <f ca="1">SUMPRODUCT($ET96:$EX96,OFFSET(DNN!$Y$9:$AC$9,FD$9,0)) + OFFSET(DNN!$X$9,FD$9,0)</f>
        <v>-4.235816470721872E-4</v>
      </c>
      <c r="FE96" s="97">
        <f ca="1">SUMPRODUCT($ET96:$EX96,OFFSET(DNN!$Y$9:$AC$9,FE$9,0)) + OFFSET(DNN!$X$9,FE$9,0)</f>
        <v>-1.574182761064886E-5</v>
      </c>
      <c r="FF96" s="97">
        <f ca="1">SUMPRODUCT($ET96:$EX96,OFFSET(DNN!$Y$9:$AC$9,FF$9,0)) + OFFSET(DNN!$X$9,FF$9,0)</f>
        <v>-1.3491460223194656E-3</v>
      </c>
      <c r="FG96" s="97">
        <f ca="1">SUMPRODUCT($ET96:$EX96,OFFSET(DNN!$Y$9:$AC$9,FG$9,0)) + OFFSET(DNN!$X$9,FG$9,0)</f>
        <v>-6.2604808096248285E-2</v>
      </c>
      <c r="FH96" s="97">
        <f ca="1">SUMPRODUCT($ET96:$EX96,OFFSET(DNN!$Y$9:$AC$9,FH$9,0)) + OFFSET(DNN!$X$9,FH$9,0)</f>
        <v>8.6810016937029894E-4</v>
      </c>
      <c r="FI96" s="108">
        <f ca="1">SUMPRODUCT($ET96:$EX96,OFFSET(DNN!$Y$9:$AC$9,FI$9,0)) + OFFSET(DNN!$X$9,FI$9,0)</f>
        <v>-1.3182687612562751</v>
      </c>
      <c r="FJ96" s="98">
        <f ca="1">SUMPRODUCT($ET96:$EX96,OFFSET(DNN!$Y$9:$AC$9,FJ$9,0)) + OFFSET(DNN!$X$9,FJ$9,0)</f>
        <v>-2.2535161745939301E-5</v>
      </c>
      <c r="FL96" s="415">
        <f t="shared" ca="1" si="224"/>
        <v>0.43031618918982212</v>
      </c>
      <c r="FM96" s="130">
        <f t="shared" ca="1" si="225"/>
        <v>1</v>
      </c>
      <c r="FN96" s="131">
        <f t="shared" ca="1" si="226"/>
        <v>0.65029522127322903</v>
      </c>
      <c r="FO96" s="131">
        <f t="shared" ca="1" si="227"/>
        <v>0.66028983545318687</v>
      </c>
      <c r="FP96" s="131">
        <f t="shared" ca="1" si="228"/>
        <v>0.64972655813153501</v>
      </c>
      <c r="FQ96" s="131">
        <f t="shared" ca="1" si="229"/>
        <v>0.65002804502111444</v>
      </c>
      <c r="FR96" s="131">
        <f t="shared" ca="1" si="230"/>
        <v>0.65029320640965171</v>
      </c>
      <c r="FS96" s="131">
        <f t="shared" ca="1" si="231"/>
        <v>0.64942668056342145</v>
      </c>
      <c r="FT96" s="131">
        <f t="shared" ca="1" si="232"/>
        <v>0.61083952513994022</v>
      </c>
      <c r="FU96" s="132">
        <f t="shared" ca="1" si="233"/>
        <v>0.6508682169276182</v>
      </c>
      <c r="FV96" s="131">
        <f t="shared" ca="1" si="234"/>
        <v>0.17402001625314881</v>
      </c>
      <c r="FW96" s="83">
        <f t="shared" ca="1" si="235"/>
        <v>-2.2535161742124597E-5</v>
      </c>
    </row>
    <row r="97" spans="1:179">
      <c r="A97" s="19">
        <f t="shared" si="240"/>
        <v>87</v>
      </c>
      <c r="B97" s="1">
        <f t="shared" ca="1" si="236"/>
        <v>0</v>
      </c>
      <c r="C97" s="20">
        <f t="shared" ca="1" si="237"/>
        <v>87</v>
      </c>
      <c r="D97" s="19" t="str">
        <f t="shared" ca="1" si="238"/>
        <v>〇×〇×〇×--〇</v>
      </c>
      <c r="E97" s="7">
        <f t="shared" ca="1" si="206"/>
        <v>9</v>
      </c>
      <c r="F97" s="7">
        <f t="shared" ca="1" si="207"/>
        <v>1</v>
      </c>
      <c r="G97" s="1" t="str">
        <f t="shared" ca="1" si="139"/>
        <v>〇×〇×〇×--〇</v>
      </c>
      <c r="H97" s="20" t="b">
        <f t="shared" ca="1" si="140"/>
        <v>1</v>
      </c>
      <c r="I97" s="22">
        <f t="shared" ca="1" si="239"/>
        <v>-1</v>
      </c>
      <c r="J97" s="1" t="b">
        <f ca="1">(1&lt;COUNTIF(D$10:D97,D97))</f>
        <v>1</v>
      </c>
      <c r="K97" s="1" t="b">
        <f t="shared" ca="1" si="141"/>
        <v>1</v>
      </c>
      <c r="L97" s="7">
        <f ca="1">MATCH(TRUE,K97:K$1048576,FALSE)-1</f>
        <v>0</v>
      </c>
      <c r="M97" s="24" t="str">
        <f t="shared" ca="1" si="142"/>
        <v>〇×〇×〇×--〇_9</v>
      </c>
      <c r="N97" s="25">
        <f t="shared" ca="1" si="208"/>
        <v>-2.2535161742124597E-5</v>
      </c>
      <c r="O97" s="26">
        <f t="shared" ca="1" si="209"/>
        <v>-1</v>
      </c>
      <c r="P97" s="27">
        <f t="shared" ca="1" si="210"/>
        <v>-1</v>
      </c>
      <c r="R97" s="41" t="str">
        <f ca="1">VLOOKUP(S97,cvt!$B$2:$C$4,2,FALSE)&amp;VLOOKUP(T97,cvt!$B$2:$C$4,2,FALSE)&amp;VLOOKUP(U97,cvt!$B$2:$C$4,2,FALSE)
&amp;VLOOKUP(V97,cvt!$B$2:$C$4,2,FALSE)&amp;VLOOKUP(W97,cvt!$B$2:$C$4,2,FALSE)&amp;VLOOKUP(X97,cvt!$B$2:$C$4,2,FALSE)
&amp;VLOOKUP(Y97,cvt!$B$2:$C$4,2,FALSE)&amp;VLOOKUP(Z97,cvt!$B$2:$C$4,2,FALSE)&amp;VLOOKUP(AA97,cvt!$B$2:$C$4,2,FALSE)</f>
        <v>〇×〇×〇×--〇</v>
      </c>
      <c r="S97" s="7">
        <f ca="1">VLOOKUP(MID($D97,S$9+1,1), cvt!$A$2:$B$4,2, FALSE)</f>
        <v>1</v>
      </c>
      <c r="T97" s="7">
        <f ca="1">VLOOKUP(MID($D97,T$9+1,1), cvt!$A$2:$B$4,2, FALSE)</f>
        <v>-1</v>
      </c>
      <c r="U97" s="7">
        <f ca="1">VLOOKUP(MID($D97,U$9+1,1), cvt!$A$2:$B$4,2, FALSE)</f>
        <v>1</v>
      </c>
      <c r="V97" s="17">
        <f ca="1">VLOOKUP(MID($D97,V$9+1,1), cvt!$A$2:$B$4,2, FALSE)</f>
        <v>-1</v>
      </c>
      <c r="W97" s="7">
        <f ca="1">VLOOKUP(MID($D97,W$9+1,1), cvt!$A$2:$B$4,2, FALSE)</f>
        <v>1</v>
      </c>
      <c r="X97" s="18">
        <f ca="1">VLOOKUP(MID($D97,X$9+1,1), cvt!$A$2:$B$4,2, FALSE)</f>
        <v>-1</v>
      </c>
      <c r="Y97" s="7">
        <f ca="1">VLOOKUP(MID($D97,Y$9+1,1), cvt!$A$2:$B$4,2, FALSE)</f>
        <v>0</v>
      </c>
      <c r="Z97" s="7">
        <f ca="1">VLOOKUP(MID($D97,Z$9+1,1), cvt!$A$2:$B$4,2, FALSE)</f>
        <v>0</v>
      </c>
      <c r="AA97" s="42">
        <f ca="1">VLOOKUP(MID($D97,AA$9+1,1), cvt!$A$2:$B$4,2, FALSE)</f>
        <v>1</v>
      </c>
      <c r="AB97" s="7">
        <f t="shared" ca="1" si="211"/>
        <v>1</v>
      </c>
      <c r="AC97" s="50" t="b">
        <f t="shared" ca="1" si="212"/>
        <v>1</v>
      </c>
      <c r="AE97" s="19" t="str">
        <f ca="1">VLOOKUP(AF97,cvt!$B$2:$C$4,2,FALSE)&amp;VLOOKUP(AG97,cvt!$B$2:$C$4,2,FALSE)&amp;VLOOKUP(AH97,cvt!$B$2:$C$4,2,FALSE)
&amp;VLOOKUP(AI97,cvt!$B$2:$C$4,2,FALSE)&amp;VLOOKUP(AJ97,cvt!$B$2:$C$4,2,FALSE)&amp;VLOOKUP(AK97,cvt!$B$2:$C$4,2,FALSE)
&amp;VLOOKUP(AL97,cvt!$B$2:$C$4,2,FALSE)&amp;VLOOKUP(AM97,cvt!$B$2:$C$4,2,FALSE)&amp;VLOOKUP(AN97,cvt!$B$2:$C$4,2,FALSE)</f>
        <v>〇×〇×〇×--〇</v>
      </c>
      <c r="AF97" s="17">
        <f t="shared" ca="1" si="143"/>
        <v>1</v>
      </c>
      <c r="AG97" s="7">
        <f t="shared" ca="1" si="144"/>
        <v>-1</v>
      </c>
      <c r="AH97" s="7">
        <f t="shared" ca="1" si="145"/>
        <v>1</v>
      </c>
      <c r="AI97" s="17">
        <f t="shared" ca="1" si="146"/>
        <v>-1</v>
      </c>
      <c r="AJ97" s="7">
        <f t="shared" ca="1" si="147"/>
        <v>1</v>
      </c>
      <c r="AK97" s="18">
        <f t="shared" ca="1" si="148"/>
        <v>-1</v>
      </c>
      <c r="AL97" s="7">
        <f t="shared" ca="1" si="149"/>
        <v>0</v>
      </c>
      <c r="AM97" s="7">
        <f t="shared" ca="1" si="150"/>
        <v>0</v>
      </c>
      <c r="AN97" s="18">
        <f t="shared" ca="1" si="151"/>
        <v>1</v>
      </c>
      <c r="AO97" s="7">
        <f t="shared" ca="1" si="213"/>
        <v>1</v>
      </c>
      <c r="AP97" s="50" t="b">
        <f t="shared" ca="1" si="152"/>
        <v>1</v>
      </c>
      <c r="AS97" s="22">
        <f t="shared" ca="1" si="214"/>
        <v>0</v>
      </c>
      <c r="AT97" s="7">
        <f t="shared" ca="1" si="153"/>
        <v>0</v>
      </c>
      <c r="AU97" s="7">
        <f t="shared" ca="1" si="154"/>
        <v>0</v>
      </c>
      <c r="AV97" s="7">
        <f t="shared" ca="1" si="155"/>
        <v>0</v>
      </c>
      <c r="AW97" s="7">
        <f t="shared" ca="1" si="156"/>
        <v>0</v>
      </c>
      <c r="AX97" s="7">
        <f t="shared" ca="1" si="157"/>
        <v>0</v>
      </c>
      <c r="AY97" s="7">
        <f t="shared" ca="1" si="158"/>
        <v>0</v>
      </c>
      <c r="AZ97" s="7">
        <f t="shared" ca="1" si="159"/>
        <v>0</v>
      </c>
      <c r="BA97" s="18">
        <f t="shared" ca="1" si="160"/>
        <v>0</v>
      </c>
      <c r="BB97" s="295">
        <f t="shared" ca="1" si="215"/>
        <v>1</v>
      </c>
      <c r="BD97" s="132"/>
      <c r="BE97" s="297">
        <f t="shared" ca="1" si="216"/>
        <v>1</v>
      </c>
      <c r="BF97" s="298">
        <f t="shared" ca="1" si="161"/>
        <v>0.65029522127322903</v>
      </c>
      <c r="BG97" s="298">
        <f t="shared" ca="1" si="162"/>
        <v>0.66028983545318687</v>
      </c>
      <c r="BH97" s="318">
        <f t="shared" ca="1" si="163"/>
        <v>0.64972655813153501</v>
      </c>
      <c r="BI97" s="298">
        <f t="shared" ca="1" si="164"/>
        <v>0.65002804502111444</v>
      </c>
      <c r="BJ97" s="299">
        <f t="shared" ca="1" si="165"/>
        <v>0.65029320640965171</v>
      </c>
      <c r="BK97" s="298">
        <f t="shared" ca="1" si="166"/>
        <v>0.64942668056342145</v>
      </c>
      <c r="BL97" s="298">
        <f t="shared" ca="1" si="167"/>
        <v>0.61083952513994022</v>
      </c>
      <c r="BM97" s="299">
        <f t="shared" ca="1" si="168"/>
        <v>0.6508682169276182</v>
      </c>
      <c r="BN97" s="295">
        <f t="shared" ca="1" si="169"/>
        <v>0.17402001625314881</v>
      </c>
      <c r="BO97" s="248">
        <f t="shared" ca="1" si="217"/>
        <v>-2.2535161742124597E-5</v>
      </c>
      <c r="BQ97" s="304">
        <f t="shared" ca="1" si="218"/>
        <v>0.42412001625314877</v>
      </c>
      <c r="BR97" s="297">
        <f t="shared" ca="1" si="219"/>
        <v>0</v>
      </c>
      <c r="BS97" s="298">
        <f t="shared" ca="1" si="170"/>
        <v>0</v>
      </c>
      <c r="BT97" s="298">
        <f t="shared" ca="1" si="171"/>
        <v>0</v>
      </c>
      <c r="BU97" s="318">
        <f t="shared" ca="1" si="172"/>
        <v>0</v>
      </c>
      <c r="BV97" s="298">
        <f t="shared" ca="1" si="173"/>
        <v>0</v>
      </c>
      <c r="BW97" s="299">
        <f t="shared" ca="1" si="174"/>
        <v>0</v>
      </c>
      <c r="BX97" s="298">
        <f t="shared" ca="1" si="175"/>
        <v>0</v>
      </c>
      <c r="BY97" s="298">
        <f t="shared" ca="1" si="176"/>
        <v>0</v>
      </c>
      <c r="BZ97" s="298">
        <f t="shared" ca="1" si="177"/>
        <v>0</v>
      </c>
      <c r="CA97" s="315">
        <f t="shared" ca="1" si="178"/>
        <v>0.42412001625314877</v>
      </c>
      <c r="CC97" s="52"/>
      <c r="CD97" s="306">
        <f t="shared" ca="1" si="220"/>
        <v>0</v>
      </c>
      <c r="CE97" s="15">
        <f t="shared" ca="1" si="179"/>
        <v>0</v>
      </c>
      <c r="CF97" s="15">
        <f t="shared" ca="1" si="180"/>
        <v>0</v>
      </c>
      <c r="CG97" s="286">
        <f t="shared" ca="1" si="181"/>
        <v>0</v>
      </c>
      <c r="CH97" s="15">
        <f t="shared" ca="1" si="182"/>
        <v>0</v>
      </c>
      <c r="CI97" s="288">
        <f t="shared" ca="1" si="183"/>
        <v>0</v>
      </c>
      <c r="CJ97" s="15">
        <f t="shared" ca="1" si="184"/>
        <v>0</v>
      </c>
      <c r="CK97" s="15">
        <f t="shared" ca="1" si="185"/>
        <v>0</v>
      </c>
      <c r="CL97" s="15">
        <f t="shared" ca="1" si="186"/>
        <v>0</v>
      </c>
      <c r="CM97" s="313">
        <f t="shared" ca="1" si="187"/>
        <v>1</v>
      </c>
      <c r="CO97" s="320">
        <f t="shared" ca="1" si="221"/>
        <v>86</v>
      </c>
      <c r="CP97" s="22">
        <f ca="1">COUNTIFS($C$10:$C96,"&lt;"&amp;$C97,$M$10:$M96,$D97&amp;"_"&amp;CP$9)</f>
        <v>0</v>
      </c>
      <c r="CQ97" s="7">
        <f ca="1">COUNTIFS($C$10:$C96,"&lt;"&amp;$C97,$M$10:$M96,$D97&amp;"_"&amp;CQ$9)</f>
        <v>0</v>
      </c>
      <c r="CR97" s="7">
        <f ca="1">COUNTIFS($C$10:$C96,"&lt;"&amp;$C97,$M$10:$M96,$D97&amp;"_"&amp;CR$9)</f>
        <v>0</v>
      </c>
      <c r="CS97" s="17">
        <f ca="1">COUNTIFS($C$10:$C96,"&lt;"&amp;$C97,$M$10:$M96,$D97&amp;"_"&amp;CS$9)</f>
        <v>0</v>
      </c>
      <c r="CT97" s="7">
        <f ca="1">COUNTIFS($C$10:$C96,"&lt;"&amp;$C97,$M$10:$M96,$D97&amp;"_"&amp;CT$9)</f>
        <v>0</v>
      </c>
      <c r="CU97" s="18">
        <f ca="1">COUNTIFS($C$10:$C96,"&lt;"&amp;$C97,$M$10:$M96,$D97&amp;"_"&amp;CU$9)</f>
        <v>0</v>
      </c>
      <c r="CV97" s="7">
        <f ca="1">COUNTIFS($C$10:$C96,"&lt;"&amp;$C97,$M$10:$M96,$D97&amp;"_"&amp;CV$9)</f>
        <v>0</v>
      </c>
      <c r="CW97" s="7">
        <f ca="1">COUNTIFS($C$10:$C96,"&lt;"&amp;$C97,$M$10:$M96,$D97&amp;"_"&amp;CW$9)</f>
        <v>0</v>
      </c>
      <c r="CX97" s="7">
        <f ca="1">COUNTIFS($C$10:$C96,"&lt;"&amp;$C97,$M$10:$M96,$D97&amp;"_"&amp;CX$9)</f>
        <v>0</v>
      </c>
      <c r="CY97" s="221">
        <f ca="1">COUNTIFS($C$10:$C96,"&lt;"&amp;$C97,$M$10:$M96,$D97&amp;"_"&amp;CY$9)</f>
        <v>86</v>
      </c>
      <c r="DA97" s="20"/>
      <c r="DB97" s="308">
        <f ca="1">IF(CP97=0,0,SUMIFS($P$10:$P96, $C$10:$C96,"&lt;"&amp;$C97, $M$10:$M96,$D97&amp;"_"&amp;DB$9)/CP97)</f>
        <v>0</v>
      </c>
      <c r="DC97" s="263">
        <f ca="1">IF(CQ97=0,0,SUMIFS($P$10:$P96, $C$10:$C96,"&lt;"&amp;$C97, $M$10:$M96,$D97&amp;"_"&amp;DC$9)/CQ97)</f>
        <v>0</v>
      </c>
      <c r="DD97" s="263">
        <f ca="1">IF(CR97=0,0,SUMIFS($P$10:$P96, $C$10:$C96,"&lt;"&amp;$C97, $M$10:$M96,$D97&amp;"_"&amp;DD$9)/CR97)</f>
        <v>0</v>
      </c>
      <c r="DE97" s="262">
        <f ca="1">IF(CS97=0,0,SUMIFS($P$10:$P96, $C$10:$C96,"&lt;"&amp;$C97, $M$10:$M96,$D97&amp;"_"&amp;DE$9)/CS97)</f>
        <v>0</v>
      </c>
      <c r="DF97" s="263">
        <f ca="1">IF(CT97=0,0,SUMIFS($P$10:$P96, $C$10:$C96,"&lt;"&amp;$C97, $M$10:$M96,$D97&amp;"_"&amp;DF$9)/CT97)</f>
        <v>0</v>
      </c>
      <c r="DG97" s="310">
        <f ca="1">IF(CU97=0,0,SUMIFS($P$10:$P96, $C$10:$C96,"&lt;"&amp;$C97, $M$10:$M96,$D97&amp;"_"&amp;DG$9)/CU97)</f>
        <v>0</v>
      </c>
      <c r="DH97" s="263">
        <f ca="1">IF(CV97=0,0,SUMIFS($P$10:$P96, $C$10:$C96,"&lt;"&amp;$C97, $M$10:$M96,$D97&amp;"_"&amp;DH$9)/CV97)</f>
        <v>0</v>
      </c>
      <c r="DI97" s="263">
        <f ca="1">IF(CW97=0,0,SUMIFS($P$10:$P96, $C$10:$C96,"&lt;"&amp;$C97, $M$10:$M96,$D97&amp;"_"&amp;DI$9)/CW97)</f>
        <v>0</v>
      </c>
      <c r="DJ97" s="264">
        <f ca="1">IF(CX97=0,0,SUMIFS($P$10:$P96, $C$10:$C96,"&lt;"&amp;$C97, $M$10:$M96,$D97&amp;"_"&amp;DJ$9)/CX97)</f>
        <v>0</v>
      </c>
      <c r="DK97" s="264">
        <f ca="1">IF(CY97=0,0,SUMIFS($P$10:$P96, $C$10:$C96,"&lt;"&amp;$C97, $M$10:$M96,$D97&amp;"_"&amp;DK$9)/CY97)</f>
        <v>-1</v>
      </c>
      <c r="DM97" s="104"/>
      <c r="DN97" s="306">
        <f t="shared" ca="1" si="222"/>
        <v>-9999</v>
      </c>
      <c r="DO97" s="15">
        <f t="shared" ca="1" si="188"/>
        <v>-9999</v>
      </c>
      <c r="DP97" s="15">
        <f t="shared" ca="1" si="189"/>
        <v>-9999</v>
      </c>
      <c r="DQ97" s="15">
        <f t="shared" ca="1" si="190"/>
        <v>-9999</v>
      </c>
      <c r="DR97" s="15">
        <f t="shared" ca="1" si="191"/>
        <v>-9999</v>
      </c>
      <c r="DS97" s="15">
        <f t="shared" ca="1" si="192"/>
        <v>-9999</v>
      </c>
      <c r="DT97" s="15">
        <f t="shared" ca="1" si="193"/>
        <v>-9999</v>
      </c>
      <c r="DU97" s="15">
        <f t="shared" ca="1" si="194"/>
        <v>-9999</v>
      </c>
      <c r="DV97" s="52">
        <f t="shared" ca="1" si="195"/>
        <v>-9999</v>
      </c>
      <c r="DW97" s="313">
        <f t="shared" ca="1" si="196"/>
        <v>-0.89340668395981948</v>
      </c>
      <c r="DX97" s="52"/>
      <c r="DY97" s="402">
        <f t="shared" ca="1" si="223"/>
        <v>9</v>
      </c>
      <c r="ED97" s="19">
        <f t="shared" ca="1" si="197"/>
        <v>-1</v>
      </c>
      <c r="EE97" s="1">
        <f t="shared" ca="1" si="198"/>
        <v>1</v>
      </c>
      <c r="EF97" s="1">
        <f t="shared" ca="1" si="199"/>
        <v>-1</v>
      </c>
      <c r="EG97" s="2">
        <f t="shared" ca="1" si="200"/>
        <v>1</v>
      </c>
      <c r="EH97" s="1">
        <f t="shared" ca="1" si="201"/>
        <v>-1</v>
      </c>
      <c r="EI97" s="3">
        <f t="shared" ca="1" si="202"/>
        <v>1</v>
      </c>
      <c r="EJ97" s="1">
        <f t="shared" ca="1" si="203"/>
        <v>0</v>
      </c>
      <c r="EK97" s="1">
        <f t="shared" ca="1" si="204"/>
        <v>0</v>
      </c>
      <c r="EL97" s="20">
        <f t="shared" ca="1" si="205"/>
        <v>-1</v>
      </c>
      <c r="EN97" s="86">
        <f ca="1">MAX(0, SUMPRODUCT($ED97:$EL97,OFFSET(DNN!$E$9:$M$9,EN$9,0)) + OFFSET(DNN!$D$9,EN$9,0))</f>
        <v>0</v>
      </c>
      <c r="EO97" s="84">
        <f ca="1">MAX(0, SUMPRODUCT($ED97:$EL97,OFFSET(DNN!$E$9:$M$9,EO$9,0)) + OFFSET(DNN!$D$9,EO$9,0))</f>
        <v>7.2346022384755949E-3</v>
      </c>
      <c r="EP97" s="84">
        <f ca="1">MAX(0, SUMPRODUCT($ED97:$EL97,OFFSET(DNN!$E$9:$M$9,EP$9,0)) + OFFSET(DNN!$D$9,EP$9,0))</f>
        <v>3.6951849750035152E-3</v>
      </c>
      <c r="EQ97" s="84">
        <f ca="1">MAX(0, SUMPRODUCT($ED97:$EL97,OFFSET(DNN!$E$9:$M$9,EQ$9,0)) + OFFSET(DNN!$D$9,EQ$9,0))</f>
        <v>0</v>
      </c>
      <c r="ER97" s="85">
        <f ca="1">MAX(0, SUMPRODUCT($ED97:$EL97,OFFSET(DNN!$E$9:$M$9,ER$9,0)) + OFFSET(DNN!$D$9,ER$9,0))</f>
        <v>0</v>
      </c>
      <c r="ET97" s="86">
        <f ca="1">MAX(0, SUMPRODUCT($EN97:$ER97,OFFSET(DNN!$Q$9:$U$9,ET$9,0)) + OFFSET(DNN!$P$9,ET$9,0))</f>
        <v>4.3954959453478351E-4</v>
      </c>
      <c r="EU97" s="84">
        <f ca="1">MAX(0, SUMPRODUCT($EN97:$ER97,OFFSET(DNN!$Q$9:$U$9,EU$9,0)) + OFFSET(DNN!$P$9,EU$9,0))</f>
        <v>0</v>
      </c>
      <c r="EV97" s="84">
        <f ca="1">MAX(0, SUMPRODUCT($EN97:$ER97,OFFSET(DNN!$Q$9:$U$9,EV$9,0)) + OFFSET(DNN!$P$9,EV$9,0))</f>
        <v>1.2810123361902579E-3</v>
      </c>
      <c r="EW97" s="84">
        <f ca="1">MAX(0, SUMPRODUCT($EN97:$ER97,OFFSET(DNN!$Q$9:$U$9,EW$9,0)) + OFFSET(DNN!$P$9,EW$9,0))</f>
        <v>7.8382123007882457E-4</v>
      </c>
      <c r="EX97" s="85">
        <f ca="1">MAX(0, SUMPRODUCT($EN97:$ER97,OFFSET(DNN!$Q$9:$U$9,EX$9,0)) + OFFSET(DNN!$P$9,EX$9,0))</f>
        <v>0</v>
      </c>
      <c r="EZ97" s="111">
        <f ca="1">SUMPRODUCT($ET97:$EX97,OFFSET(DNN!$Y$9:$AC$9,EZ$9,0)) + OFFSET(DNN!$X$9,EZ$9,0)</f>
        <v>0.43031618918982212</v>
      </c>
      <c r="FA97" s="97">
        <f ca="1">SUMPRODUCT($ET97:$EX97,OFFSET(DNN!$Y$9:$AC$9,FA$9,0)) + OFFSET(DNN!$X$9,FA$9,0)</f>
        <v>-1.2643439935754107E-5</v>
      </c>
      <c r="FB97" s="97">
        <f ca="1">SUMPRODUCT($ET97:$EX97,OFFSET(DNN!$Y$9:$AC$9,FB$9,0)) + OFFSET(DNN!$X$9,FB$9,0)</f>
        <v>1.5239793458415756E-2</v>
      </c>
      <c r="FC97" s="97">
        <f ca="1">SUMPRODUCT($ET97:$EX97,OFFSET(DNN!$Y$9:$AC$9,FC$9,0)) + OFFSET(DNN!$X$9,FC$9,0)</f>
        <v>-8.8749521084055777E-4</v>
      </c>
      <c r="FD97" s="97">
        <f ca="1">SUMPRODUCT($ET97:$EX97,OFFSET(DNN!$Y$9:$AC$9,FD$9,0)) + OFFSET(DNN!$X$9,FD$9,0)</f>
        <v>-4.235816470721872E-4</v>
      </c>
      <c r="FE97" s="97">
        <f ca="1">SUMPRODUCT($ET97:$EX97,OFFSET(DNN!$Y$9:$AC$9,FE$9,0)) + OFFSET(DNN!$X$9,FE$9,0)</f>
        <v>-1.574182761064886E-5</v>
      </c>
      <c r="FF97" s="97">
        <f ca="1">SUMPRODUCT($ET97:$EX97,OFFSET(DNN!$Y$9:$AC$9,FF$9,0)) + OFFSET(DNN!$X$9,FF$9,0)</f>
        <v>-1.3491460223194656E-3</v>
      </c>
      <c r="FG97" s="97">
        <f ca="1">SUMPRODUCT($ET97:$EX97,OFFSET(DNN!$Y$9:$AC$9,FG$9,0)) + OFFSET(DNN!$X$9,FG$9,0)</f>
        <v>-6.2604808096248285E-2</v>
      </c>
      <c r="FH97" s="97">
        <f ca="1">SUMPRODUCT($ET97:$EX97,OFFSET(DNN!$Y$9:$AC$9,FH$9,0)) + OFFSET(DNN!$X$9,FH$9,0)</f>
        <v>8.6810016937029894E-4</v>
      </c>
      <c r="FI97" s="108">
        <f ca="1">SUMPRODUCT($ET97:$EX97,OFFSET(DNN!$Y$9:$AC$9,FI$9,0)) + OFFSET(DNN!$X$9,FI$9,0)</f>
        <v>-1.3182687612562751</v>
      </c>
      <c r="FJ97" s="98">
        <f ca="1">SUMPRODUCT($ET97:$EX97,OFFSET(DNN!$Y$9:$AC$9,FJ$9,0)) + OFFSET(DNN!$X$9,FJ$9,0)</f>
        <v>-2.2535161745939301E-5</v>
      </c>
      <c r="FL97" s="415">
        <f t="shared" ca="1" si="224"/>
        <v>0.43031618918982212</v>
      </c>
      <c r="FM97" s="130">
        <f t="shared" ca="1" si="225"/>
        <v>1</v>
      </c>
      <c r="FN97" s="131">
        <f t="shared" ca="1" si="226"/>
        <v>0.65029522127322903</v>
      </c>
      <c r="FO97" s="131">
        <f t="shared" ca="1" si="227"/>
        <v>0.66028983545318687</v>
      </c>
      <c r="FP97" s="131">
        <f t="shared" ca="1" si="228"/>
        <v>0.64972655813153501</v>
      </c>
      <c r="FQ97" s="131">
        <f t="shared" ca="1" si="229"/>
        <v>0.65002804502111444</v>
      </c>
      <c r="FR97" s="131">
        <f t="shared" ca="1" si="230"/>
        <v>0.65029320640965171</v>
      </c>
      <c r="FS97" s="131">
        <f t="shared" ca="1" si="231"/>
        <v>0.64942668056342145</v>
      </c>
      <c r="FT97" s="131">
        <f t="shared" ca="1" si="232"/>
        <v>0.61083952513994022</v>
      </c>
      <c r="FU97" s="132">
        <f t="shared" ca="1" si="233"/>
        <v>0.6508682169276182</v>
      </c>
      <c r="FV97" s="131">
        <f t="shared" ca="1" si="234"/>
        <v>0.17402001625314881</v>
      </c>
      <c r="FW97" s="83">
        <f t="shared" ca="1" si="235"/>
        <v>-2.2535161742124597E-5</v>
      </c>
    </row>
    <row r="98" spans="1:179">
      <c r="A98" s="19">
        <f t="shared" si="240"/>
        <v>88</v>
      </c>
      <c r="B98" s="1">
        <f t="shared" ca="1" si="236"/>
        <v>0</v>
      </c>
      <c r="C98" s="20">
        <f t="shared" ca="1" si="237"/>
        <v>88</v>
      </c>
      <c r="D98" s="19" t="str">
        <f t="shared" ca="1" si="238"/>
        <v>〇×〇×〇×--〇</v>
      </c>
      <c r="E98" s="7">
        <f t="shared" ca="1" si="206"/>
        <v>9</v>
      </c>
      <c r="F98" s="7">
        <f t="shared" ca="1" si="207"/>
        <v>1</v>
      </c>
      <c r="G98" s="1" t="str">
        <f t="shared" ca="1" si="139"/>
        <v>〇×〇×〇×--〇</v>
      </c>
      <c r="H98" s="20" t="b">
        <f t="shared" ca="1" si="140"/>
        <v>1</v>
      </c>
      <c r="I98" s="22">
        <f t="shared" ca="1" si="239"/>
        <v>-1</v>
      </c>
      <c r="J98" s="1" t="b">
        <f ca="1">(1&lt;COUNTIF(D$10:D98,D98))</f>
        <v>1</v>
      </c>
      <c r="K98" s="1" t="b">
        <f t="shared" ca="1" si="141"/>
        <v>1</v>
      </c>
      <c r="L98" s="7">
        <f ca="1">MATCH(TRUE,K98:K$1048576,FALSE)-1</f>
        <v>0</v>
      </c>
      <c r="M98" s="24" t="str">
        <f t="shared" ca="1" si="142"/>
        <v>〇×〇×〇×--〇_9</v>
      </c>
      <c r="N98" s="25">
        <f t="shared" ca="1" si="208"/>
        <v>-2.2535161742124597E-5</v>
      </c>
      <c r="O98" s="26">
        <f t="shared" ca="1" si="209"/>
        <v>-1</v>
      </c>
      <c r="P98" s="27">
        <f t="shared" ca="1" si="210"/>
        <v>-1</v>
      </c>
      <c r="R98" s="41" t="str">
        <f ca="1">VLOOKUP(S98,cvt!$B$2:$C$4,2,FALSE)&amp;VLOOKUP(T98,cvt!$B$2:$C$4,2,FALSE)&amp;VLOOKUP(U98,cvt!$B$2:$C$4,2,FALSE)
&amp;VLOOKUP(V98,cvt!$B$2:$C$4,2,FALSE)&amp;VLOOKUP(W98,cvt!$B$2:$C$4,2,FALSE)&amp;VLOOKUP(X98,cvt!$B$2:$C$4,2,FALSE)
&amp;VLOOKUP(Y98,cvt!$B$2:$C$4,2,FALSE)&amp;VLOOKUP(Z98,cvt!$B$2:$C$4,2,FALSE)&amp;VLOOKUP(AA98,cvt!$B$2:$C$4,2,FALSE)</f>
        <v>〇×〇×〇×--〇</v>
      </c>
      <c r="S98" s="7">
        <f ca="1">VLOOKUP(MID($D98,S$9+1,1), cvt!$A$2:$B$4,2, FALSE)</f>
        <v>1</v>
      </c>
      <c r="T98" s="7">
        <f ca="1">VLOOKUP(MID($D98,T$9+1,1), cvt!$A$2:$B$4,2, FALSE)</f>
        <v>-1</v>
      </c>
      <c r="U98" s="7">
        <f ca="1">VLOOKUP(MID($D98,U$9+1,1), cvt!$A$2:$B$4,2, FALSE)</f>
        <v>1</v>
      </c>
      <c r="V98" s="17">
        <f ca="1">VLOOKUP(MID($D98,V$9+1,1), cvt!$A$2:$B$4,2, FALSE)</f>
        <v>-1</v>
      </c>
      <c r="W98" s="7">
        <f ca="1">VLOOKUP(MID($D98,W$9+1,1), cvt!$A$2:$B$4,2, FALSE)</f>
        <v>1</v>
      </c>
      <c r="X98" s="18">
        <f ca="1">VLOOKUP(MID($D98,X$9+1,1), cvt!$A$2:$B$4,2, FALSE)</f>
        <v>-1</v>
      </c>
      <c r="Y98" s="7">
        <f ca="1">VLOOKUP(MID($D98,Y$9+1,1), cvt!$A$2:$B$4,2, FALSE)</f>
        <v>0</v>
      </c>
      <c r="Z98" s="7">
        <f ca="1">VLOOKUP(MID($D98,Z$9+1,1), cvt!$A$2:$B$4,2, FALSE)</f>
        <v>0</v>
      </c>
      <c r="AA98" s="42">
        <f ca="1">VLOOKUP(MID($D98,AA$9+1,1), cvt!$A$2:$B$4,2, FALSE)</f>
        <v>1</v>
      </c>
      <c r="AB98" s="7">
        <f t="shared" ca="1" si="211"/>
        <v>1</v>
      </c>
      <c r="AC98" s="50" t="b">
        <f t="shared" ca="1" si="212"/>
        <v>1</v>
      </c>
      <c r="AE98" s="19" t="str">
        <f ca="1">VLOOKUP(AF98,cvt!$B$2:$C$4,2,FALSE)&amp;VLOOKUP(AG98,cvt!$B$2:$C$4,2,FALSE)&amp;VLOOKUP(AH98,cvt!$B$2:$C$4,2,FALSE)
&amp;VLOOKUP(AI98,cvt!$B$2:$C$4,2,FALSE)&amp;VLOOKUP(AJ98,cvt!$B$2:$C$4,2,FALSE)&amp;VLOOKUP(AK98,cvt!$B$2:$C$4,2,FALSE)
&amp;VLOOKUP(AL98,cvt!$B$2:$C$4,2,FALSE)&amp;VLOOKUP(AM98,cvt!$B$2:$C$4,2,FALSE)&amp;VLOOKUP(AN98,cvt!$B$2:$C$4,2,FALSE)</f>
        <v>〇×〇×〇×--〇</v>
      </c>
      <c r="AF98" s="17">
        <f t="shared" ca="1" si="143"/>
        <v>1</v>
      </c>
      <c r="AG98" s="7">
        <f t="shared" ca="1" si="144"/>
        <v>-1</v>
      </c>
      <c r="AH98" s="7">
        <f t="shared" ca="1" si="145"/>
        <v>1</v>
      </c>
      <c r="AI98" s="17">
        <f t="shared" ca="1" si="146"/>
        <v>-1</v>
      </c>
      <c r="AJ98" s="7">
        <f t="shared" ca="1" si="147"/>
        <v>1</v>
      </c>
      <c r="AK98" s="18">
        <f t="shared" ca="1" si="148"/>
        <v>-1</v>
      </c>
      <c r="AL98" s="7">
        <f t="shared" ca="1" si="149"/>
        <v>0</v>
      </c>
      <c r="AM98" s="7">
        <f t="shared" ca="1" si="150"/>
        <v>0</v>
      </c>
      <c r="AN98" s="18">
        <f t="shared" ca="1" si="151"/>
        <v>1</v>
      </c>
      <c r="AO98" s="7">
        <f t="shared" ca="1" si="213"/>
        <v>1</v>
      </c>
      <c r="AP98" s="50" t="b">
        <f t="shared" ca="1" si="152"/>
        <v>1</v>
      </c>
      <c r="AS98" s="22">
        <f t="shared" ca="1" si="214"/>
        <v>0</v>
      </c>
      <c r="AT98" s="7">
        <f t="shared" ca="1" si="153"/>
        <v>0</v>
      </c>
      <c r="AU98" s="7">
        <f t="shared" ca="1" si="154"/>
        <v>0</v>
      </c>
      <c r="AV98" s="7">
        <f t="shared" ca="1" si="155"/>
        <v>0</v>
      </c>
      <c r="AW98" s="7">
        <f t="shared" ca="1" si="156"/>
        <v>0</v>
      </c>
      <c r="AX98" s="7">
        <f t="shared" ca="1" si="157"/>
        <v>0</v>
      </c>
      <c r="AY98" s="7">
        <f t="shared" ca="1" si="158"/>
        <v>0</v>
      </c>
      <c r="AZ98" s="7">
        <f t="shared" ca="1" si="159"/>
        <v>0</v>
      </c>
      <c r="BA98" s="18">
        <f t="shared" ca="1" si="160"/>
        <v>0</v>
      </c>
      <c r="BB98" s="295">
        <f t="shared" ca="1" si="215"/>
        <v>1</v>
      </c>
      <c r="BD98" s="132"/>
      <c r="BE98" s="297">
        <f t="shared" ca="1" si="216"/>
        <v>1</v>
      </c>
      <c r="BF98" s="298">
        <f t="shared" ca="1" si="161"/>
        <v>0.65029522127322903</v>
      </c>
      <c r="BG98" s="298">
        <f t="shared" ca="1" si="162"/>
        <v>0.66028983545318687</v>
      </c>
      <c r="BH98" s="318">
        <f t="shared" ca="1" si="163"/>
        <v>0.64972655813153501</v>
      </c>
      <c r="BI98" s="298">
        <f t="shared" ca="1" si="164"/>
        <v>0.65002804502111444</v>
      </c>
      <c r="BJ98" s="299">
        <f t="shared" ca="1" si="165"/>
        <v>0.65029320640965171</v>
      </c>
      <c r="BK98" s="298">
        <f t="shared" ca="1" si="166"/>
        <v>0.64942668056342145</v>
      </c>
      <c r="BL98" s="298">
        <f t="shared" ca="1" si="167"/>
        <v>0.61083952513994022</v>
      </c>
      <c r="BM98" s="299">
        <f t="shared" ca="1" si="168"/>
        <v>0.6508682169276182</v>
      </c>
      <c r="BN98" s="295">
        <f t="shared" ca="1" si="169"/>
        <v>0.17402001625314881</v>
      </c>
      <c r="BO98" s="248">
        <f t="shared" ca="1" si="217"/>
        <v>-2.2535161742124597E-5</v>
      </c>
      <c r="BQ98" s="304">
        <f t="shared" ca="1" si="218"/>
        <v>0.42412001625314877</v>
      </c>
      <c r="BR98" s="297">
        <f t="shared" ca="1" si="219"/>
        <v>0</v>
      </c>
      <c r="BS98" s="298">
        <f t="shared" ca="1" si="170"/>
        <v>0</v>
      </c>
      <c r="BT98" s="298">
        <f t="shared" ca="1" si="171"/>
        <v>0</v>
      </c>
      <c r="BU98" s="318">
        <f t="shared" ca="1" si="172"/>
        <v>0</v>
      </c>
      <c r="BV98" s="298">
        <f t="shared" ca="1" si="173"/>
        <v>0</v>
      </c>
      <c r="BW98" s="299">
        <f t="shared" ca="1" si="174"/>
        <v>0</v>
      </c>
      <c r="BX98" s="298">
        <f t="shared" ca="1" si="175"/>
        <v>0</v>
      </c>
      <c r="BY98" s="298">
        <f t="shared" ca="1" si="176"/>
        <v>0</v>
      </c>
      <c r="BZ98" s="298">
        <f t="shared" ca="1" si="177"/>
        <v>0</v>
      </c>
      <c r="CA98" s="315">
        <f t="shared" ca="1" si="178"/>
        <v>0.42412001625314877</v>
      </c>
      <c r="CC98" s="52"/>
      <c r="CD98" s="306">
        <f t="shared" ca="1" si="220"/>
        <v>0</v>
      </c>
      <c r="CE98" s="15">
        <f t="shared" ca="1" si="179"/>
        <v>0</v>
      </c>
      <c r="CF98" s="15">
        <f t="shared" ca="1" si="180"/>
        <v>0</v>
      </c>
      <c r="CG98" s="286">
        <f t="shared" ca="1" si="181"/>
        <v>0</v>
      </c>
      <c r="CH98" s="15">
        <f t="shared" ca="1" si="182"/>
        <v>0</v>
      </c>
      <c r="CI98" s="288">
        <f t="shared" ca="1" si="183"/>
        <v>0</v>
      </c>
      <c r="CJ98" s="15">
        <f t="shared" ca="1" si="184"/>
        <v>0</v>
      </c>
      <c r="CK98" s="15">
        <f t="shared" ca="1" si="185"/>
        <v>0</v>
      </c>
      <c r="CL98" s="15">
        <f t="shared" ca="1" si="186"/>
        <v>0</v>
      </c>
      <c r="CM98" s="313">
        <f t="shared" ca="1" si="187"/>
        <v>1</v>
      </c>
      <c r="CO98" s="320">
        <f t="shared" ca="1" si="221"/>
        <v>87</v>
      </c>
      <c r="CP98" s="22">
        <f ca="1">COUNTIFS($C$10:$C97,"&lt;"&amp;$C98,$M$10:$M97,$D98&amp;"_"&amp;CP$9)</f>
        <v>0</v>
      </c>
      <c r="CQ98" s="7">
        <f ca="1">COUNTIFS($C$10:$C97,"&lt;"&amp;$C98,$M$10:$M97,$D98&amp;"_"&amp;CQ$9)</f>
        <v>0</v>
      </c>
      <c r="CR98" s="7">
        <f ca="1">COUNTIFS($C$10:$C97,"&lt;"&amp;$C98,$M$10:$M97,$D98&amp;"_"&amp;CR$9)</f>
        <v>0</v>
      </c>
      <c r="CS98" s="17">
        <f ca="1">COUNTIFS($C$10:$C97,"&lt;"&amp;$C98,$M$10:$M97,$D98&amp;"_"&amp;CS$9)</f>
        <v>0</v>
      </c>
      <c r="CT98" s="7">
        <f ca="1">COUNTIFS($C$10:$C97,"&lt;"&amp;$C98,$M$10:$M97,$D98&amp;"_"&amp;CT$9)</f>
        <v>0</v>
      </c>
      <c r="CU98" s="18">
        <f ca="1">COUNTIFS($C$10:$C97,"&lt;"&amp;$C98,$M$10:$M97,$D98&amp;"_"&amp;CU$9)</f>
        <v>0</v>
      </c>
      <c r="CV98" s="7">
        <f ca="1">COUNTIFS($C$10:$C97,"&lt;"&amp;$C98,$M$10:$M97,$D98&amp;"_"&amp;CV$9)</f>
        <v>0</v>
      </c>
      <c r="CW98" s="7">
        <f ca="1">COUNTIFS($C$10:$C97,"&lt;"&amp;$C98,$M$10:$M97,$D98&amp;"_"&amp;CW$9)</f>
        <v>0</v>
      </c>
      <c r="CX98" s="7">
        <f ca="1">COUNTIFS($C$10:$C97,"&lt;"&amp;$C98,$M$10:$M97,$D98&amp;"_"&amp;CX$9)</f>
        <v>0</v>
      </c>
      <c r="CY98" s="221">
        <f ca="1">COUNTIFS($C$10:$C97,"&lt;"&amp;$C98,$M$10:$M97,$D98&amp;"_"&amp;CY$9)</f>
        <v>87</v>
      </c>
      <c r="DA98" s="20"/>
      <c r="DB98" s="308">
        <f ca="1">IF(CP98=0,0,SUMIFS($P$10:$P97, $C$10:$C97,"&lt;"&amp;$C98, $M$10:$M97,$D98&amp;"_"&amp;DB$9)/CP98)</f>
        <v>0</v>
      </c>
      <c r="DC98" s="263">
        <f ca="1">IF(CQ98=0,0,SUMIFS($P$10:$P97, $C$10:$C97,"&lt;"&amp;$C98, $M$10:$M97,$D98&amp;"_"&amp;DC$9)/CQ98)</f>
        <v>0</v>
      </c>
      <c r="DD98" s="263">
        <f ca="1">IF(CR98=0,0,SUMIFS($P$10:$P97, $C$10:$C97,"&lt;"&amp;$C98, $M$10:$M97,$D98&amp;"_"&amp;DD$9)/CR98)</f>
        <v>0</v>
      </c>
      <c r="DE98" s="262">
        <f ca="1">IF(CS98=0,0,SUMIFS($P$10:$P97, $C$10:$C97,"&lt;"&amp;$C98, $M$10:$M97,$D98&amp;"_"&amp;DE$9)/CS98)</f>
        <v>0</v>
      </c>
      <c r="DF98" s="263">
        <f ca="1">IF(CT98=0,0,SUMIFS($P$10:$P97, $C$10:$C97,"&lt;"&amp;$C98, $M$10:$M97,$D98&amp;"_"&amp;DF$9)/CT98)</f>
        <v>0</v>
      </c>
      <c r="DG98" s="310">
        <f ca="1">IF(CU98=0,0,SUMIFS($P$10:$P97, $C$10:$C97,"&lt;"&amp;$C98, $M$10:$M97,$D98&amp;"_"&amp;DG$9)/CU98)</f>
        <v>0</v>
      </c>
      <c r="DH98" s="263">
        <f ca="1">IF(CV98=0,0,SUMIFS($P$10:$P97, $C$10:$C97,"&lt;"&amp;$C98, $M$10:$M97,$D98&amp;"_"&amp;DH$9)/CV98)</f>
        <v>0</v>
      </c>
      <c r="DI98" s="263">
        <f ca="1">IF(CW98=0,0,SUMIFS($P$10:$P97, $C$10:$C97,"&lt;"&amp;$C98, $M$10:$M97,$D98&amp;"_"&amp;DI$9)/CW98)</f>
        <v>0</v>
      </c>
      <c r="DJ98" s="264">
        <f ca="1">IF(CX98=0,0,SUMIFS($P$10:$P97, $C$10:$C97,"&lt;"&amp;$C98, $M$10:$M97,$D98&amp;"_"&amp;DJ$9)/CX98)</f>
        <v>0</v>
      </c>
      <c r="DK98" s="264">
        <f ca="1">IF(CY98=0,0,SUMIFS($P$10:$P97, $C$10:$C97,"&lt;"&amp;$C98, $M$10:$M97,$D98&amp;"_"&amp;DK$9)/CY98)</f>
        <v>-1</v>
      </c>
      <c r="DM98" s="104"/>
      <c r="DN98" s="306">
        <f t="shared" ca="1" si="222"/>
        <v>-9999</v>
      </c>
      <c r="DO98" s="15">
        <f t="shared" ca="1" si="188"/>
        <v>-9999</v>
      </c>
      <c r="DP98" s="15">
        <f t="shared" ca="1" si="189"/>
        <v>-9999</v>
      </c>
      <c r="DQ98" s="15">
        <f t="shared" ca="1" si="190"/>
        <v>-9999</v>
      </c>
      <c r="DR98" s="15">
        <f t="shared" ca="1" si="191"/>
        <v>-9999</v>
      </c>
      <c r="DS98" s="15">
        <f t="shared" ca="1" si="192"/>
        <v>-9999</v>
      </c>
      <c r="DT98" s="15">
        <f t="shared" ca="1" si="193"/>
        <v>-9999</v>
      </c>
      <c r="DU98" s="15">
        <f t="shared" ca="1" si="194"/>
        <v>-9999</v>
      </c>
      <c r="DV98" s="52">
        <f t="shared" ca="1" si="195"/>
        <v>-9999</v>
      </c>
      <c r="DW98" s="313">
        <f t="shared" ca="1" si="196"/>
        <v>-0.89400705621489984</v>
      </c>
      <c r="DX98" s="52"/>
      <c r="DY98" s="402">
        <f t="shared" ca="1" si="223"/>
        <v>9</v>
      </c>
      <c r="ED98" s="19">
        <f t="shared" ca="1" si="197"/>
        <v>-1</v>
      </c>
      <c r="EE98" s="1">
        <f t="shared" ca="1" si="198"/>
        <v>1</v>
      </c>
      <c r="EF98" s="1">
        <f t="shared" ca="1" si="199"/>
        <v>-1</v>
      </c>
      <c r="EG98" s="2">
        <f t="shared" ca="1" si="200"/>
        <v>1</v>
      </c>
      <c r="EH98" s="1">
        <f t="shared" ca="1" si="201"/>
        <v>-1</v>
      </c>
      <c r="EI98" s="3">
        <f t="shared" ca="1" si="202"/>
        <v>1</v>
      </c>
      <c r="EJ98" s="1">
        <f t="shared" ca="1" si="203"/>
        <v>0</v>
      </c>
      <c r="EK98" s="1">
        <f t="shared" ca="1" si="204"/>
        <v>0</v>
      </c>
      <c r="EL98" s="20">
        <f t="shared" ca="1" si="205"/>
        <v>-1</v>
      </c>
      <c r="EN98" s="86">
        <f ca="1">MAX(0, SUMPRODUCT($ED98:$EL98,OFFSET(DNN!$E$9:$M$9,EN$9,0)) + OFFSET(DNN!$D$9,EN$9,0))</f>
        <v>0</v>
      </c>
      <c r="EO98" s="84">
        <f ca="1">MAX(0, SUMPRODUCT($ED98:$EL98,OFFSET(DNN!$E$9:$M$9,EO$9,0)) + OFFSET(DNN!$D$9,EO$9,0))</f>
        <v>7.2346022384755949E-3</v>
      </c>
      <c r="EP98" s="84">
        <f ca="1">MAX(0, SUMPRODUCT($ED98:$EL98,OFFSET(DNN!$E$9:$M$9,EP$9,0)) + OFFSET(DNN!$D$9,EP$9,0))</f>
        <v>3.6951849750035152E-3</v>
      </c>
      <c r="EQ98" s="84">
        <f ca="1">MAX(0, SUMPRODUCT($ED98:$EL98,OFFSET(DNN!$E$9:$M$9,EQ$9,0)) + OFFSET(DNN!$D$9,EQ$9,0))</f>
        <v>0</v>
      </c>
      <c r="ER98" s="85">
        <f ca="1">MAX(0, SUMPRODUCT($ED98:$EL98,OFFSET(DNN!$E$9:$M$9,ER$9,0)) + OFFSET(DNN!$D$9,ER$9,0))</f>
        <v>0</v>
      </c>
      <c r="ET98" s="86">
        <f ca="1">MAX(0, SUMPRODUCT($EN98:$ER98,OFFSET(DNN!$Q$9:$U$9,ET$9,0)) + OFFSET(DNN!$P$9,ET$9,0))</f>
        <v>4.3954959453478351E-4</v>
      </c>
      <c r="EU98" s="84">
        <f ca="1">MAX(0, SUMPRODUCT($EN98:$ER98,OFFSET(DNN!$Q$9:$U$9,EU$9,0)) + OFFSET(DNN!$P$9,EU$9,0))</f>
        <v>0</v>
      </c>
      <c r="EV98" s="84">
        <f ca="1">MAX(0, SUMPRODUCT($EN98:$ER98,OFFSET(DNN!$Q$9:$U$9,EV$9,0)) + OFFSET(DNN!$P$9,EV$9,0))</f>
        <v>1.2810123361902579E-3</v>
      </c>
      <c r="EW98" s="84">
        <f ca="1">MAX(0, SUMPRODUCT($EN98:$ER98,OFFSET(DNN!$Q$9:$U$9,EW$9,0)) + OFFSET(DNN!$P$9,EW$9,0))</f>
        <v>7.8382123007882457E-4</v>
      </c>
      <c r="EX98" s="85">
        <f ca="1">MAX(0, SUMPRODUCT($EN98:$ER98,OFFSET(DNN!$Q$9:$U$9,EX$9,0)) + OFFSET(DNN!$P$9,EX$9,0))</f>
        <v>0</v>
      </c>
      <c r="EZ98" s="111">
        <f ca="1">SUMPRODUCT($ET98:$EX98,OFFSET(DNN!$Y$9:$AC$9,EZ$9,0)) + OFFSET(DNN!$X$9,EZ$9,0)</f>
        <v>0.43031618918982212</v>
      </c>
      <c r="FA98" s="97">
        <f ca="1">SUMPRODUCT($ET98:$EX98,OFFSET(DNN!$Y$9:$AC$9,FA$9,0)) + OFFSET(DNN!$X$9,FA$9,0)</f>
        <v>-1.2643439935754107E-5</v>
      </c>
      <c r="FB98" s="97">
        <f ca="1">SUMPRODUCT($ET98:$EX98,OFFSET(DNN!$Y$9:$AC$9,FB$9,0)) + OFFSET(DNN!$X$9,FB$9,0)</f>
        <v>1.5239793458415756E-2</v>
      </c>
      <c r="FC98" s="97">
        <f ca="1">SUMPRODUCT($ET98:$EX98,OFFSET(DNN!$Y$9:$AC$9,FC$9,0)) + OFFSET(DNN!$X$9,FC$9,0)</f>
        <v>-8.8749521084055777E-4</v>
      </c>
      <c r="FD98" s="97">
        <f ca="1">SUMPRODUCT($ET98:$EX98,OFFSET(DNN!$Y$9:$AC$9,FD$9,0)) + OFFSET(DNN!$X$9,FD$9,0)</f>
        <v>-4.235816470721872E-4</v>
      </c>
      <c r="FE98" s="97">
        <f ca="1">SUMPRODUCT($ET98:$EX98,OFFSET(DNN!$Y$9:$AC$9,FE$9,0)) + OFFSET(DNN!$X$9,FE$9,0)</f>
        <v>-1.574182761064886E-5</v>
      </c>
      <c r="FF98" s="97">
        <f ca="1">SUMPRODUCT($ET98:$EX98,OFFSET(DNN!$Y$9:$AC$9,FF$9,0)) + OFFSET(DNN!$X$9,FF$9,0)</f>
        <v>-1.3491460223194656E-3</v>
      </c>
      <c r="FG98" s="97">
        <f ca="1">SUMPRODUCT($ET98:$EX98,OFFSET(DNN!$Y$9:$AC$9,FG$9,0)) + OFFSET(DNN!$X$9,FG$9,0)</f>
        <v>-6.2604808096248285E-2</v>
      </c>
      <c r="FH98" s="97">
        <f ca="1">SUMPRODUCT($ET98:$EX98,OFFSET(DNN!$Y$9:$AC$9,FH$9,0)) + OFFSET(DNN!$X$9,FH$9,0)</f>
        <v>8.6810016937029894E-4</v>
      </c>
      <c r="FI98" s="108">
        <f ca="1">SUMPRODUCT($ET98:$EX98,OFFSET(DNN!$Y$9:$AC$9,FI$9,0)) + OFFSET(DNN!$X$9,FI$9,0)</f>
        <v>-1.3182687612562751</v>
      </c>
      <c r="FJ98" s="98">
        <f ca="1">SUMPRODUCT($ET98:$EX98,OFFSET(DNN!$Y$9:$AC$9,FJ$9,0)) + OFFSET(DNN!$X$9,FJ$9,0)</f>
        <v>-2.2535161745939301E-5</v>
      </c>
      <c r="FL98" s="415">
        <f t="shared" ca="1" si="224"/>
        <v>0.43031618918982212</v>
      </c>
      <c r="FM98" s="130">
        <f t="shared" ca="1" si="225"/>
        <v>1</v>
      </c>
      <c r="FN98" s="131">
        <f t="shared" ca="1" si="226"/>
        <v>0.65029522127322903</v>
      </c>
      <c r="FO98" s="131">
        <f t="shared" ca="1" si="227"/>
        <v>0.66028983545318687</v>
      </c>
      <c r="FP98" s="131">
        <f t="shared" ca="1" si="228"/>
        <v>0.64972655813153501</v>
      </c>
      <c r="FQ98" s="131">
        <f t="shared" ca="1" si="229"/>
        <v>0.65002804502111444</v>
      </c>
      <c r="FR98" s="131">
        <f t="shared" ca="1" si="230"/>
        <v>0.65029320640965171</v>
      </c>
      <c r="FS98" s="131">
        <f t="shared" ca="1" si="231"/>
        <v>0.64942668056342145</v>
      </c>
      <c r="FT98" s="131">
        <f t="shared" ca="1" si="232"/>
        <v>0.61083952513994022</v>
      </c>
      <c r="FU98" s="132">
        <f t="shared" ca="1" si="233"/>
        <v>0.6508682169276182</v>
      </c>
      <c r="FV98" s="131">
        <f t="shared" ca="1" si="234"/>
        <v>0.17402001625314881</v>
      </c>
      <c r="FW98" s="83">
        <f t="shared" ca="1" si="235"/>
        <v>-2.2535161742124597E-5</v>
      </c>
    </row>
    <row r="99" spans="1:179">
      <c r="A99" s="19">
        <f t="shared" si="240"/>
        <v>89</v>
      </c>
      <c r="B99" s="1">
        <f t="shared" ca="1" si="236"/>
        <v>0</v>
      </c>
      <c r="C99" s="20">
        <f t="shared" ca="1" si="237"/>
        <v>89</v>
      </c>
      <c r="D99" s="19" t="str">
        <f t="shared" ca="1" si="238"/>
        <v>〇×〇×〇×--〇</v>
      </c>
      <c r="E99" s="7">
        <f t="shared" ca="1" si="206"/>
        <v>9</v>
      </c>
      <c r="F99" s="7">
        <f t="shared" ca="1" si="207"/>
        <v>1</v>
      </c>
      <c r="G99" s="1" t="str">
        <f t="shared" ca="1" si="139"/>
        <v>〇×〇×〇×--〇</v>
      </c>
      <c r="H99" s="20" t="b">
        <f t="shared" ca="1" si="140"/>
        <v>1</v>
      </c>
      <c r="I99" s="22">
        <f t="shared" ca="1" si="239"/>
        <v>-1</v>
      </c>
      <c r="J99" s="1" t="b">
        <f ca="1">(1&lt;COUNTIF(D$10:D99,D99))</f>
        <v>1</v>
      </c>
      <c r="K99" s="1" t="b">
        <f t="shared" ca="1" si="141"/>
        <v>1</v>
      </c>
      <c r="L99" s="7">
        <f ca="1">MATCH(TRUE,K99:K$1048576,FALSE)-1</f>
        <v>0</v>
      </c>
      <c r="M99" s="24" t="str">
        <f t="shared" ca="1" si="142"/>
        <v>〇×〇×〇×--〇_9</v>
      </c>
      <c r="N99" s="25">
        <f t="shared" ca="1" si="208"/>
        <v>-2.2535161742124597E-5</v>
      </c>
      <c r="O99" s="26">
        <f t="shared" ca="1" si="209"/>
        <v>-1</v>
      </c>
      <c r="P99" s="27">
        <f t="shared" ca="1" si="210"/>
        <v>-1</v>
      </c>
      <c r="R99" s="41" t="str">
        <f ca="1">VLOOKUP(S99,cvt!$B$2:$C$4,2,FALSE)&amp;VLOOKUP(T99,cvt!$B$2:$C$4,2,FALSE)&amp;VLOOKUP(U99,cvt!$B$2:$C$4,2,FALSE)
&amp;VLOOKUP(V99,cvt!$B$2:$C$4,2,FALSE)&amp;VLOOKUP(W99,cvt!$B$2:$C$4,2,FALSE)&amp;VLOOKUP(X99,cvt!$B$2:$C$4,2,FALSE)
&amp;VLOOKUP(Y99,cvt!$B$2:$C$4,2,FALSE)&amp;VLOOKUP(Z99,cvt!$B$2:$C$4,2,FALSE)&amp;VLOOKUP(AA99,cvt!$B$2:$C$4,2,FALSE)</f>
        <v>〇×〇×〇×--〇</v>
      </c>
      <c r="S99" s="7">
        <f ca="1">VLOOKUP(MID($D99,S$9+1,1), cvt!$A$2:$B$4,2, FALSE)</f>
        <v>1</v>
      </c>
      <c r="T99" s="7">
        <f ca="1">VLOOKUP(MID($D99,T$9+1,1), cvt!$A$2:$B$4,2, FALSE)</f>
        <v>-1</v>
      </c>
      <c r="U99" s="7">
        <f ca="1">VLOOKUP(MID($D99,U$9+1,1), cvt!$A$2:$B$4,2, FALSE)</f>
        <v>1</v>
      </c>
      <c r="V99" s="17">
        <f ca="1">VLOOKUP(MID($D99,V$9+1,1), cvt!$A$2:$B$4,2, FALSE)</f>
        <v>-1</v>
      </c>
      <c r="W99" s="7">
        <f ca="1">VLOOKUP(MID($D99,W$9+1,1), cvt!$A$2:$B$4,2, FALSE)</f>
        <v>1</v>
      </c>
      <c r="X99" s="18">
        <f ca="1">VLOOKUP(MID($D99,X$9+1,1), cvt!$A$2:$B$4,2, FALSE)</f>
        <v>-1</v>
      </c>
      <c r="Y99" s="7">
        <f ca="1">VLOOKUP(MID($D99,Y$9+1,1), cvt!$A$2:$B$4,2, FALSE)</f>
        <v>0</v>
      </c>
      <c r="Z99" s="7">
        <f ca="1">VLOOKUP(MID($D99,Z$9+1,1), cvt!$A$2:$B$4,2, FALSE)</f>
        <v>0</v>
      </c>
      <c r="AA99" s="42">
        <f ca="1">VLOOKUP(MID($D99,AA$9+1,1), cvt!$A$2:$B$4,2, FALSE)</f>
        <v>1</v>
      </c>
      <c r="AB99" s="7">
        <f t="shared" ca="1" si="211"/>
        <v>1</v>
      </c>
      <c r="AC99" s="50" t="b">
        <f t="shared" ca="1" si="212"/>
        <v>1</v>
      </c>
      <c r="AE99" s="19" t="str">
        <f ca="1">VLOOKUP(AF99,cvt!$B$2:$C$4,2,FALSE)&amp;VLOOKUP(AG99,cvt!$B$2:$C$4,2,FALSE)&amp;VLOOKUP(AH99,cvt!$B$2:$C$4,2,FALSE)
&amp;VLOOKUP(AI99,cvt!$B$2:$C$4,2,FALSE)&amp;VLOOKUP(AJ99,cvt!$B$2:$C$4,2,FALSE)&amp;VLOOKUP(AK99,cvt!$B$2:$C$4,2,FALSE)
&amp;VLOOKUP(AL99,cvt!$B$2:$C$4,2,FALSE)&amp;VLOOKUP(AM99,cvt!$B$2:$C$4,2,FALSE)&amp;VLOOKUP(AN99,cvt!$B$2:$C$4,2,FALSE)</f>
        <v>〇×〇×〇×--〇</v>
      </c>
      <c r="AF99" s="17">
        <f t="shared" ca="1" si="143"/>
        <v>1</v>
      </c>
      <c r="AG99" s="7">
        <f t="shared" ca="1" si="144"/>
        <v>-1</v>
      </c>
      <c r="AH99" s="7">
        <f t="shared" ca="1" si="145"/>
        <v>1</v>
      </c>
      <c r="AI99" s="17">
        <f t="shared" ca="1" si="146"/>
        <v>-1</v>
      </c>
      <c r="AJ99" s="7">
        <f t="shared" ca="1" si="147"/>
        <v>1</v>
      </c>
      <c r="AK99" s="18">
        <f t="shared" ca="1" si="148"/>
        <v>-1</v>
      </c>
      <c r="AL99" s="7">
        <f t="shared" ca="1" si="149"/>
        <v>0</v>
      </c>
      <c r="AM99" s="7">
        <f t="shared" ca="1" si="150"/>
        <v>0</v>
      </c>
      <c r="AN99" s="18">
        <f t="shared" ca="1" si="151"/>
        <v>1</v>
      </c>
      <c r="AO99" s="7">
        <f t="shared" ca="1" si="213"/>
        <v>1</v>
      </c>
      <c r="AP99" s="50" t="b">
        <f t="shared" ca="1" si="152"/>
        <v>1</v>
      </c>
      <c r="AS99" s="22">
        <f t="shared" ca="1" si="214"/>
        <v>0</v>
      </c>
      <c r="AT99" s="7">
        <f t="shared" ca="1" si="153"/>
        <v>0</v>
      </c>
      <c r="AU99" s="7">
        <f t="shared" ca="1" si="154"/>
        <v>0</v>
      </c>
      <c r="AV99" s="7">
        <f t="shared" ca="1" si="155"/>
        <v>0</v>
      </c>
      <c r="AW99" s="7">
        <f t="shared" ca="1" si="156"/>
        <v>0</v>
      </c>
      <c r="AX99" s="7">
        <f t="shared" ca="1" si="157"/>
        <v>0</v>
      </c>
      <c r="AY99" s="7">
        <f t="shared" ca="1" si="158"/>
        <v>0</v>
      </c>
      <c r="AZ99" s="7">
        <f t="shared" ca="1" si="159"/>
        <v>0</v>
      </c>
      <c r="BA99" s="18">
        <f t="shared" ca="1" si="160"/>
        <v>0</v>
      </c>
      <c r="BB99" s="295">
        <f t="shared" ca="1" si="215"/>
        <v>1</v>
      </c>
      <c r="BD99" s="132"/>
      <c r="BE99" s="297">
        <f t="shared" ca="1" si="216"/>
        <v>1</v>
      </c>
      <c r="BF99" s="298">
        <f t="shared" ca="1" si="161"/>
        <v>0.65029522127322903</v>
      </c>
      <c r="BG99" s="298">
        <f t="shared" ca="1" si="162"/>
        <v>0.66028983545318687</v>
      </c>
      <c r="BH99" s="318">
        <f t="shared" ca="1" si="163"/>
        <v>0.64972655813153501</v>
      </c>
      <c r="BI99" s="298">
        <f t="shared" ca="1" si="164"/>
        <v>0.65002804502111444</v>
      </c>
      <c r="BJ99" s="299">
        <f t="shared" ca="1" si="165"/>
        <v>0.65029320640965171</v>
      </c>
      <c r="BK99" s="298">
        <f t="shared" ca="1" si="166"/>
        <v>0.64942668056342145</v>
      </c>
      <c r="BL99" s="298">
        <f t="shared" ca="1" si="167"/>
        <v>0.61083952513994022</v>
      </c>
      <c r="BM99" s="299">
        <f t="shared" ca="1" si="168"/>
        <v>0.6508682169276182</v>
      </c>
      <c r="BN99" s="295">
        <f t="shared" ca="1" si="169"/>
        <v>0.17402001625314881</v>
      </c>
      <c r="BO99" s="248">
        <f t="shared" ca="1" si="217"/>
        <v>-2.2535161742124597E-5</v>
      </c>
      <c r="BQ99" s="304">
        <f t="shared" ca="1" si="218"/>
        <v>0.1741200162531488</v>
      </c>
      <c r="BR99" s="297">
        <f t="shared" ca="1" si="219"/>
        <v>0</v>
      </c>
      <c r="BS99" s="298">
        <f t="shared" ca="1" si="170"/>
        <v>0</v>
      </c>
      <c r="BT99" s="298">
        <f t="shared" ca="1" si="171"/>
        <v>0</v>
      </c>
      <c r="BU99" s="318">
        <f t="shared" ca="1" si="172"/>
        <v>0</v>
      </c>
      <c r="BV99" s="298">
        <f t="shared" ca="1" si="173"/>
        <v>0</v>
      </c>
      <c r="BW99" s="299">
        <f t="shared" ca="1" si="174"/>
        <v>0</v>
      </c>
      <c r="BX99" s="298">
        <f t="shared" ca="1" si="175"/>
        <v>0</v>
      </c>
      <c r="BY99" s="298">
        <f t="shared" ca="1" si="176"/>
        <v>0</v>
      </c>
      <c r="BZ99" s="298">
        <f t="shared" ca="1" si="177"/>
        <v>0</v>
      </c>
      <c r="CA99" s="315">
        <f t="shared" ca="1" si="178"/>
        <v>0.1741200162531488</v>
      </c>
      <c r="CC99" s="52"/>
      <c r="CD99" s="306">
        <f t="shared" ca="1" si="220"/>
        <v>0</v>
      </c>
      <c r="CE99" s="15">
        <f t="shared" ca="1" si="179"/>
        <v>0</v>
      </c>
      <c r="CF99" s="15">
        <f t="shared" ca="1" si="180"/>
        <v>0</v>
      </c>
      <c r="CG99" s="286">
        <f t="shared" ca="1" si="181"/>
        <v>0</v>
      </c>
      <c r="CH99" s="15">
        <f t="shared" ca="1" si="182"/>
        <v>0</v>
      </c>
      <c r="CI99" s="288">
        <f t="shared" ca="1" si="183"/>
        <v>0</v>
      </c>
      <c r="CJ99" s="15">
        <f t="shared" ca="1" si="184"/>
        <v>0</v>
      </c>
      <c r="CK99" s="15">
        <f t="shared" ca="1" si="185"/>
        <v>0</v>
      </c>
      <c r="CL99" s="15">
        <f t="shared" ca="1" si="186"/>
        <v>0</v>
      </c>
      <c r="CM99" s="313">
        <f t="shared" ca="1" si="187"/>
        <v>1</v>
      </c>
      <c r="CO99" s="320">
        <f t="shared" ca="1" si="221"/>
        <v>88</v>
      </c>
      <c r="CP99" s="22">
        <f ca="1">COUNTIFS($C$10:$C98,"&lt;"&amp;$C99,$M$10:$M98,$D99&amp;"_"&amp;CP$9)</f>
        <v>0</v>
      </c>
      <c r="CQ99" s="7">
        <f ca="1">COUNTIFS($C$10:$C98,"&lt;"&amp;$C99,$M$10:$M98,$D99&amp;"_"&amp;CQ$9)</f>
        <v>0</v>
      </c>
      <c r="CR99" s="7">
        <f ca="1">COUNTIFS($C$10:$C98,"&lt;"&amp;$C99,$M$10:$M98,$D99&amp;"_"&amp;CR$9)</f>
        <v>0</v>
      </c>
      <c r="CS99" s="17">
        <f ca="1">COUNTIFS($C$10:$C98,"&lt;"&amp;$C99,$M$10:$M98,$D99&amp;"_"&amp;CS$9)</f>
        <v>0</v>
      </c>
      <c r="CT99" s="7">
        <f ca="1">COUNTIFS($C$10:$C98,"&lt;"&amp;$C99,$M$10:$M98,$D99&amp;"_"&amp;CT$9)</f>
        <v>0</v>
      </c>
      <c r="CU99" s="18">
        <f ca="1">COUNTIFS($C$10:$C98,"&lt;"&amp;$C99,$M$10:$M98,$D99&amp;"_"&amp;CU$9)</f>
        <v>0</v>
      </c>
      <c r="CV99" s="7">
        <f ca="1">COUNTIFS($C$10:$C98,"&lt;"&amp;$C99,$M$10:$M98,$D99&amp;"_"&amp;CV$9)</f>
        <v>0</v>
      </c>
      <c r="CW99" s="7">
        <f ca="1">COUNTIFS($C$10:$C98,"&lt;"&amp;$C99,$M$10:$M98,$D99&amp;"_"&amp;CW$9)</f>
        <v>0</v>
      </c>
      <c r="CX99" s="7">
        <f ca="1">COUNTIFS($C$10:$C98,"&lt;"&amp;$C99,$M$10:$M98,$D99&amp;"_"&amp;CX$9)</f>
        <v>0</v>
      </c>
      <c r="CY99" s="221">
        <f ca="1">COUNTIFS($C$10:$C98,"&lt;"&amp;$C99,$M$10:$M98,$D99&amp;"_"&amp;CY$9)</f>
        <v>88</v>
      </c>
      <c r="DA99" s="20"/>
      <c r="DB99" s="308">
        <f ca="1">IF(CP99=0,0,SUMIFS($P$10:$P98, $C$10:$C98,"&lt;"&amp;$C99, $M$10:$M98,$D99&amp;"_"&amp;DB$9)/CP99)</f>
        <v>0</v>
      </c>
      <c r="DC99" s="263">
        <f ca="1">IF(CQ99=0,0,SUMIFS($P$10:$P98, $C$10:$C98,"&lt;"&amp;$C99, $M$10:$M98,$D99&amp;"_"&amp;DC$9)/CQ99)</f>
        <v>0</v>
      </c>
      <c r="DD99" s="263">
        <f ca="1">IF(CR99=0,0,SUMIFS($P$10:$P98, $C$10:$C98,"&lt;"&amp;$C99, $M$10:$M98,$D99&amp;"_"&amp;DD$9)/CR99)</f>
        <v>0</v>
      </c>
      <c r="DE99" s="262">
        <f ca="1">IF(CS99=0,0,SUMIFS($P$10:$P98, $C$10:$C98,"&lt;"&amp;$C99, $M$10:$M98,$D99&amp;"_"&amp;DE$9)/CS99)</f>
        <v>0</v>
      </c>
      <c r="DF99" s="263">
        <f ca="1">IF(CT99=0,0,SUMIFS($P$10:$P98, $C$10:$C98,"&lt;"&amp;$C99, $M$10:$M98,$D99&amp;"_"&amp;DF$9)/CT99)</f>
        <v>0</v>
      </c>
      <c r="DG99" s="310">
        <f ca="1">IF(CU99=0,0,SUMIFS($P$10:$P98, $C$10:$C98,"&lt;"&amp;$C99, $M$10:$M98,$D99&amp;"_"&amp;DG$9)/CU99)</f>
        <v>0</v>
      </c>
      <c r="DH99" s="263">
        <f ca="1">IF(CV99=0,0,SUMIFS($P$10:$P98, $C$10:$C98,"&lt;"&amp;$C99, $M$10:$M98,$D99&amp;"_"&amp;DH$9)/CV99)</f>
        <v>0</v>
      </c>
      <c r="DI99" s="263">
        <f ca="1">IF(CW99=0,0,SUMIFS($P$10:$P98, $C$10:$C98,"&lt;"&amp;$C99, $M$10:$M98,$D99&amp;"_"&amp;DI$9)/CW99)</f>
        <v>0</v>
      </c>
      <c r="DJ99" s="264">
        <f ca="1">IF(CX99=0,0,SUMIFS($P$10:$P98, $C$10:$C98,"&lt;"&amp;$C99, $M$10:$M98,$D99&amp;"_"&amp;DJ$9)/CX99)</f>
        <v>0</v>
      </c>
      <c r="DK99" s="264">
        <f ca="1">IF(CY99=0,0,SUMIFS($P$10:$P98, $C$10:$C98,"&lt;"&amp;$C99, $M$10:$M98,$D99&amp;"_"&amp;DK$9)/CY99)</f>
        <v>-1</v>
      </c>
      <c r="DM99" s="104"/>
      <c r="DN99" s="306">
        <f t="shared" ca="1" si="222"/>
        <v>-9999</v>
      </c>
      <c r="DO99" s="15">
        <f t="shared" ca="1" si="188"/>
        <v>-9999</v>
      </c>
      <c r="DP99" s="15">
        <f t="shared" ca="1" si="189"/>
        <v>-9999</v>
      </c>
      <c r="DQ99" s="15">
        <f t="shared" ca="1" si="190"/>
        <v>-9999</v>
      </c>
      <c r="DR99" s="15">
        <f t="shared" ca="1" si="191"/>
        <v>-9999</v>
      </c>
      <c r="DS99" s="15">
        <f t="shared" ca="1" si="192"/>
        <v>-9999</v>
      </c>
      <c r="DT99" s="15">
        <f t="shared" ca="1" si="193"/>
        <v>-9999</v>
      </c>
      <c r="DU99" s="15">
        <f t="shared" ca="1" si="194"/>
        <v>-9999</v>
      </c>
      <c r="DV99" s="52">
        <f t="shared" ca="1" si="195"/>
        <v>-9999</v>
      </c>
      <c r="DW99" s="313">
        <f t="shared" ca="1" si="196"/>
        <v>-0.89459739865565324</v>
      </c>
      <c r="DX99" s="52"/>
      <c r="DY99" s="402">
        <f t="shared" ca="1" si="223"/>
        <v>9</v>
      </c>
      <c r="ED99" s="19">
        <f t="shared" ca="1" si="197"/>
        <v>-1</v>
      </c>
      <c r="EE99" s="1">
        <f t="shared" ca="1" si="198"/>
        <v>1</v>
      </c>
      <c r="EF99" s="1">
        <f t="shared" ca="1" si="199"/>
        <v>-1</v>
      </c>
      <c r="EG99" s="2">
        <f t="shared" ca="1" si="200"/>
        <v>1</v>
      </c>
      <c r="EH99" s="1">
        <f t="shared" ca="1" si="201"/>
        <v>-1</v>
      </c>
      <c r="EI99" s="3">
        <f t="shared" ca="1" si="202"/>
        <v>1</v>
      </c>
      <c r="EJ99" s="1">
        <f t="shared" ca="1" si="203"/>
        <v>0</v>
      </c>
      <c r="EK99" s="1">
        <f t="shared" ca="1" si="204"/>
        <v>0</v>
      </c>
      <c r="EL99" s="20">
        <f t="shared" ca="1" si="205"/>
        <v>-1</v>
      </c>
      <c r="EN99" s="86">
        <f ca="1">MAX(0, SUMPRODUCT($ED99:$EL99,OFFSET(DNN!$E$9:$M$9,EN$9,0)) + OFFSET(DNN!$D$9,EN$9,0))</f>
        <v>0</v>
      </c>
      <c r="EO99" s="84">
        <f ca="1">MAX(0, SUMPRODUCT($ED99:$EL99,OFFSET(DNN!$E$9:$M$9,EO$9,0)) + OFFSET(DNN!$D$9,EO$9,0))</f>
        <v>7.2346022384755949E-3</v>
      </c>
      <c r="EP99" s="84">
        <f ca="1">MAX(0, SUMPRODUCT($ED99:$EL99,OFFSET(DNN!$E$9:$M$9,EP$9,0)) + OFFSET(DNN!$D$9,EP$9,0))</f>
        <v>3.6951849750035152E-3</v>
      </c>
      <c r="EQ99" s="84">
        <f ca="1">MAX(0, SUMPRODUCT($ED99:$EL99,OFFSET(DNN!$E$9:$M$9,EQ$9,0)) + OFFSET(DNN!$D$9,EQ$9,0))</f>
        <v>0</v>
      </c>
      <c r="ER99" s="85">
        <f ca="1">MAX(0, SUMPRODUCT($ED99:$EL99,OFFSET(DNN!$E$9:$M$9,ER$9,0)) + OFFSET(DNN!$D$9,ER$9,0))</f>
        <v>0</v>
      </c>
      <c r="ET99" s="86">
        <f ca="1">MAX(0, SUMPRODUCT($EN99:$ER99,OFFSET(DNN!$Q$9:$U$9,ET$9,0)) + OFFSET(DNN!$P$9,ET$9,0))</f>
        <v>4.3954959453478351E-4</v>
      </c>
      <c r="EU99" s="84">
        <f ca="1">MAX(0, SUMPRODUCT($EN99:$ER99,OFFSET(DNN!$Q$9:$U$9,EU$9,0)) + OFFSET(DNN!$P$9,EU$9,0))</f>
        <v>0</v>
      </c>
      <c r="EV99" s="84">
        <f ca="1">MAX(0, SUMPRODUCT($EN99:$ER99,OFFSET(DNN!$Q$9:$U$9,EV$9,0)) + OFFSET(DNN!$P$9,EV$9,0))</f>
        <v>1.2810123361902579E-3</v>
      </c>
      <c r="EW99" s="84">
        <f ca="1">MAX(0, SUMPRODUCT($EN99:$ER99,OFFSET(DNN!$Q$9:$U$9,EW$9,0)) + OFFSET(DNN!$P$9,EW$9,0))</f>
        <v>7.8382123007882457E-4</v>
      </c>
      <c r="EX99" s="85">
        <f ca="1">MAX(0, SUMPRODUCT($EN99:$ER99,OFFSET(DNN!$Q$9:$U$9,EX$9,0)) + OFFSET(DNN!$P$9,EX$9,0))</f>
        <v>0</v>
      </c>
      <c r="EZ99" s="111">
        <f ca="1">SUMPRODUCT($ET99:$EX99,OFFSET(DNN!$Y$9:$AC$9,EZ$9,0)) + OFFSET(DNN!$X$9,EZ$9,0)</f>
        <v>0.43031618918982212</v>
      </c>
      <c r="FA99" s="97">
        <f ca="1">SUMPRODUCT($ET99:$EX99,OFFSET(DNN!$Y$9:$AC$9,FA$9,0)) + OFFSET(DNN!$X$9,FA$9,0)</f>
        <v>-1.2643439935754107E-5</v>
      </c>
      <c r="FB99" s="97">
        <f ca="1">SUMPRODUCT($ET99:$EX99,OFFSET(DNN!$Y$9:$AC$9,FB$9,0)) + OFFSET(DNN!$X$9,FB$9,0)</f>
        <v>1.5239793458415756E-2</v>
      </c>
      <c r="FC99" s="97">
        <f ca="1">SUMPRODUCT($ET99:$EX99,OFFSET(DNN!$Y$9:$AC$9,FC$9,0)) + OFFSET(DNN!$X$9,FC$9,0)</f>
        <v>-8.8749521084055777E-4</v>
      </c>
      <c r="FD99" s="97">
        <f ca="1">SUMPRODUCT($ET99:$EX99,OFFSET(DNN!$Y$9:$AC$9,FD$9,0)) + OFFSET(DNN!$X$9,FD$9,0)</f>
        <v>-4.235816470721872E-4</v>
      </c>
      <c r="FE99" s="97">
        <f ca="1">SUMPRODUCT($ET99:$EX99,OFFSET(DNN!$Y$9:$AC$9,FE$9,0)) + OFFSET(DNN!$X$9,FE$9,0)</f>
        <v>-1.574182761064886E-5</v>
      </c>
      <c r="FF99" s="97">
        <f ca="1">SUMPRODUCT($ET99:$EX99,OFFSET(DNN!$Y$9:$AC$9,FF$9,0)) + OFFSET(DNN!$X$9,FF$9,0)</f>
        <v>-1.3491460223194656E-3</v>
      </c>
      <c r="FG99" s="97">
        <f ca="1">SUMPRODUCT($ET99:$EX99,OFFSET(DNN!$Y$9:$AC$9,FG$9,0)) + OFFSET(DNN!$X$9,FG$9,0)</f>
        <v>-6.2604808096248285E-2</v>
      </c>
      <c r="FH99" s="97">
        <f ca="1">SUMPRODUCT($ET99:$EX99,OFFSET(DNN!$Y$9:$AC$9,FH$9,0)) + OFFSET(DNN!$X$9,FH$9,0)</f>
        <v>8.6810016937029894E-4</v>
      </c>
      <c r="FI99" s="108">
        <f ca="1">SUMPRODUCT($ET99:$EX99,OFFSET(DNN!$Y$9:$AC$9,FI$9,0)) + OFFSET(DNN!$X$9,FI$9,0)</f>
        <v>-1.3182687612562751</v>
      </c>
      <c r="FJ99" s="98">
        <f ca="1">SUMPRODUCT($ET99:$EX99,OFFSET(DNN!$Y$9:$AC$9,FJ$9,0)) + OFFSET(DNN!$X$9,FJ$9,0)</f>
        <v>-2.2535161745939301E-5</v>
      </c>
      <c r="FL99" s="415">
        <f t="shared" ca="1" si="224"/>
        <v>0.43031618918982212</v>
      </c>
      <c r="FM99" s="130">
        <f t="shared" ca="1" si="225"/>
        <v>1</v>
      </c>
      <c r="FN99" s="131">
        <f t="shared" ca="1" si="226"/>
        <v>0.65029522127322903</v>
      </c>
      <c r="FO99" s="131">
        <f t="shared" ca="1" si="227"/>
        <v>0.66028983545318687</v>
      </c>
      <c r="FP99" s="131">
        <f t="shared" ca="1" si="228"/>
        <v>0.64972655813153501</v>
      </c>
      <c r="FQ99" s="131">
        <f t="shared" ca="1" si="229"/>
        <v>0.65002804502111444</v>
      </c>
      <c r="FR99" s="131">
        <f t="shared" ca="1" si="230"/>
        <v>0.65029320640965171</v>
      </c>
      <c r="FS99" s="131">
        <f t="shared" ca="1" si="231"/>
        <v>0.64942668056342145</v>
      </c>
      <c r="FT99" s="131">
        <f t="shared" ca="1" si="232"/>
        <v>0.61083952513994022</v>
      </c>
      <c r="FU99" s="132">
        <f t="shared" ca="1" si="233"/>
        <v>0.6508682169276182</v>
      </c>
      <c r="FV99" s="131">
        <f t="shared" ca="1" si="234"/>
        <v>0.17402001625314881</v>
      </c>
      <c r="FW99" s="83">
        <f t="shared" ca="1" si="235"/>
        <v>-2.2535161742124597E-5</v>
      </c>
    </row>
    <row r="100" spans="1:179">
      <c r="A100" s="19">
        <f t="shared" si="240"/>
        <v>90</v>
      </c>
      <c r="B100" s="1">
        <f t="shared" ca="1" si="236"/>
        <v>0</v>
      </c>
      <c r="C100" s="20">
        <f t="shared" ca="1" si="237"/>
        <v>90</v>
      </c>
      <c r="D100" s="19" t="str">
        <f t="shared" ca="1" si="238"/>
        <v>〇×〇×〇×--〇</v>
      </c>
      <c r="E100" s="7">
        <f t="shared" ca="1" si="206"/>
        <v>9</v>
      </c>
      <c r="F100" s="7">
        <f t="shared" ca="1" si="207"/>
        <v>1</v>
      </c>
      <c r="G100" s="1" t="str">
        <f t="shared" ca="1" si="139"/>
        <v>〇×〇×〇×--〇</v>
      </c>
      <c r="H100" s="20" t="b">
        <f t="shared" ca="1" si="140"/>
        <v>1</v>
      </c>
      <c r="I100" s="22">
        <f t="shared" ca="1" si="239"/>
        <v>-1</v>
      </c>
      <c r="J100" s="1" t="b">
        <f ca="1">(1&lt;COUNTIF(D$10:D100,D100))</f>
        <v>1</v>
      </c>
      <c r="K100" s="1" t="b">
        <f t="shared" ca="1" si="141"/>
        <v>1</v>
      </c>
      <c r="L100" s="7">
        <f ca="1">MATCH(TRUE,K100:K$1048576,FALSE)-1</f>
        <v>0</v>
      </c>
      <c r="M100" s="24" t="str">
        <f t="shared" ca="1" si="142"/>
        <v>〇×〇×〇×--〇_9</v>
      </c>
      <c r="N100" s="25">
        <f t="shared" ca="1" si="208"/>
        <v>-2.2535161742124597E-5</v>
      </c>
      <c r="O100" s="26">
        <f t="shared" ca="1" si="209"/>
        <v>-1</v>
      </c>
      <c r="P100" s="27">
        <f t="shared" ca="1" si="210"/>
        <v>-1</v>
      </c>
      <c r="R100" s="41" t="str">
        <f ca="1">VLOOKUP(S100,cvt!$B$2:$C$4,2,FALSE)&amp;VLOOKUP(T100,cvt!$B$2:$C$4,2,FALSE)&amp;VLOOKUP(U100,cvt!$B$2:$C$4,2,FALSE)
&amp;VLOOKUP(V100,cvt!$B$2:$C$4,2,FALSE)&amp;VLOOKUP(W100,cvt!$B$2:$C$4,2,FALSE)&amp;VLOOKUP(X100,cvt!$B$2:$C$4,2,FALSE)
&amp;VLOOKUP(Y100,cvt!$B$2:$C$4,2,FALSE)&amp;VLOOKUP(Z100,cvt!$B$2:$C$4,2,FALSE)&amp;VLOOKUP(AA100,cvt!$B$2:$C$4,2,FALSE)</f>
        <v>〇×〇×〇×--〇</v>
      </c>
      <c r="S100" s="7">
        <f ca="1">VLOOKUP(MID($D100,S$9+1,1), cvt!$A$2:$B$4,2, FALSE)</f>
        <v>1</v>
      </c>
      <c r="T100" s="7">
        <f ca="1">VLOOKUP(MID($D100,T$9+1,1), cvt!$A$2:$B$4,2, FALSE)</f>
        <v>-1</v>
      </c>
      <c r="U100" s="7">
        <f ca="1">VLOOKUP(MID($D100,U$9+1,1), cvt!$A$2:$B$4,2, FALSE)</f>
        <v>1</v>
      </c>
      <c r="V100" s="17">
        <f ca="1">VLOOKUP(MID($D100,V$9+1,1), cvt!$A$2:$B$4,2, FALSE)</f>
        <v>-1</v>
      </c>
      <c r="W100" s="7">
        <f ca="1">VLOOKUP(MID($D100,W$9+1,1), cvt!$A$2:$B$4,2, FALSE)</f>
        <v>1</v>
      </c>
      <c r="X100" s="18">
        <f ca="1">VLOOKUP(MID($D100,X$9+1,1), cvt!$A$2:$B$4,2, FALSE)</f>
        <v>-1</v>
      </c>
      <c r="Y100" s="7">
        <f ca="1">VLOOKUP(MID($D100,Y$9+1,1), cvt!$A$2:$B$4,2, FALSE)</f>
        <v>0</v>
      </c>
      <c r="Z100" s="7">
        <f ca="1">VLOOKUP(MID($D100,Z$9+1,1), cvt!$A$2:$B$4,2, FALSE)</f>
        <v>0</v>
      </c>
      <c r="AA100" s="42">
        <f ca="1">VLOOKUP(MID($D100,AA$9+1,1), cvt!$A$2:$B$4,2, FALSE)</f>
        <v>1</v>
      </c>
      <c r="AB100" s="7">
        <f t="shared" ca="1" si="211"/>
        <v>1</v>
      </c>
      <c r="AC100" s="50" t="b">
        <f t="shared" ca="1" si="212"/>
        <v>1</v>
      </c>
      <c r="AE100" s="19" t="str">
        <f ca="1">VLOOKUP(AF100,cvt!$B$2:$C$4,2,FALSE)&amp;VLOOKUP(AG100,cvt!$B$2:$C$4,2,FALSE)&amp;VLOOKUP(AH100,cvt!$B$2:$C$4,2,FALSE)
&amp;VLOOKUP(AI100,cvt!$B$2:$C$4,2,FALSE)&amp;VLOOKUP(AJ100,cvt!$B$2:$C$4,2,FALSE)&amp;VLOOKUP(AK100,cvt!$B$2:$C$4,2,FALSE)
&amp;VLOOKUP(AL100,cvt!$B$2:$C$4,2,FALSE)&amp;VLOOKUP(AM100,cvt!$B$2:$C$4,2,FALSE)&amp;VLOOKUP(AN100,cvt!$B$2:$C$4,2,FALSE)</f>
        <v>〇×〇×〇×--〇</v>
      </c>
      <c r="AF100" s="17">
        <f t="shared" ca="1" si="143"/>
        <v>1</v>
      </c>
      <c r="AG100" s="7">
        <f t="shared" ca="1" si="144"/>
        <v>-1</v>
      </c>
      <c r="AH100" s="7">
        <f t="shared" ca="1" si="145"/>
        <v>1</v>
      </c>
      <c r="AI100" s="17">
        <f t="shared" ca="1" si="146"/>
        <v>-1</v>
      </c>
      <c r="AJ100" s="7">
        <f t="shared" ca="1" si="147"/>
        <v>1</v>
      </c>
      <c r="AK100" s="18">
        <f t="shared" ca="1" si="148"/>
        <v>-1</v>
      </c>
      <c r="AL100" s="7">
        <f t="shared" ca="1" si="149"/>
        <v>0</v>
      </c>
      <c r="AM100" s="7">
        <f t="shared" ca="1" si="150"/>
        <v>0</v>
      </c>
      <c r="AN100" s="18">
        <f t="shared" ca="1" si="151"/>
        <v>1</v>
      </c>
      <c r="AO100" s="7">
        <f t="shared" ca="1" si="213"/>
        <v>1</v>
      </c>
      <c r="AP100" s="50" t="b">
        <f t="shared" ca="1" si="152"/>
        <v>1</v>
      </c>
      <c r="AS100" s="22">
        <f t="shared" ca="1" si="214"/>
        <v>0</v>
      </c>
      <c r="AT100" s="7">
        <f t="shared" ca="1" si="153"/>
        <v>0</v>
      </c>
      <c r="AU100" s="7">
        <f t="shared" ca="1" si="154"/>
        <v>0</v>
      </c>
      <c r="AV100" s="7">
        <f t="shared" ca="1" si="155"/>
        <v>0</v>
      </c>
      <c r="AW100" s="7">
        <f t="shared" ca="1" si="156"/>
        <v>0</v>
      </c>
      <c r="AX100" s="7">
        <f t="shared" ca="1" si="157"/>
        <v>0</v>
      </c>
      <c r="AY100" s="7">
        <f t="shared" ca="1" si="158"/>
        <v>0</v>
      </c>
      <c r="AZ100" s="7">
        <f t="shared" ca="1" si="159"/>
        <v>0</v>
      </c>
      <c r="BA100" s="18">
        <f t="shared" ca="1" si="160"/>
        <v>0</v>
      </c>
      <c r="BB100" s="295">
        <f t="shared" ca="1" si="215"/>
        <v>1</v>
      </c>
      <c r="BD100" s="132"/>
      <c r="BE100" s="297">
        <f t="shared" ca="1" si="216"/>
        <v>1</v>
      </c>
      <c r="BF100" s="298">
        <f t="shared" ca="1" si="161"/>
        <v>0.65029522127322903</v>
      </c>
      <c r="BG100" s="298">
        <f t="shared" ca="1" si="162"/>
        <v>0.66028983545318687</v>
      </c>
      <c r="BH100" s="318">
        <f t="shared" ca="1" si="163"/>
        <v>0.64972655813153501</v>
      </c>
      <c r="BI100" s="298">
        <f t="shared" ca="1" si="164"/>
        <v>0.65002804502111444</v>
      </c>
      <c r="BJ100" s="299">
        <f t="shared" ca="1" si="165"/>
        <v>0.65029320640965171</v>
      </c>
      <c r="BK100" s="298">
        <f t="shared" ca="1" si="166"/>
        <v>0.64942668056342145</v>
      </c>
      <c r="BL100" s="298">
        <f t="shared" ca="1" si="167"/>
        <v>0.61083952513994022</v>
      </c>
      <c r="BM100" s="299">
        <f t="shared" ca="1" si="168"/>
        <v>0.6508682169276182</v>
      </c>
      <c r="BN100" s="295">
        <f t="shared" ca="1" si="169"/>
        <v>0.17402001625314881</v>
      </c>
      <c r="BO100" s="248">
        <f t="shared" ca="1" si="217"/>
        <v>-2.2535161742124597E-5</v>
      </c>
      <c r="BQ100" s="304">
        <f t="shared" ca="1" si="218"/>
        <v>0.1741200162531488</v>
      </c>
      <c r="BR100" s="297">
        <f t="shared" ca="1" si="219"/>
        <v>0</v>
      </c>
      <c r="BS100" s="298">
        <f t="shared" ca="1" si="170"/>
        <v>0</v>
      </c>
      <c r="BT100" s="298">
        <f t="shared" ca="1" si="171"/>
        <v>0</v>
      </c>
      <c r="BU100" s="318">
        <f t="shared" ca="1" si="172"/>
        <v>0</v>
      </c>
      <c r="BV100" s="298">
        <f t="shared" ca="1" si="173"/>
        <v>0</v>
      </c>
      <c r="BW100" s="299">
        <f t="shared" ca="1" si="174"/>
        <v>0</v>
      </c>
      <c r="BX100" s="298">
        <f t="shared" ca="1" si="175"/>
        <v>0</v>
      </c>
      <c r="BY100" s="298">
        <f t="shared" ca="1" si="176"/>
        <v>0</v>
      </c>
      <c r="BZ100" s="298">
        <f t="shared" ca="1" si="177"/>
        <v>0</v>
      </c>
      <c r="CA100" s="315">
        <f t="shared" ca="1" si="178"/>
        <v>0.1741200162531488</v>
      </c>
      <c r="CC100" s="52"/>
      <c r="CD100" s="306">
        <f t="shared" ca="1" si="220"/>
        <v>0</v>
      </c>
      <c r="CE100" s="15">
        <f t="shared" ca="1" si="179"/>
        <v>0</v>
      </c>
      <c r="CF100" s="15">
        <f t="shared" ca="1" si="180"/>
        <v>0</v>
      </c>
      <c r="CG100" s="286">
        <f t="shared" ca="1" si="181"/>
        <v>0</v>
      </c>
      <c r="CH100" s="15">
        <f t="shared" ca="1" si="182"/>
        <v>0</v>
      </c>
      <c r="CI100" s="288">
        <f t="shared" ca="1" si="183"/>
        <v>0</v>
      </c>
      <c r="CJ100" s="15">
        <f t="shared" ca="1" si="184"/>
        <v>0</v>
      </c>
      <c r="CK100" s="15">
        <f t="shared" ca="1" si="185"/>
        <v>0</v>
      </c>
      <c r="CL100" s="15">
        <f t="shared" ca="1" si="186"/>
        <v>0</v>
      </c>
      <c r="CM100" s="313">
        <f t="shared" ca="1" si="187"/>
        <v>1</v>
      </c>
      <c r="CO100" s="320">
        <f t="shared" ca="1" si="221"/>
        <v>89</v>
      </c>
      <c r="CP100" s="22">
        <f ca="1">COUNTIFS($C$10:$C99,"&lt;"&amp;$C100,$M$10:$M99,$D100&amp;"_"&amp;CP$9)</f>
        <v>0</v>
      </c>
      <c r="CQ100" s="7">
        <f ca="1">COUNTIFS($C$10:$C99,"&lt;"&amp;$C100,$M$10:$M99,$D100&amp;"_"&amp;CQ$9)</f>
        <v>0</v>
      </c>
      <c r="CR100" s="7">
        <f ca="1">COUNTIFS($C$10:$C99,"&lt;"&amp;$C100,$M$10:$M99,$D100&amp;"_"&amp;CR$9)</f>
        <v>0</v>
      </c>
      <c r="CS100" s="17">
        <f ca="1">COUNTIFS($C$10:$C99,"&lt;"&amp;$C100,$M$10:$M99,$D100&amp;"_"&amp;CS$9)</f>
        <v>0</v>
      </c>
      <c r="CT100" s="7">
        <f ca="1">COUNTIFS($C$10:$C99,"&lt;"&amp;$C100,$M$10:$M99,$D100&amp;"_"&amp;CT$9)</f>
        <v>0</v>
      </c>
      <c r="CU100" s="18">
        <f ca="1">COUNTIFS($C$10:$C99,"&lt;"&amp;$C100,$M$10:$M99,$D100&amp;"_"&amp;CU$9)</f>
        <v>0</v>
      </c>
      <c r="CV100" s="7">
        <f ca="1">COUNTIFS($C$10:$C99,"&lt;"&amp;$C100,$M$10:$M99,$D100&amp;"_"&amp;CV$9)</f>
        <v>0</v>
      </c>
      <c r="CW100" s="7">
        <f ca="1">COUNTIFS($C$10:$C99,"&lt;"&amp;$C100,$M$10:$M99,$D100&amp;"_"&amp;CW$9)</f>
        <v>0</v>
      </c>
      <c r="CX100" s="7">
        <f ca="1">COUNTIFS($C$10:$C99,"&lt;"&amp;$C100,$M$10:$M99,$D100&amp;"_"&amp;CX$9)</f>
        <v>0</v>
      </c>
      <c r="CY100" s="221">
        <f ca="1">COUNTIFS($C$10:$C99,"&lt;"&amp;$C100,$M$10:$M99,$D100&amp;"_"&amp;CY$9)</f>
        <v>89</v>
      </c>
      <c r="DA100" s="20"/>
      <c r="DB100" s="308">
        <f ca="1">IF(CP100=0,0,SUMIFS($P$10:$P99, $C$10:$C99,"&lt;"&amp;$C100, $M$10:$M99,$D100&amp;"_"&amp;DB$9)/CP100)</f>
        <v>0</v>
      </c>
      <c r="DC100" s="263">
        <f ca="1">IF(CQ100=0,0,SUMIFS($P$10:$P99, $C$10:$C99,"&lt;"&amp;$C100, $M$10:$M99,$D100&amp;"_"&amp;DC$9)/CQ100)</f>
        <v>0</v>
      </c>
      <c r="DD100" s="263">
        <f ca="1">IF(CR100=0,0,SUMIFS($P$10:$P99, $C$10:$C99,"&lt;"&amp;$C100, $M$10:$M99,$D100&amp;"_"&amp;DD$9)/CR100)</f>
        <v>0</v>
      </c>
      <c r="DE100" s="262">
        <f ca="1">IF(CS100=0,0,SUMIFS($P$10:$P99, $C$10:$C99,"&lt;"&amp;$C100, $M$10:$M99,$D100&amp;"_"&amp;DE$9)/CS100)</f>
        <v>0</v>
      </c>
      <c r="DF100" s="263">
        <f ca="1">IF(CT100=0,0,SUMIFS($P$10:$P99, $C$10:$C99,"&lt;"&amp;$C100, $M$10:$M99,$D100&amp;"_"&amp;DF$9)/CT100)</f>
        <v>0</v>
      </c>
      <c r="DG100" s="310">
        <f ca="1">IF(CU100=0,0,SUMIFS($P$10:$P99, $C$10:$C99,"&lt;"&amp;$C100, $M$10:$M99,$D100&amp;"_"&amp;DG$9)/CU100)</f>
        <v>0</v>
      </c>
      <c r="DH100" s="263">
        <f ca="1">IF(CV100=0,0,SUMIFS($P$10:$P99, $C$10:$C99,"&lt;"&amp;$C100, $M$10:$M99,$D100&amp;"_"&amp;DH$9)/CV100)</f>
        <v>0</v>
      </c>
      <c r="DI100" s="263">
        <f ca="1">IF(CW100=0,0,SUMIFS($P$10:$P99, $C$10:$C99,"&lt;"&amp;$C100, $M$10:$M99,$D100&amp;"_"&amp;DI$9)/CW100)</f>
        <v>0</v>
      </c>
      <c r="DJ100" s="264">
        <f ca="1">IF(CX100=0,0,SUMIFS($P$10:$P99, $C$10:$C99,"&lt;"&amp;$C100, $M$10:$M99,$D100&amp;"_"&amp;DJ$9)/CX100)</f>
        <v>0</v>
      </c>
      <c r="DK100" s="264">
        <f ca="1">IF(CY100=0,0,SUMIFS($P$10:$P99, $C$10:$C99,"&lt;"&amp;$C100, $M$10:$M99,$D100&amp;"_"&amp;DK$9)/CY100)</f>
        <v>-1</v>
      </c>
      <c r="DM100" s="104"/>
      <c r="DN100" s="306">
        <f t="shared" ca="1" si="222"/>
        <v>-9999</v>
      </c>
      <c r="DO100" s="15">
        <f t="shared" ca="1" si="188"/>
        <v>-9999</v>
      </c>
      <c r="DP100" s="15">
        <f t="shared" ca="1" si="189"/>
        <v>-9999</v>
      </c>
      <c r="DQ100" s="15">
        <f t="shared" ca="1" si="190"/>
        <v>-9999</v>
      </c>
      <c r="DR100" s="15">
        <f t="shared" ca="1" si="191"/>
        <v>-9999</v>
      </c>
      <c r="DS100" s="15">
        <f t="shared" ca="1" si="192"/>
        <v>-9999</v>
      </c>
      <c r="DT100" s="15">
        <f t="shared" ca="1" si="193"/>
        <v>-9999</v>
      </c>
      <c r="DU100" s="15">
        <f t="shared" ca="1" si="194"/>
        <v>-9999</v>
      </c>
      <c r="DV100" s="52">
        <f t="shared" ca="1" si="195"/>
        <v>-9999</v>
      </c>
      <c r="DW100" s="313">
        <f t="shared" ca="1" si="196"/>
        <v>-0.89517798742159327</v>
      </c>
      <c r="DX100" s="52"/>
      <c r="DY100" s="402">
        <f t="shared" ca="1" si="223"/>
        <v>9</v>
      </c>
      <c r="ED100" s="19">
        <f t="shared" ca="1" si="197"/>
        <v>-1</v>
      </c>
      <c r="EE100" s="1">
        <f t="shared" ca="1" si="198"/>
        <v>1</v>
      </c>
      <c r="EF100" s="1">
        <f t="shared" ca="1" si="199"/>
        <v>-1</v>
      </c>
      <c r="EG100" s="2">
        <f t="shared" ca="1" si="200"/>
        <v>1</v>
      </c>
      <c r="EH100" s="1">
        <f t="shared" ca="1" si="201"/>
        <v>-1</v>
      </c>
      <c r="EI100" s="3">
        <f t="shared" ca="1" si="202"/>
        <v>1</v>
      </c>
      <c r="EJ100" s="1">
        <f t="shared" ca="1" si="203"/>
        <v>0</v>
      </c>
      <c r="EK100" s="1">
        <f t="shared" ca="1" si="204"/>
        <v>0</v>
      </c>
      <c r="EL100" s="20">
        <f t="shared" ca="1" si="205"/>
        <v>-1</v>
      </c>
      <c r="EN100" s="86">
        <f ca="1">MAX(0, SUMPRODUCT($ED100:$EL100,OFFSET(DNN!$E$9:$M$9,EN$9,0)) + OFFSET(DNN!$D$9,EN$9,0))</f>
        <v>0</v>
      </c>
      <c r="EO100" s="84">
        <f ca="1">MAX(0, SUMPRODUCT($ED100:$EL100,OFFSET(DNN!$E$9:$M$9,EO$9,0)) + OFFSET(DNN!$D$9,EO$9,0))</f>
        <v>7.2346022384755949E-3</v>
      </c>
      <c r="EP100" s="84">
        <f ca="1">MAX(0, SUMPRODUCT($ED100:$EL100,OFFSET(DNN!$E$9:$M$9,EP$9,0)) + OFFSET(DNN!$D$9,EP$9,0))</f>
        <v>3.6951849750035152E-3</v>
      </c>
      <c r="EQ100" s="84">
        <f ca="1">MAX(0, SUMPRODUCT($ED100:$EL100,OFFSET(DNN!$E$9:$M$9,EQ$9,0)) + OFFSET(DNN!$D$9,EQ$9,0))</f>
        <v>0</v>
      </c>
      <c r="ER100" s="85">
        <f ca="1">MAX(0, SUMPRODUCT($ED100:$EL100,OFFSET(DNN!$E$9:$M$9,ER$9,0)) + OFFSET(DNN!$D$9,ER$9,0))</f>
        <v>0</v>
      </c>
      <c r="ET100" s="86">
        <f ca="1">MAX(0, SUMPRODUCT($EN100:$ER100,OFFSET(DNN!$Q$9:$U$9,ET$9,0)) + OFFSET(DNN!$P$9,ET$9,0))</f>
        <v>4.3954959453478351E-4</v>
      </c>
      <c r="EU100" s="84">
        <f ca="1">MAX(0, SUMPRODUCT($EN100:$ER100,OFFSET(DNN!$Q$9:$U$9,EU$9,0)) + OFFSET(DNN!$P$9,EU$9,0))</f>
        <v>0</v>
      </c>
      <c r="EV100" s="84">
        <f ca="1">MAX(0, SUMPRODUCT($EN100:$ER100,OFFSET(DNN!$Q$9:$U$9,EV$9,0)) + OFFSET(DNN!$P$9,EV$9,0))</f>
        <v>1.2810123361902579E-3</v>
      </c>
      <c r="EW100" s="84">
        <f ca="1">MAX(0, SUMPRODUCT($EN100:$ER100,OFFSET(DNN!$Q$9:$U$9,EW$9,0)) + OFFSET(DNN!$P$9,EW$9,0))</f>
        <v>7.8382123007882457E-4</v>
      </c>
      <c r="EX100" s="85">
        <f ca="1">MAX(0, SUMPRODUCT($EN100:$ER100,OFFSET(DNN!$Q$9:$U$9,EX$9,0)) + OFFSET(DNN!$P$9,EX$9,0))</f>
        <v>0</v>
      </c>
      <c r="EZ100" s="111">
        <f ca="1">SUMPRODUCT($ET100:$EX100,OFFSET(DNN!$Y$9:$AC$9,EZ$9,0)) + OFFSET(DNN!$X$9,EZ$9,0)</f>
        <v>0.43031618918982212</v>
      </c>
      <c r="FA100" s="97">
        <f ca="1">SUMPRODUCT($ET100:$EX100,OFFSET(DNN!$Y$9:$AC$9,FA$9,0)) + OFFSET(DNN!$X$9,FA$9,0)</f>
        <v>-1.2643439935754107E-5</v>
      </c>
      <c r="FB100" s="97">
        <f ca="1">SUMPRODUCT($ET100:$EX100,OFFSET(DNN!$Y$9:$AC$9,FB$9,0)) + OFFSET(DNN!$X$9,FB$9,0)</f>
        <v>1.5239793458415756E-2</v>
      </c>
      <c r="FC100" s="97">
        <f ca="1">SUMPRODUCT($ET100:$EX100,OFFSET(DNN!$Y$9:$AC$9,FC$9,0)) + OFFSET(DNN!$X$9,FC$9,0)</f>
        <v>-8.8749521084055777E-4</v>
      </c>
      <c r="FD100" s="97">
        <f ca="1">SUMPRODUCT($ET100:$EX100,OFFSET(DNN!$Y$9:$AC$9,FD$9,0)) + OFFSET(DNN!$X$9,FD$9,0)</f>
        <v>-4.235816470721872E-4</v>
      </c>
      <c r="FE100" s="97">
        <f ca="1">SUMPRODUCT($ET100:$EX100,OFFSET(DNN!$Y$9:$AC$9,FE$9,0)) + OFFSET(DNN!$X$9,FE$9,0)</f>
        <v>-1.574182761064886E-5</v>
      </c>
      <c r="FF100" s="97">
        <f ca="1">SUMPRODUCT($ET100:$EX100,OFFSET(DNN!$Y$9:$AC$9,FF$9,0)) + OFFSET(DNN!$X$9,FF$9,0)</f>
        <v>-1.3491460223194656E-3</v>
      </c>
      <c r="FG100" s="97">
        <f ca="1">SUMPRODUCT($ET100:$EX100,OFFSET(DNN!$Y$9:$AC$9,FG$9,0)) + OFFSET(DNN!$X$9,FG$9,0)</f>
        <v>-6.2604808096248285E-2</v>
      </c>
      <c r="FH100" s="97">
        <f ca="1">SUMPRODUCT($ET100:$EX100,OFFSET(DNN!$Y$9:$AC$9,FH$9,0)) + OFFSET(DNN!$X$9,FH$9,0)</f>
        <v>8.6810016937029894E-4</v>
      </c>
      <c r="FI100" s="108">
        <f ca="1">SUMPRODUCT($ET100:$EX100,OFFSET(DNN!$Y$9:$AC$9,FI$9,0)) + OFFSET(DNN!$X$9,FI$9,0)</f>
        <v>-1.3182687612562751</v>
      </c>
      <c r="FJ100" s="98">
        <f ca="1">SUMPRODUCT($ET100:$EX100,OFFSET(DNN!$Y$9:$AC$9,FJ$9,0)) + OFFSET(DNN!$X$9,FJ$9,0)</f>
        <v>-2.2535161745939301E-5</v>
      </c>
      <c r="FL100" s="415">
        <f t="shared" ca="1" si="224"/>
        <v>0.43031618918982212</v>
      </c>
      <c r="FM100" s="130">
        <f t="shared" ca="1" si="225"/>
        <v>1</v>
      </c>
      <c r="FN100" s="131">
        <f t="shared" ca="1" si="226"/>
        <v>0.65029522127322903</v>
      </c>
      <c r="FO100" s="131">
        <f t="shared" ca="1" si="227"/>
        <v>0.66028983545318687</v>
      </c>
      <c r="FP100" s="131">
        <f t="shared" ca="1" si="228"/>
        <v>0.64972655813153501</v>
      </c>
      <c r="FQ100" s="131">
        <f t="shared" ca="1" si="229"/>
        <v>0.65002804502111444</v>
      </c>
      <c r="FR100" s="131">
        <f t="shared" ca="1" si="230"/>
        <v>0.65029320640965171</v>
      </c>
      <c r="FS100" s="131">
        <f t="shared" ca="1" si="231"/>
        <v>0.64942668056342145</v>
      </c>
      <c r="FT100" s="131">
        <f t="shared" ca="1" si="232"/>
        <v>0.61083952513994022</v>
      </c>
      <c r="FU100" s="132">
        <f t="shared" ca="1" si="233"/>
        <v>0.6508682169276182</v>
      </c>
      <c r="FV100" s="131">
        <f t="shared" ca="1" si="234"/>
        <v>0.17402001625314881</v>
      </c>
      <c r="FW100" s="83">
        <f t="shared" ca="1" si="235"/>
        <v>-2.2535161742124597E-5</v>
      </c>
    </row>
    <row r="101" spans="1:179">
      <c r="A101" s="19">
        <f t="shared" si="240"/>
        <v>91</v>
      </c>
      <c r="B101" s="1">
        <f t="shared" ca="1" si="236"/>
        <v>0</v>
      </c>
      <c r="C101" s="20">
        <f t="shared" ca="1" si="237"/>
        <v>91</v>
      </c>
      <c r="D101" s="19" t="str">
        <f t="shared" ca="1" si="238"/>
        <v>〇×〇×〇×--〇</v>
      </c>
      <c r="E101" s="7">
        <f t="shared" ca="1" si="206"/>
        <v>9</v>
      </c>
      <c r="F101" s="7">
        <f t="shared" ca="1" si="207"/>
        <v>1</v>
      </c>
      <c r="G101" s="1" t="str">
        <f t="shared" ca="1" si="139"/>
        <v>〇×〇×〇×--〇</v>
      </c>
      <c r="H101" s="20" t="b">
        <f t="shared" ca="1" si="140"/>
        <v>1</v>
      </c>
      <c r="I101" s="22">
        <f t="shared" ca="1" si="239"/>
        <v>-1</v>
      </c>
      <c r="J101" s="1" t="b">
        <f ca="1">(1&lt;COUNTIF(D$10:D101,D101))</f>
        <v>1</v>
      </c>
      <c r="K101" s="1" t="b">
        <f t="shared" ca="1" si="141"/>
        <v>1</v>
      </c>
      <c r="L101" s="7">
        <f ca="1">MATCH(TRUE,K101:K$1048576,FALSE)-1</f>
        <v>0</v>
      </c>
      <c r="M101" s="24" t="str">
        <f t="shared" ca="1" si="142"/>
        <v>〇×〇×〇×--〇_9</v>
      </c>
      <c r="N101" s="25">
        <f t="shared" ca="1" si="208"/>
        <v>-2.2535161742124597E-5</v>
      </c>
      <c r="O101" s="26">
        <f t="shared" ca="1" si="209"/>
        <v>-1</v>
      </c>
      <c r="P101" s="27">
        <f t="shared" ca="1" si="210"/>
        <v>-1</v>
      </c>
      <c r="R101" s="41" t="str">
        <f ca="1">VLOOKUP(S101,cvt!$B$2:$C$4,2,FALSE)&amp;VLOOKUP(T101,cvt!$B$2:$C$4,2,FALSE)&amp;VLOOKUP(U101,cvt!$B$2:$C$4,2,FALSE)
&amp;VLOOKUP(V101,cvt!$B$2:$C$4,2,FALSE)&amp;VLOOKUP(W101,cvt!$B$2:$C$4,2,FALSE)&amp;VLOOKUP(X101,cvt!$B$2:$C$4,2,FALSE)
&amp;VLOOKUP(Y101,cvt!$B$2:$C$4,2,FALSE)&amp;VLOOKUP(Z101,cvt!$B$2:$C$4,2,FALSE)&amp;VLOOKUP(AA101,cvt!$B$2:$C$4,2,FALSE)</f>
        <v>〇×〇×〇×--〇</v>
      </c>
      <c r="S101" s="7">
        <f ca="1">VLOOKUP(MID($D101,S$9+1,1), cvt!$A$2:$B$4,2, FALSE)</f>
        <v>1</v>
      </c>
      <c r="T101" s="7">
        <f ca="1">VLOOKUP(MID($D101,T$9+1,1), cvt!$A$2:$B$4,2, FALSE)</f>
        <v>-1</v>
      </c>
      <c r="U101" s="7">
        <f ca="1">VLOOKUP(MID($D101,U$9+1,1), cvt!$A$2:$B$4,2, FALSE)</f>
        <v>1</v>
      </c>
      <c r="V101" s="17">
        <f ca="1">VLOOKUP(MID($D101,V$9+1,1), cvt!$A$2:$B$4,2, FALSE)</f>
        <v>-1</v>
      </c>
      <c r="W101" s="7">
        <f ca="1">VLOOKUP(MID($D101,W$9+1,1), cvt!$A$2:$B$4,2, FALSE)</f>
        <v>1</v>
      </c>
      <c r="X101" s="18">
        <f ca="1">VLOOKUP(MID($D101,X$9+1,1), cvt!$A$2:$B$4,2, FALSE)</f>
        <v>-1</v>
      </c>
      <c r="Y101" s="7">
        <f ca="1">VLOOKUP(MID($D101,Y$9+1,1), cvt!$A$2:$B$4,2, FALSE)</f>
        <v>0</v>
      </c>
      <c r="Z101" s="7">
        <f ca="1">VLOOKUP(MID($D101,Z$9+1,1), cvt!$A$2:$B$4,2, FALSE)</f>
        <v>0</v>
      </c>
      <c r="AA101" s="42">
        <f ca="1">VLOOKUP(MID($D101,AA$9+1,1), cvt!$A$2:$B$4,2, FALSE)</f>
        <v>1</v>
      </c>
      <c r="AB101" s="7">
        <f t="shared" ca="1" si="211"/>
        <v>1</v>
      </c>
      <c r="AC101" s="50" t="b">
        <f t="shared" ca="1" si="212"/>
        <v>1</v>
      </c>
      <c r="AE101" s="19" t="str">
        <f ca="1">VLOOKUP(AF101,cvt!$B$2:$C$4,2,FALSE)&amp;VLOOKUP(AG101,cvt!$B$2:$C$4,2,FALSE)&amp;VLOOKUP(AH101,cvt!$B$2:$C$4,2,FALSE)
&amp;VLOOKUP(AI101,cvt!$B$2:$C$4,2,FALSE)&amp;VLOOKUP(AJ101,cvt!$B$2:$C$4,2,FALSE)&amp;VLOOKUP(AK101,cvt!$B$2:$C$4,2,FALSE)
&amp;VLOOKUP(AL101,cvt!$B$2:$C$4,2,FALSE)&amp;VLOOKUP(AM101,cvt!$B$2:$C$4,2,FALSE)&amp;VLOOKUP(AN101,cvt!$B$2:$C$4,2,FALSE)</f>
        <v>〇×〇×〇×--〇</v>
      </c>
      <c r="AF101" s="17">
        <f t="shared" ca="1" si="143"/>
        <v>1</v>
      </c>
      <c r="AG101" s="7">
        <f t="shared" ca="1" si="144"/>
        <v>-1</v>
      </c>
      <c r="AH101" s="7">
        <f t="shared" ca="1" si="145"/>
        <v>1</v>
      </c>
      <c r="AI101" s="17">
        <f t="shared" ca="1" si="146"/>
        <v>-1</v>
      </c>
      <c r="AJ101" s="7">
        <f t="shared" ca="1" si="147"/>
        <v>1</v>
      </c>
      <c r="AK101" s="18">
        <f t="shared" ca="1" si="148"/>
        <v>-1</v>
      </c>
      <c r="AL101" s="7">
        <f t="shared" ca="1" si="149"/>
        <v>0</v>
      </c>
      <c r="AM101" s="7">
        <f t="shared" ca="1" si="150"/>
        <v>0</v>
      </c>
      <c r="AN101" s="18">
        <f t="shared" ca="1" si="151"/>
        <v>1</v>
      </c>
      <c r="AO101" s="7">
        <f t="shared" ca="1" si="213"/>
        <v>1</v>
      </c>
      <c r="AP101" s="50" t="b">
        <f t="shared" ca="1" si="152"/>
        <v>1</v>
      </c>
      <c r="AS101" s="22">
        <f t="shared" ca="1" si="214"/>
        <v>0</v>
      </c>
      <c r="AT101" s="7">
        <f t="shared" ca="1" si="153"/>
        <v>0</v>
      </c>
      <c r="AU101" s="7">
        <f t="shared" ca="1" si="154"/>
        <v>0</v>
      </c>
      <c r="AV101" s="7">
        <f t="shared" ca="1" si="155"/>
        <v>0</v>
      </c>
      <c r="AW101" s="7">
        <f t="shared" ca="1" si="156"/>
        <v>0</v>
      </c>
      <c r="AX101" s="7">
        <f t="shared" ca="1" si="157"/>
        <v>0</v>
      </c>
      <c r="AY101" s="7">
        <f t="shared" ca="1" si="158"/>
        <v>0</v>
      </c>
      <c r="AZ101" s="7">
        <f t="shared" ca="1" si="159"/>
        <v>0</v>
      </c>
      <c r="BA101" s="18">
        <f t="shared" ca="1" si="160"/>
        <v>0</v>
      </c>
      <c r="BB101" s="295">
        <f t="shared" ca="1" si="215"/>
        <v>1</v>
      </c>
      <c r="BD101" s="132"/>
      <c r="BE101" s="297">
        <f t="shared" ca="1" si="216"/>
        <v>1</v>
      </c>
      <c r="BF101" s="298">
        <f t="shared" ca="1" si="161"/>
        <v>0.65029522127322903</v>
      </c>
      <c r="BG101" s="298">
        <f t="shared" ca="1" si="162"/>
        <v>0.66028983545318687</v>
      </c>
      <c r="BH101" s="318">
        <f t="shared" ca="1" si="163"/>
        <v>0.64972655813153501</v>
      </c>
      <c r="BI101" s="298">
        <f t="shared" ca="1" si="164"/>
        <v>0.65002804502111444</v>
      </c>
      <c r="BJ101" s="299">
        <f t="shared" ca="1" si="165"/>
        <v>0.65029320640965171</v>
      </c>
      <c r="BK101" s="298">
        <f t="shared" ca="1" si="166"/>
        <v>0.64942668056342145</v>
      </c>
      <c r="BL101" s="298">
        <f t="shared" ca="1" si="167"/>
        <v>0.61083952513994022</v>
      </c>
      <c r="BM101" s="299">
        <f t="shared" ca="1" si="168"/>
        <v>0.6508682169276182</v>
      </c>
      <c r="BN101" s="295">
        <f t="shared" ca="1" si="169"/>
        <v>0.17402001625314881</v>
      </c>
      <c r="BO101" s="248">
        <f t="shared" ca="1" si="217"/>
        <v>-2.2535161742124597E-5</v>
      </c>
      <c r="BQ101" s="304">
        <f t="shared" ca="1" si="218"/>
        <v>0.1741200162531488</v>
      </c>
      <c r="BR101" s="297">
        <f t="shared" ca="1" si="219"/>
        <v>0</v>
      </c>
      <c r="BS101" s="298">
        <f t="shared" ca="1" si="170"/>
        <v>0</v>
      </c>
      <c r="BT101" s="298">
        <f t="shared" ca="1" si="171"/>
        <v>0</v>
      </c>
      <c r="BU101" s="318">
        <f t="shared" ca="1" si="172"/>
        <v>0</v>
      </c>
      <c r="BV101" s="298">
        <f t="shared" ca="1" si="173"/>
        <v>0</v>
      </c>
      <c r="BW101" s="299">
        <f t="shared" ca="1" si="174"/>
        <v>0</v>
      </c>
      <c r="BX101" s="298">
        <f t="shared" ca="1" si="175"/>
        <v>0</v>
      </c>
      <c r="BY101" s="298">
        <f t="shared" ca="1" si="176"/>
        <v>0</v>
      </c>
      <c r="BZ101" s="298">
        <f t="shared" ca="1" si="177"/>
        <v>0</v>
      </c>
      <c r="CA101" s="315">
        <f t="shared" ca="1" si="178"/>
        <v>0.1741200162531488</v>
      </c>
      <c r="CC101" s="52"/>
      <c r="CD101" s="306">
        <f t="shared" ca="1" si="220"/>
        <v>0</v>
      </c>
      <c r="CE101" s="15">
        <f t="shared" ca="1" si="179"/>
        <v>0</v>
      </c>
      <c r="CF101" s="15">
        <f t="shared" ca="1" si="180"/>
        <v>0</v>
      </c>
      <c r="CG101" s="286">
        <f t="shared" ca="1" si="181"/>
        <v>0</v>
      </c>
      <c r="CH101" s="15">
        <f t="shared" ca="1" si="182"/>
        <v>0</v>
      </c>
      <c r="CI101" s="288">
        <f t="shared" ca="1" si="183"/>
        <v>0</v>
      </c>
      <c r="CJ101" s="15">
        <f t="shared" ca="1" si="184"/>
        <v>0</v>
      </c>
      <c r="CK101" s="15">
        <f t="shared" ca="1" si="185"/>
        <v>0</v>
      </c>
      <c r="CL101" s="15">
        <f t="shared" ca="1" si="186"/>
        <v>0</v>
      </c>
      <c r="CM101" s="313">
        <f t="shared" ca="1" si="187"/>
        <v>1</v>
      </c>
      <c r="CO101" s="320">
        <f t="shared" ca="1" si="221"/>
        <v>90</v>
      </c>
      <c r="CP101" s="22">
        <f ca="1">COUNTIFS($C$10:$C100,"&lt;"&amp;$C101,$M$10:$M100,$D101&amp;"_"&amp;CP$9)</f>
        <v>0</v>
      </c>
      <c r="CQ101" s="7">
        <f ca="1">COUNTIFS($C$10:$C100,"&lt;"&amp;$C101,$M$10:$M100,$D101&amp;"_"&amp;CQ$9)</f>
        <v>0</v>
      </c>
      <c r="CR101" s="7">
        <f ca="1">COUNTIFS($C$10:$C100,"&lt;"&amp;$C101,$M$10:$M100,$D101&amp;"_"&amp;CR$9)</f>
        <v>0</v>
      </c>
      <c r="CS101" s="17">
        <f ca="1">COUNTIFS($C$10:$C100,"&lt;"&amp;$C101,$M$10:$M100,$D101&amp;"_"&amp;CS$9)</f>
        <v>0</v>
      </c>
      <c r="CT101" s="7">
        <f ca="1">COUNTIFS($C$10:$C100,"&lt;"&amp;$C101,$M$10:$M100,$D101&amp;"_"&amp;CT$9)</f>
        <v>0</v>
      </c>
      <c r="CU101" s="18">
        <f ca="1">COUNTIFS($C$10:$C100,"&lt;"&amp;$C101,$M$10:$M100,$D101&amp;"_"&amp;CU$9)</f>
        <v>0</v>
      </c>
      <c r="CV101" s="7">
        <f ca="1">COUNTIFS($C$10:$C100,"&lt;"&amp;$C101,$M$10:$M100,$D101&amp;"_"&amp;CV$9)</f>
        <v>0</v>
      </c>
      <c r="CW101" s="7">
        <f ca="1">COUNTIFS($C$10:$C100,"&lt;"&amp;$C101,$M$10:$M100,$D101&amp;"_"&amp;CW$9)</f>
        <v>0</v>
      </c>
      <c r="CX101" s="7">
        <f ca="1">COUNTIFS($C$10:$C100,"&lt;"&amp;$C101,$M$10:$M100,$D101&amp;"_"&amp;CX$9)</f>
        <v>0</v>
      </c>
      <c r="CY101" s="221">
        <f ca="1">COUNTIFS($C$10:$C100,"&lt;"&amp;$C101,$M$10:$M100,$D101&amp;"_"&amp;CY$9)</f>
        <v>90</v>
      </c>
      <c r="DA101" s="20"/>
      <c r="DB101" s="308">
        <f ca="1">IF(CP101=0,0,SUMIFS($P$10:$P100, $C$10:$C100,"&lt;"&amp;$C101, $M$10:$M100,$D101&amp;"_"&amp;DB$9)/CP101)</f>
        <v>0</v>
      </c>
      <c r="DC101" s="263">
        <f ca="1">IF(CQ101=0,0,SUMIFS($P$10:$P100, $C$10:$C100,"&lt;"&amp;$C101, $M$10:$M100,$D101&amp;"_"&amp;DC$9)/CQ101)</f>
        <v>0</v>
      </c>
      <c r="DD101" s="263">
        <f ca="1">IF(CR101=0,0,SUMIFS($P$10:$P100, $C$10:$C100,"&lt;"&amp;$C101, $M$10:$M100,$D101&amp;"_"&amp;DD$9)/CR101)</f>
        <v>0</v>
      </c>
      <c r="DE101" s="262">
        <f ca="1">IF(CS101=0,0,SUMIFS($P$10:$P100, $C$10:$C100,"&lt;"&amp;$C101, $M$10:$M100,$D101&amp;"_"&amp;DE$9)/CS101)</f>
        <v>0</v>
      </c>
      <c r="DF101" s="263">
        <f ca="1">IF(CT101=0,0,SUMIFS($P$10:$P100, $C$10:$C100,"&lt;"&amp;$C101, $M$10:$M100,$D101&amp;"_"&amp;DF$9)/CT101)</f>
        <v>0</v>
      </c>
      <c r="DG101" s="310">
        <f ca="1">IF(CU101=0,0,SUMIFS($P$10:$P100, $C$10:$C100,"&lt;"&amp;$C101, $M$10:$M100,$D101&amp;"_"&amp;DG$9)/CU101)</f>
        <v>0</v>
      </c>
      <c r="DH101" s="263">
        <f ca="1">IF(CV101=0,0,SUMIFS($P$10:$P100, $C$10:$C100,"&lt;"&amp;$C101, $M$10:$M100,$D101&amp;"_"&amp;DH$9)/CV101)</f>
        <v>0</v>
      </c>
      <c r="DI101" s="263">
        <f ca="1">IF(CW101=0,0,SUMIFS($P$10:$P100, $C$10:$C100,"&lt;"&amp;$C101, $M$10:$M100,$D101&amp;"_"&amp;DI$9)/CW101)</f>
        <v>0</v>
      </c>
      <c r="DJ101" s="264">
        <f ca="1">IF(CX101=0,0,SUMIFS($P$10:$P100, $C$10:$C100,"&lt;"&amp;$C101, $M$10:$M100,$D101&amp;"_"&amp;DJ$9)/CX101)</f>
        <v>0</v>
      </c>
      <c r="DK101" s="264">
        <f ca="1">IF(CY101=0,0,SUMIFS($P$10:$P100, $C$10:$C100,"&lt;"&amp;$C101, $M$10:$M100,$D101&amp;"_"&amp;DK$9)/CY101)</f>
        <v>-1</v>
      </c>
      <c r="DM101" s="104"/>
      <c r="DN101" s="306">
        <f t="shared" ca="1" si="222"/>
        <v>-9999</v>
      </c>
      <c r="DO101" s="15">
        <f t="shared" ca="1" si="188"/>
        <v>-9999</v>
      </c>
      <c r="DP101" s="15">
        <f t="shared" ca="1" si="189"/>
        <v>-9999</v>
      </c>
      <c r="DQ101" s="15">
        <f t="shared" ca="1" si="190"/>
        <v>-9999</v>
      </c>
      <c r="DR101" s="15">
        <f t="shared" ca="1" si="191"/>
        <v>-9999</v>
      </c>
      <c r="DS101" s="15">
        <f t="shared" ca="1" si="192"/>
        <v>-9999</v>
      </c>
      <c r="DT101" s="15">
        <f t="shared" ca="1" si="193"/>
        <v>-9999</v>
      </c>
      <c r="DU101" s="15">
        <f t="shared" ca="1" si="194"/>
        <v>-9999</v>
      </c>
      <c r="DV101" s="52">
        <f t="shared" ca="1" si="195"/>
        <v>-9999</v>
      </c>
      <c r="DW101" s="313">
        <f t="shared" ca="1" si="196"/>
        <v>-0.89574908812631715</v>
      </c>
      <c r="DX101" s="52"/>
      <c r="DY101" s="402">
        <f t="shared" ca="1" si="223"/>
        <v>9</v>
      </c>
      <c r="ED101" s="19">
        <f t="shared" ca="1" si="197"/>
        <v>-1</v>
      </c>
      <c r="EE101" s="1">
        <f t="shared" ca="1" si="198"/>
        <v>1</v>
      </c>
      <c r="EF101" s="1">
        <f t="shared" ca="1" si="199"/>
        <v>-1</v>
      </c>
      <c r="EG101" s="2">
        <f t="shared" ca="1" si="200"/>
        <v>1</v>
      </c>
      <c r="EH101" s="1">
        <f t="shared" ca="1" si="201"/>
        <v>-1</v>
      </c>
      <c r="EI101" s="3">
        <f t="shared" ca="1" si="202"/>
        <v>1</v>
      </c>
      <c r="EJ101" s="1">
        <f t="shared" ca="1" si="203"/>
        <v>0</v>
      </c>
      <c r="EK101" s="1">
        <f t="shared" ca="1" si="204"/>
        <v>0</v>
      </c>
      <c r="EL101" s="20">
        <f t="shared" ca="1" si="205"/>
        <v>-1</v>
      </c>
      <c r="EN101" s="86">
        <f ca="1">MAX(0, SUMPRODUCT($ED101:$EL101,OFFSET(DNN!$E$9:$M$9,EN$9,0)) + OFFSET(DNN!$D$9,EN$9,0))</f>
        <v>0</v>
      </c>
      <c r="EO101" s="84">
        <f ca="1">MAX(0, SUMPRODUCT($ED101:$EL101,OFFSET(DNN!$E$9:$M$9,EO$9,0)) + OFFSET(DNN!$D$9,EO$9,0))</f>
        <v>7.2346022384755949E-3</v>
      </c>
      <c r="EP101" s="84">
        <f ca="1">MAX(0, SUMPRODUCT($ED101:$EL101,OFFSET(DNN!$E$9:$M$9,EP$9,0)) + OFFSET(DNN!$D$9,EP$9,0))</f>
        <v>3.6951849750035152E-3</v>
      </c>
      <c r="EQ101" s="84">
        <f ca="1">MAX(0, SUMPRODUCT($ED101:$EL101,OFFSET(DNN!$E$9:$M$9,EQ$9,0)) + OFFSET(DNN!$D$9,EQ$9,0))</f>
        <v>0</v>
      </c>
      <c r="ER101" s="85">
        <f ca="1">MAX(0, SUMPRODUCT($ED101:$EL101,OFFSET(DNN!$E$9:$M$9,ER$9,0)) + OFFSET(DNN!$D$9,ER$9,0))</f>
        <v>0</v>
      </c>
      <c r="ET101" s="86">
        <f ca="1">MAX(0, SUMPRODUCT($EN101:$ER101,OFFSET(DNN!$Q$9:$U$9,ET$9,0)) + OFFSET(DNN!$P$9,ET$9,0))</f>
        <v>4.3954959453478351E-4</v>
      </c>
      <c r="EU101" s="84">
        <f ca="1">MAX(0, SUMPRODUCT($EN101:$ER101,OFFSET(DNN!$Q$9:$U$9,EU$9,0)) + OFFSET(DNN!$P$9,EU$9,0))</f>
        <v>0</v>
      </c>
      <c r="EV101" s="84">
        <f ca="1">MAX(0, SUMPRODUCT($EN101:$ER101,OFFSET(DNN!$Q$9:$U$9,EV$9,0)) + OFFSET(DNN!$P$9,EV$9,0))</f>
        <v>1.2810123361902579E-3</v>
      </c>
      <c r="EW101" s="84">
        <f ca="1">MAX(0, SUMPRODUCT($EN101:$ER101,OFFSET(DNN!$Q$9:$U$9,EW$9,0)) + OFFSET(DNN!$P$9,EW$9,0))</f>
        <v>7.8382123007882457E-4</v>
      </c>
      <c r="EX101" s="85">
        <f ca="1">MAX(0, SUMPRODUCT($EN101:$ER101,OFFSET(DNN!$Q$9:$U$9,EX$9,0)) + OFFSET(DNN!$P$9,EX$9,0))</f>
        <v>0</v>
      </c>
      <c r="EZ101" s="111">
        <f ca="1">SUMPRODUCT($ET101:$EX101,OFFSET(DNN!$Y$9:$AC$9,EZ$9,0)) + OFFSET(DNN!$X$9,EZ$9,0)</f>
        <v>0.43031618918982212</v>
      </c>
      <c r="FA101" s="97">
        <f ca="1">SUMPRODUCT($ET101:$EX101,OFFSET(DNN!$Y$9:$AC$9,FA$9,0)) + OFFSET(DNN!$X$9,FA$9,0)</f>
        <v>-1.2643439935754107E-5</v>
      </c>
      <c r="FB101" s="97">
        <f ca="1">SUMPRODUCT($ET101:$EX101,OFFSET(DNN!$Y$9:$AC$9,FB$9,0)) + OFFSET(DNN!$X$9,FB$9,0)</f>
        <v>1.5239793458415756E-2</v>
      </c>
      <c r="FC101" s="97">
        <f ca="1">SUMPRODUCT($ET101:$EX101,OFFSET(DNN!$Y$9:$AC$9,FC$9,0)) + OFFSET(DNN!$X$9,FC$9,0)</f>
        <v>-8.8749521084055777E-4</v>
      </c>
      <c r="FD101" s="97">
        <f ca="1">SUMPRODUCT($ET101:$EX101,OFFSET(DNN!$Y$9:$AC$9,FD$9,0)) + OFFSET(DNN!$X$9,FD$9,0)</f>
        <v>-4.235816470721872E-4</v>
      </c>
      <c r="FE101" s="97">
        <f ca="1">SUMPRODUCT($ET101:$EX101,OFFSET(DNN!$Y$9:$AC$9,FE$9,0)) + OFFSET(DNN!$X$9,FE$9,0)</f>
        <v>-1.574182761064886E-5</v>
      </c>
      <c r="FF101" s="97">
        <f ca="1">SUMPRODUCT($ET101:$EX101,OFFSET(DNN!$Y$9:$AC$9,FF$9,0)) + OFFSET(DNN!$X$9,FF$9,0)</f>
        <v>-1.3491460223194656E-3</v>
      </c>
      <c r="FG101" s="97">
        <f ca="1">SUMPRODUCT($ET101:$EX101,OFFSET(DNN!$Y$9:$AC$9,FG$9,0)) + OFFSET(DNN!$X$9,FG$9,0)</f>
        <v>-6.2604808096248285E-2</v>
      </c>
      <c r="FH101" s="97">
        <f ca="1">SUMPRODUCT($ET101:$EX101,OFFSET(DNN!$Y$9:$AC$9,FH$9,0)) + OFFSET(DNN!$X$9,FH$9,0)</f>
        <v>8.6810016937029894E-4</v>
      </c>
      <c r="FI101" s="108">
        <f ca="1">SUMPRODUCT($ET101:$EX101,OFFSET(DNN!$Y$9:$AC$9,FI$9,0)) + OFFSET(DNN!$X$9,FI$9,0)</f>
        <v>-1.3182687612562751</v>
      </c>
      <c r="FJ101" s="98">
        <f ca="1">SUMPRODUCT($ET101:$EX101,OFFSET(DNN!$Y$9:$AC$9,FJ$9,0)) + OFFSET(DNN!$X$9,FJ$9,0)</f>
        <v>-2.2535161745939301E-5</v>
      </c>
      <c r="FL101" s="415">
        <f t="shared" ca="1" si="224"/>
        <v>0.43031618918982212</v>
      </c>
      <c r="FM101" s="130">
        <f t="shared" ca="1" si="225"/>
        <v>1</v>
      </c>
      <c r="FN101" s="131">
        <f t="shared" ca="1" si="226"/>
        <v>0.65029522127322903</v>
      </c>
      <c r="FO101" s="131">
        <f t="shared" ca="1" si="227"/>
        <v>0.66028983545318687</v>
      </c>
      <c r="FP101" s="131">
        <f t="shared" ca="1" si="228"/>
        <v>0.64972655813153501</v>
      </c>
      <c r="FQ101" s="131">
        <f t="shared" ca="1" si="229"/>
        <v>0.65002804502111444</v>
      </c>
      <c r="FR101" s="131">
        <f t="shared" ca="1" si="230"/>
        <v>0.65029320640965171</v>
      </c>
      <c r="FS101" s="131">
        <f t="shared" ca="1" si="231"/>
        <v>0.64942668056342145</v>
      </c>
      <c r="FT101" s="131">
        <f t="shared" ca="1" si="232"/>
        <v>0.61083952513994022</v>
      </c>
      <c r="FU101" s="132">
        <f t="shared" ca="1" si="233"/>
        <v>0.6508682169276182</v>
      </c>
      <c r="FV101" s="131">
        <f t="shared" ca="1" si="234"/>
        <v>0.17402001625314881</v>
      </c>
      <c r="FW101" s="83">
        <f t="shared" ca="1" si="235"/>
        <v>-2.2535161742124597E-5</v>
      </c>
    </row>
    <row r="102" spans="1:179">
      <c r="A102" s="19">
        <f t="shared" si="240"/>
        <v>92</v>
      </c>
      <c r="B102" s="1">
        <f t="shared" ca="1" si="236"/>
        <v>0</v>
      </c>
      <c r="C102" s="20">
        <f t="shared" ca="1" si="237"/>
        <v>92</v>
      </c>
      <c r="D102" s="19" t="str">
        <f t="shared" ca="1" si="238"/>
        <v>〇×〇×〇×--〇</v>
      </c>
      <c r="E102" s="7">
        <f t="shared" ca="1" si="206"/>
        <v>9</v>
      </c>
      <c r="F102" s="7">
        <f t="shared" ca="1" si="207"/>
        <v>1</v>
      </c>
      <c r="G102" s="1" t="str">
        <f t="shared" ca="1" si="139"/>
        <v>〇×〇×〇×--〇</v>
      </c>
      <c r="H102" s="20" t="b">
        <f t="shared" ca="1" si="140"/>
        <v>1</v>
      </c>
      <c r="I102" s="22">
        <f t="shared" ca="1" si="239"/>
        <v>-1</v>
      </c>
      <c r="J102" s="1" t="b">
        <f ca="1">(1&lt;COUNTIF(D$10:D102,D102))</f>
        <v>1</v>
      </c>
      <c r="K102" s="1" t="b">
        <f t="shared" ca="1" si="141"/>
        <v>1</v>
      </c>
      <c r="L102" s="7">
        <f ca="1">MATCH(TRUE,K102:K$1048576,FALSE)-1</f>
        <v>0</v>
      </c>
      <c r="M102" s="24" t="str">
        <f t="shared" ca="1" si="142"/>
        <v>〇×〇×〇×--〇_9</v>
      </c>
      <c r="N102" s="25">
        <f t="shared" ca="1" si="208"/>
        <v>-2.2535161742124597E-5</v>
      </c>
      <c r="O102" s="26">
        <f t="shared" ca="1" si="209"/>
        <v>-1</v>
      </c>
      <c r="P102" s="27">
        <f t="shared" ca="1" si="210"/>
        <v>-1</v>
      </c>
      <c r="R102" s="41" t="str">
        <f ca="1">VLOOKUP(S102,cvt!$B$2:$C$4,2,FALSE)&amp;VLOOKUP(T102,cvt!$B$2:$C$4,2,FALSE)&amp;VLOOKUP(U102,cvt!$B$2:$C$4,2,FALSE)
&amp;VLOOKUP(V102,cvt!$B$2:$C$4,2,FALSE)&amp;VLOOKUP(W102,cvt!$B$2:$C$4,2,FALSE)&amp;VLOOKUP(X102,cvt!$B$2:$C$4,2,FALSE)
&amp;VLOOKUP(Y102,cvt!$B$2:$C$4,2,FALSE)&amp;VLOOKUP(Z102,cvt!$B$2:$C$4,2,FALSE)&amp;VLOOKUP(AA102,cvt!$B$2:$C$4,2,FALSE)</f>
        <v>〇×〇×〇×--〇</v>
      </c>
      <c r="S102" s="7">
        <f ca="1">VLOOKUP(MID($D102,S$9+1,1), cvt!$A$2:$B$4,2, FALSE)</f>
        <v>1</v>
      </c>
      <c r="T102" s="7">
        <f ca="1">VLOOKUP(MID($D102,T$9+1,1), cvt!$A$2:$B$4,2, FALSE)</f>
        <v>-1</v>
      </c>
      <c r="U102" s="7">
        <f ca="1">VLOOKUP(MID($D102,U$9+1,1), cvt!$A$2:$B$4,2, FALSE)</f>
        <v>1</v>
      </c>
      <c r="V102" s="17">
        <f ca="1">VLOOKUP(MID($D102,V$9+1,1), cvt!$A$2:$B$4,2, FALSE)</f>
        <v>-1</v>
      </c>
      <c r="W102" s="7">
        <f ca="1">VLOOKUP(MID($D102,W$9+1,1), cvt!$A$2:$B$4,2, FALSE)</f>
        <v>1</v>
      </c>
      <c r="X102" s="18">
        <f ca="1">VLOOKUP(MID($D102,X$9+1,1), cvt!$A$2:$B$4,2, FALSE)</f>
        <v>-1</v>
      </c>
      <c r="Y102" s="7">
        <f ca="1">VLOOKUP(MID($D102,Y$9+1,1), cvt!$A$2:$B$4,2, FALSE)</f>
        <v>0</v>
      </c>
      <c r="Z102" s="7">
        <f ca="1">VLOOKUP(MID($D102,Z$9+1,1), cvt!$A$2:$B$4,2, FALSE)</f>
        <v>0</v>
      </c>
      <c r="AA102" s="42">
        <f ca="1">VLOOKUP(MID($D102,AA$9+1,1), cvt!$A$2:$B$4,2, FALSE)</f>
        <v>1</v>
      </c>
      <c r="AB102" s="7">
        <f t="shared" ca="1" si="211"/>
        <v>1</v>
      </c>
      <c r="AC102" s="50" t="b">
        <f t="shared" ca="1" si="212"/>
        <v>1</v>
      </c>
      <c r="AE102" s="19" t="str">
        <f ca="1">VLOOKUP(AF102,cvt!$B$2:$C$4,2,FALSE)&amp;VLOOKUP(AG102,cvt!$B$2:$C$4,2,FALSE)&amp;VLOOKUP(AH102,cvt!$B$2:$C$4,2,FALSE)
&amp;VLOOKUP(AI102,cvt!$B$2:$C$4,2,FALSE)&amp;VLOOKUP(AJ102,cvt!$B$2:$C$4,2,FALSE)&amp;VLOOKUP(AK102,cvt!$B$2:$C$4,2,FALSE)
&amp;VLOOKUP(AL102,cvt!$B$2:$C$4,2,FALSE)&amp;VLOOKUP(AM102,cvt!$B$2:$C$4,2,FALSE)&amp;VLOOKUP(AN102,cvt!$B$2:$C$4,2,FALSE)</f>
        <v>〇×〇×〇×--〇</v>
      </c>
      <c r="AF102" s="17">
        <f t="shared" ca="1" si="143"/>
        <v>1</v>
      </c>
      <c r="AG102" s="7">
        <f t="shared" ca="1" si="144"/>
        <v>-1</v>
      </c>
      <c r="AH102" s="7">
        <f t="shared" ca="1" si="145"/>
        <v>1</v>
      </c>
      <c r="AI102" s="17">
        <f t="shared" ca="1" si="146"/>
        <v>-1</v>
      </c>
      <c r="AJ102" s="7">
        <f t="shared" ca="1" si="147"/>
        <v>1</v>
      </c>
      <c r="AK102" s="18">
        <f t="shared" ca="1" si="148"/>
        <v>-1</v>
      </c>
      <c r="AL102" s="7">
        <f t="shared" ca="1" si="149"/>
        <v>0</v>
      </c>
      <c r="AM102" s="7">
        <f t="shared" ca="1" si="150"/>
        <v>0</v>
      </c>
      <c r="AN102" s="18">
        <f t="shared" ca="1" si="151"/>
        <v>1</v>
      </c>
      <c r="AO102" s="7">
        <f t="shared" ca="1" si="213"/>
        <v>1</v>
      </c>
      <c r="AP102" s="50" t="b">
        <f t="shared" ca="1" si="152"/>
        <v>1</v>
      </c>
      <c r="AS102" s="22">
        <f t="shared" ca="1" si="214"/>
        <v>0</v>
      </c>
      <c r="AT102" s="7">
        <f t="shared" ca="1" si="153"/>
        <v>0</v>
      </c>
      <c r="AU102" s="7">
        <f t="shared" ca="1" si="154"/>
        <v>0</v>
      </c>
      <c r="AV102" s="7">
        <f t="shared" ca="1" si="155"/>
        <v>0</v>
      </c>
      <c r="AW102" s="7">
        <f t="shared" ca="1" si="156"/>
        <v>0</v>
      </c>
      <c r="AX102" s="7">
        <f t="shared" ca="1" si="157"/>
        <v>0</v>
      </c>
      <c r="AY102" s="7">
        <f t="shared" ca="1" si="158"/>
        <v>0</v>
      </c>
      <c r="AZ102" s="7">
        <f t="shared" ca="1" si="159"/>
        <v>0</v>
      </c>
      <c r="BA102" s="18">
        <f t="shared" ca="1" si="160"/>
        <v>0</v>
      </c>
      <c r="BB102" s="295">
        <f t="shared" ca="1" si="215"/>
        <v>1</v>
      </c>
      <c r="BD102" s="132"/>
      <c r="BE102" s="297">
        <f t="shared" ca="1" si="216"/>
        <v>1</v>
      </c>
      <c r="BF102" s="298">
        <f t="shared" ca="1" si="161"/>
        <v>0.65029522127322903</v>
      </c>
      <c r="BG102" s="298">
        <f t="shared" ca="1" si="162"/>
        <v>0.66028983545318687</v>
      </c>
      <c r="BH102" s="318">
        <f t="shared" ca="1" si="163"/>
        <v>0.64972655813153501</v>
      </c>
      <c r="BI102" s="298">
        <f t="shared" ca="1" si="164"/>
        <v>0.65002804502111444</v>
      </c>
      <c r="BJ102" s="299">
        <f t="shared" ca="1" si="165"/>
        <v>0.65029320640965171</v>
      </c>
      <c r="BK102" s="298">
        <f t="shared" ca="1" si="166"/>
        <v>0.64942668056342145</v>
      </c>
      <c r="BL102" s="298">
        <f t="shared" ca="1" si="167"/>
        <v>0.61083952513994022</v>
      </c>
      <c r="BM102" s="299">
        <f t="shared" ca="1" si="168"/>
        <v>0.6508682169276182</v>
      </c>
      <c r="BN102" s="295">
        <f t="shared" ca="1" si="169"/>
        <v>0.17402001625314881</v>
      </c>
      <c r="BO102" s="248">
        <f t="shared" ca="1" si="217"/>
        <v>-2.2535161742124597E-5</v>
      </c>
      <c r="BQ102" s="304">
        <f t="shared" ca="1" si="218"/>
        <v>0.42412001625314877</v>
      </c>
      <c r="BR102" s="297">
        <f t="shared" ca="1" si="219"/>
        <v>0</v>
      </c>
      <c r="BS102" s="298">
        <f t="shared" ca="1" si="170"/>
        <v>0</v>
      </c>
      <c r="BT102" s="298">
        <f t="shared" ca="1" si="171"/>
        <v>0</v>
      </c>
      <c r="BU102" s="318">
        <f t="shared" ca="1" si="172"/>
        <v>0</v>
      </c>
      <c r="BV102" s="298">
        <f t="shared" ca="1" si="173"/>
        <v>0</v>
      </c>
      <c r="BW102" s="299">
        <f t="shared" ca="1" si="174"/>
        <v>0</v>
      </c>
      <c r="BX102" s="298">
        <f t="shared" ca="1" si="175"/>
        <v>0</v>
      </c>
      <c r="BY102" s="298">
        <f t="shared" ca="1" si="176"/>
        <v>0</v>
      </c>
      <c r="BZ102" s="298">
        <f t="shared" ca="1" si="177"/>
        <v>0</v>
      </c>
      <c r="CA102" s="315">
        <f t="shared" ca="1" si="178"/>
        <v>0.42412001625314877</v>
      </c>
      <c r="CC102" s="52"/>
      <c r="CD102" s="306">
        <f t="shared" ca="1" si="220"/>
        <v>0</v>
      </c>
      <c r="CE102" s="15">
        <f t="shared" ca="1" si="179"/>
        <v>0</v>
      </c>
      <c r="CF102" s="15">
        <f t="shared" ca="1" si="180"/>
        <v>0</v>
      </c>
      <c r="CG102" s="286">
        <f t="shared" ca="1" si="181"/>
        <v>0</v>
      </c>
      <c r="CH102" s="15">
        <f t="shared" ca="1" si="182"/>
        <v>0</v>
      </c>
      <c r="CI102" s="288">
        <f t="shared" ca="1" si="183"/>
        <v>0</v>
      </c>
      <c r="CJ102" s="15">
        <f t="shared" ca="1" si="184"/>
        <v>0</v>
      </c>
      <c r="CK102" s="15">
        <f t="shared" ca="1" si="185"/>
        <v>0</v>
      </c>
      <c r="CL102" s="15">
        <f t="shared" ca="1" si="186"/>
        <v>0</v>
      </c>
      <c r="CM102" s="313">
        <f t="shared" ca="1" si="187"/>
        <v>1</v>
      </c>
      <c r="CO102" s="320">
        <f t="shared" ca="1" si="221"/>
        <v>91</v>
      </c>
      <c r="CP102" s="22">
        <f ca="1">COUNTIFS($C$10:$C101,"&lt;"&amp;$C102,$M$10:$M101,$D102&amp;"_"&amp;CP$9)</f>
        <v>0</v>
      </c>
      <c r="CQ102" s="7">
        <f ca="1">COUNTIFS($C$10:$C101,"&lt;"&amp;$C102,$M$10:$M101,$D102&amp;"_"&amp;CQ$9)</f>
        <v>0</v>
      </c>
      <c r="CR102" s="7">
        <f ca="1">COUNTIFS($C$10:$C101,"&lt;"&amp;$C102,$M$10:$M101,$D102&amp;"_"&amp;CR$9)</f>
        <v>0</v>
      </c>
      <c r="CS102" s="17">
        <f ca="1">COUNTIFS($C$10:$C101,"&lt;"&amp;$C102,$M$10:$M101,$D102&amp;"_"&amp;CS$9)</f>
        <v>0</v>
      </c>
      <c r="CT102" s="7">
        <f ca="1">COUNTIFS($C$10:$C101,"&lt;"&amp;$C102,$M$10:$M101,$D102&amp;"_"&amp;CT$9)</f>
        <v>0</v>
      </c>
      <c r="CU102" s="18">
        <f ca="1">COUNTIFS($C$10:$C101,"&lt;"&amp;$C102,$M$10:$M101,$D102&amp;"_"&amp;CU$9)</f>
        <v>0</v>
      </c>
      <c r="CV102" s="7">
        <f ca="1">COUNTIFS($C$10:$C101,"&lt;"&amp;$C102,$M$10:$M101,$D102&amp;"_"&amp;CV$9)</f>
        <v>0</v>
      </c>
      <c r="CW102" s="7">
        <f ca="1">COUNTIFS($C$10:$C101,"&lt;"&amp;$C102,$M$10:$M101,$D102&amp;"_"&amp;CW$9)</f>
        <v>0</v>
      </c>
      <c r="CX102" s="7">
        <f ca="1">COUNTIFS($C$10:$C101,"&lt;"&amp;$C102,$M$10:$M101,$D102&amp;"_"&amp;CX$9)</f>
        <v>0</v>
      </c>
      <c r="CY102" s="221">
        <f ca="1">COUNTIFS($C$10:$C101,"&lt;"&amp;$C102,$M$10:$M101,$D102&amp;"_"&amp;CY$9)</f>
        <v>91</v>
      </c>
      <c r="DA102" s="20"/>
      <c r="DB102" s="308">
        <f ca="1">IF(CP102=0,0,SUMIFS($P$10:$P101, $C$10:$C101,"&lt;"&amp;$C102, $M$10:$M101,$D102&amp;"_"&amp;DB$9)/CP102)</f>
        <v>0</v>
      </c>
      <c r="DC102" s="263">
        <f ca="1">IF(CQ102=0,0,SUMIFS($P$10:$P101, $C$10:$C101,"&lt;"&amp;$C102, $M$10:$M101,$D102&amp;"_"&amp;DC$9)/CQ102)</f>
        <v>0</v>
      </c>
      <c r="DD102" s="263">
        <f ca="1">IF(CR102=0,0,SUMIFS($P$10:$P101, $C$10:$C101,"&lt;"&amp;$C102, $M$10:$M101,$D102&amp;"_"&amp;DD$9)/CR102)</f>
        <v>0</v>
      </c>
      <c r="DE102" s="262">
        <f ca="1">IF(CS102=0,0,SUMIFS($P$10:$P101, $C$10:$C101,"&lt;"&amp;$C102, $M$10:$M101,$D102&amp;"_"&amp;DE$9)/CS102)</f>
        <v>0</v>
      </c>
      <c r="DF102" s="263">
        <f ca="1">IF(CT102=0,0,SUMIFS($P$10:$P101, $C$10:$C101,"&lt;"&amp;$C102, $M$10:$M101,$D102&amp;"_"&amp;DF$9)/CT102)</f>
        <v>0</v>
      </c>
      <c r="DG102" s="310">
        <f ca="1">IF(CU102=0,0,SUMIFS($P$10:$P101, $C$10:$C101,"&lt;"&amp;$C102, $M$10:$M101,$D102&amp;"_"&amp;DG$9)/CU102)</f>
        <v>0</v>
      </c>
      <c r="DH102" s="263">
        <f ca="1">IF(CV102=0,0,SUMIFS($P$10:$P101, $C$10:$C101,"&lt;"&amp;$C102, $M$10:$M101,$D102&amp;"_"&amp;DH$9)/CV102)</f>
        <v>0</v>
      </c>
      <c r="DI102" s="263">
        <f ca="1">IF(CW102=0,0,SUMIFS($P$10:$P101, $C$10:$C101,"&lt;"&amp;$C102, $M$10:$M101,$D102&amp;"_"&amp;DI$9)/CW102)</f>
        <v>0</v>
      </c>
      <c r="DJ102" s="264">
        <f ca="1">IF(CX102=0,0,SUMIFS($P$10:$P101, $C$10:$C101,"&lt;"&amp;$C102, $M$10:$M101,$D102&amp;"_"&amp;DJ$9)/CX102)</f>
        <v>0</v>
      </c>
      <c r="DK102" s="264">
        <f ca="1">IF(CY102=0,0,SUMIFS($P$10:$P101, $C$10:$C101,"&lt;"&amp;$C102, $M$10:$M101,$D102&amp;"_"&amp;DK$9)/CY102)</f>
        <v>-1</v>
      </c>
      <c r="DM102" s="104"/>
      <c r="DN102" s="306">
        <f t="shared" ca="1" si="222"/>
        <v>-9999</v>
      </c>
      <c r="DO102" s="15">
        <f t="shared" ca="1" si="188"/>
        <v>-9999</v>
      </c>
      <c r="DP102" s="15">
        <f t="shared" ca="1" si="189"/>
        <v>-9999</v>
      </c>
      <c r="DQ102" s="15">
        <f t="shared" ca="1" si="190"/>
        <v>-9999</v>
      </c>
      <c r="DR102" s="15">
        <f t="shared" ca="1" si="191"/>
        <v>-9999</v>
      </c>
      <c r="DS102" s="15">
        <f t="shared" ca="1" si="192"/>
        <v>-9999</v>
      </c>
      <c r="DT102" s="15">
        <f t="shared" ca="1" si="193"/>
        <v>-9999</v>
      </c>
      <c r="DU102" s="15">
        <f t="shared" ca="1" si="194"/>
        <v>-9999</v>
      </c>
      <c r="DV102" s="52">
        <f t="shared" ca="1" si="195"/>
        <v>-9999</v>
      </c>
      <c r="DW102" s="313">
        <f t="shared" ca="1" si="196"/>
        <v>-0.89631095636772329</v>
      </c>
      <c r="DX102" s="52"/>
      <c r="DY102" s="402">
        <f t="shared" ca="1" si="223"/>
        <v>9</v>
      </c>
      <c r="ED102" s="19">
        <f t="shared" ca="1" si="197"/>
        <v>-1</v>
      </c>
      <c r="EE102" s="1">
        <f t="shared" ca="1" si="198"/>
        <v>1</v>
      </c>
      <c r="EF102" s="1">
        <f t="shared" ca="1" si="199"/>
        <v>-1</v>
      </c>
      <c r="EG102" s="2">
        <f t="shared" ca="1" si="200"/>
        <v>1</v>
      </c>
      <c r="EH102" s="1">
        <f t="shared" ca="1" si="201"/>
        <v>-1</v>
      </c>
      <c r="EI102" s="3">
        <f t="shared" ca="1" si="202"/>
        <v>1</v>
      </c>
      <c r="EJ102" s="1">
        <f t="shared" ca="1" si="203"/>
        <v>0</v>
      </c>
      <c r="EK102" s="1">
        <f t="shared" ca="1" si="204"/>
        <v>0</v>
      </c>
      <c r="EL102" s="20">
        <f t="shared" ca="1" si="205"/>
        <v>-1</v>
      </c>
      <c r="EN102" s="86">
        <f ca="1">MAX(0, SUMPRODUCT($ED102:$EL102,OFFSET(DNN!$E$9:$M$9,EN$9,0)) + OFFSET(DNN!$D$9,EN$9,0))</f>
        <v>0</v>
      </c>
      <c r="EO102" s="84">
        <f ca="1">MAX(0, SUMPRODUCT($ED102:$EL102,OFFSET(DNN!$E$9:$M$9,EO$9,0)) + OFFSET(DNN!$D$9,EO$9,0))</f>
        <v>7.2346022384755949E-3</v>
      </c>
      <c r="EP102" s="84">
        <f ca="1">MAX(0, SUMPRODUCT($ED102:$EL102,OFFSET(DNN!$E$9:$M$9,EP$9,0)) + OFFSET(DNN!$D$9,EP$9,0))</f>
        <v>3.6951849750035152E-3</v>
      </c>
      <c r="EQ102" s="84">
        <f ca="1">MAX(0, SUMPRODUCT($ED102:$EL102,OFFSET(DNN!$E$9:$M$9,EQ$9,0)) + OFFSET(DNN!$D$9,EQ$9,0))</f>
        <v>0</v>
      </c>
      <c r="ER102" s="85">
        <f ca="1">MAX(0, SUMPRODUCT($ED102:$EL102,OFFSET(DNN!$E$9:$M$9,ER$9,0)) + OFFSET(DNN!$D$9,ER$9,0))</f>
        <v>0</v>
      </c>
      <c r="ET102" s="86">
        <f ca="1">MAX(0, SUMPRODUCT($EN102:$ER102,OFFSET(DNN!$Q$9:$U$9,ET$9,0)) + OFFSET(DNN!$P$9,ET$9,0))</f>
        <v>4.3954959453478351E-4</v>
      </c>
      <c r="EU102" s="84">
        <f ca="1">MAX(0, SUMPRODUCT($EN102:$ER102,OFFSET(DNN!$Q$9:$U$9,EU$9,0)) + OFFSET(DNN!$P$9,EU$9,0))</f>
        <v>0</v>
      </c>
      <c r="EV102" s="84">
        <f ca="1">MAX(0, SUMPRODUCT($EN102:$ER102,OFFSET(DNN!$Q$9:$U$9,EV$9,0)) + OFFSET(DNN!$P$9,EV$9,0))</f>
        <v>1.2810123361902579E-3</v>
      </c>
      <c r="EW102" s="84">
        <f ca="1">MAX(0, SUMPRODUCT($EN102:$ER102,OFFSET(DNN!$Q$9:$U$9,EW$9,0)) + OFFSET(DNN!$P$9,EW$9,0))</f>
        <v>7.8382123007882457E-4</v>
      </c>
      <c r="EX102" s="85">
        <f ca="1">MAX(0, SUMPRODUCT($EN102:$ER102,OFFSET(DNN!$Q$9:$U$9,EX$9,0)) + OFFSET(DNN!$P$9,EX$9,0))</f>
        <v>0</v>
      </c>
      <c r="EZ102" s="111">
        <f ca="1">SUMPRODUCT($ET102:$EX102,OFFSET(DNN!$Y$9:$AC$9,EZ$9,0)) + OFFSET(DNN!$X$9,EZ$9,0)</f>
        <v>0.43031618918982212</v>
      </c>
      <c r="FA102" s="97">
        <f ca="1">SUMPRODUCT($ET102:$EX102,OFFSET(DNN!$Y$9:$AC$9,FA$9,0)) + OFFSET(DNN!$X$9,FA$9,0)</f>
        <v>-1.2643439935754107E-5</v>
      </c>
      <c r="FB102" s="97">
        <f ca="1">SUMPRODUCT($ET102:$EX102,OFFSET(DNN!$Y$9:$AC$9,FB$9,0)) + OFFSET(DNN!$X$9,FB$9,0)</f>
        <v>1.5239793458415756E-2</v>
      </c>
      <c r="FC102" s="97">
        <f ca="1">SUMPRODUCT($ET102:$EX102,OFFSET(DNN!$Y$9:$AC$9,FC$9,0)) + OFFSET(DNN!$X$9,FC$9,0)</f>
        <v>-8.8749521084055777E-4</v>
      </c>
      <c r="FD102" s="97">
        <f ca="1">SUMPRODUCT($ET102:$EX102,OFFSET(DNN!$Y$9:$AC$9,FD$9,0)) + OFFSET(DNN!$X$9,FD$9,0)</f>
        <v>-4.235816470721872E-4</v>
      </c>
      <c r="FE102" s="97">
        <f ca="1">SUMPRODUCT($ET102:$EX102,OFFSET(DNN!$Y$9:$AC$9,FE$9,0)) + OFFSET(DNN!$X$9,FE$9,0)</f>
        <v>-1.574182761064886E-5</v>
      </c>
      <c r="FF102" s="97">
        <f ca="1">SUMPRODUCT($ET102:$EX102,OFFSET(DNN!$Y$9:$AC$9,FF$9,0)) + OFFSET(DNN!$X$9,FF$9,0)</f>
        <v>-1.3491460223194656E-3</v>
      </c>
      <c r="FG102" s="97">
        <f ca="1">SUMPRODUCT($ET102:$EX102,OFFSET(DNN!$Y$9:$AC$9,FG$9,0)) + OFFSET(DNN!$X$9,FG$9,0)</f>
        <v>-6.2604808096248285E-2</v>
      </c>
      <c r="FH102" s="97">
        <f ca="1">SUMPRODUCT($ET102:$EX102,OFFSET(DNN!$Y$9:$AC$9,FH$9,0)) + OFFSET(DNN!$X$9,FH$9,0)</f>
        <v>8.6810016937029894E-4</v>
      </c>
      <c r="FI102" s="108">
        <f ca="1">SUMPRODUCT($ET102:$EX102,OFFSET(DNN!$Y$9:$AC$9,FI$9,0)) + OFFSET(DNN!$X$9,FI$9,0)</f>
        <v>-1.3182687612562751</v>
      </c>
      <c r="FJ102" s="98">
        <f ca="1">SUMPRODUCT($ET102:$EX102,OFFSET(DNN!$Y$9:$AC$9,FJ$9,0)) + OFFSET(DNN!$X$9,FJ$9,0)</f>
        <v>-2.2535161745939301E-5</v>
      </c>
      <c r="FL102" s="415">
        <f t="shared" ca="1" si="224"/>
        <v>0.43031618918982212</v>
      </c>
      <c r="FM102" s="130">
        <f t="shared" ca="1" si="225"/>
        <v>1</v>
      </c>
      <c r="FN102" s="131">
        <f t="shared" ca="1" si="226"/>
        <v>0.65029522127322903</v>
      </c>
      <c r="FO102" s="131">
        <f t="shared" ca="1" si="227"/>
        <v>0.66028983545318687</v>
      </c>
      <c r="FP102" s="131">
        <f t="shared" ca="1" si="228"/>
        <v>0.64972655813153501</v>
      </c>
      <c r="FQ102" s="131">
        <f t="shared" ca="1" si="229"/>
        <v>0.65002804502111444</v>
      </c>
      <c r="FR102" s="131">
        <f t="shared" ca="1" si="230"/>
        <v>0.65029320640965171</v>
      </c>
      <c r="FS102" s="131">
        <f t="shared" ca="1" si="231"/>
        <v>0.64942668056342145</v>
      </c>
      <c r="FT102" s="131">
        <f t="shared" ca="1" si="232"/>
        <v>0.61083952513994022</v>
      </c>
      <c r="FU102" s="132">
        <f t="shared" ca="1" si="233"/>
        <v>0.6508682169276182</v>
      </c>
      <c r="FV102" s="131">
        <f t="shared" ca="1" si="234"/>
        <v>0.17402001625314881</v>
      </c>
      <c r="FW102" s="83">
        <f t="shared" ca="1" si="235"/>
        <v>-2.2535161742124597E-5</v>
      </c>
    </row>
    <row r="103" spans="1:179">
      <c r="A103" s="19">
        <f t="shared" si="240"/>
        <v>93</v>
      </c>
      <c r="B103" s="1">
        <f t="shared" ca="1" si="236"/>
        <v>0</v>
      </c>
      <c r="C103" s="20">
        <f t="shared" ca="1" si="237"/>
        <v>93</v>
      </c>
      <c r="D103" s="19" t="str">
        <f t="shared" ca="1" si="238"/>
        <v>〇×〇×〇×--〇</v>
      </c>
      <c r="E103" s="7">
        <f t="shared" ca="1" si="206"/>
        <v>9</v>
      </c>
      <c r="F103" s="7">
        <f t="shared" ca="1" si="207"/>
        <v>1</v>
      </c>
      <c r="G103" s="1" t="str">
        <f t="shared" ca="1" si="139"/>
        <v>〇×〇×〇×--〇</v>
      </c>
      <c r="H103" s="20" t="b">
        <f t="shared" ca="1" si="140"/>
        <v>1</v>
      </c>
      <c r="I103" s="22">
        <f t="shared" ca="1" si="239"/>
        <v>-1</v>
      </c>
      <c r="J103" s="1" t="b">
        <f ca="1">(1&lt;COUNTIF(D$10:D103,D103))</f>
        <v>1</v>
      </c>
      <c r="K103" s="1" t="b">
        <f t="shared" ca="1" si="141"/>
        <v>1</v>
      </c>
      <c r="L103" s="7">
        <f ca="1">MATCH(TRUE,K103:K$1048576,FALSE)-1</f>
        <v>0</v>
      </c>
      <c r="M103" s="24" t="str">
        <f t="shared" ca="1" si="142"/>
        <v>〇×〇×〇×--〇_9</v>
      </c>
      <c r="N103" s="25">
        <f t="shared" ca="1" si="208"/>
        <v>-2.2535161742124597E-5</v>
      </c>
      <c r="O103" s="26">
        <f t="shared" ca="1" si="209"/>
        <v>-1</v>
      </c>
      <c r="P103" s="27">
        <f t="shared" ca="1" si="210"/>
        <v>-1</v>
      </c>
      <c r="R103" s="41" t="str">
        <f ca="1">VLOOKUP(S103,cvt!$B$2:$C$4,2,FALSE)&amp;VLOOKUP(T103,cvt!$B$2:$C$4,2,FALSE)&amp;VLOOKUP(U103,cvt!$B$2:$C$4,2,FALSE)
&amp;VLOOKUP(V103,cvt!$B$2:$C$4,2,FALSE)&amp;VLOOKUP(W103,cvt!$B$2:$C$4,2,FALSE)&amp;VLOOKUP(X103,cvt!$B$2:$C$4,2,FALSE)
&amp;VLOOKUP(Y103,cvt!$B$2:$C$4,2,FALSE)&amp;VLOOKUP(Z103,cvt!$B$2:$C$4,2,FALSE)&amp;VLOOKUP(AA103,cvt!$B$2:$C$4,2,FALSE)</f>
        <v>〇×〇×〇×--〇</v>
      </c>
      <c r="S103" s="7">
        <f ca="1">VLOOKUP(MID($D103,S$9+1,1), cvt!$A$2:$B$4,2, FALSE)</f>
        <v>1</v>
      </c>
      <c r="T103" s="7">
        <f ca="1">VLOOKUP(MID($D103,T$9+1,1), cvt!$A$2:$B$4,2, FALSE)</f>
        <v>-1</v>
      </c>
      <c r="U103" s="7">
        <f ca="1">VLOOKUP(MID($D103,U$9+1,1), cvt!$A$2:$B$4,2, FALSE)</f>
        <v>1</v>
      </c>
      <c r="V103" s="17">
        <f ca="1">VLOOKUP(MID($D103,V$9+1,1), cvt!$A$2:$B$4,2, FALSE)</f>
        <v>-1</v>
      </c>
      <c r="W103" s="7">
        <f ca="1">VLOOKUP(MID($D103,W$9+1,1), cvt!$A$2:$B$4,2, FALSE)</f>
        <v>1</v>
      </c>
      <c r="X103" s="18">
        <f ca="1">VLOOKUP(MID($D103,X$9+1,1), cvt!$A$2:$B$4,2, FALSE)</f>
        <v>-1</v>
      </c>
      <c r="Y103" s="7">
        <f ca="1">VLOOKUP(MID($D103,Y$9+1,1), cvt!$A$2:$B$4,2, FALSE)</f>
        <v>0</v>
      </c>
      <c r="Z103" s="7">
        <f ca="1">VLOOKUP(MID($D103,Z$9+1,1), cvt!$A$2:$B$4,2, FALSE)</f>
        <v>0</v>
      </c>
      <c r="AA103" s="42">
        <f ca="1">VLOOKUP(MID($D103,AA$9+1,1), cvt!$A$2:$B$4,2, FALSE)</f>
        <v>1</v>
      </c>
      <c r="AB103" s="7">
        <f t="shared" ca="1" si="211"/>
        <v>1</v>
      </c>
      <c r="AC103" s="50" t="b">
        <f t="shared" ca="1" si="212"/>
        <v>1</v>
      </c>
      <c r="AE103" s="19" t="str">
        <f ca="1">VLOOKUP(AF103,cvt!$B$2:$C$4,2,FALSE)&amp;VLOOKUP(AG103,cvt!$B$2:$C$4,2,FALSE)&amp;VLOOKUP(AH103,cvt!$B$2:$C$4,2,FALSE)
&amp;VLOOKUP(AI103,cvt!$B$2:$C$4,2,FALSE)&amp;VLOOKUP(AJ103,cvt!$B$2:$C$4,2,FALSE)&amp;VLOOKUP(AK103,cvt!$B$2:$C$4,2,FALSE)
&amp;VLOOKUP(AL103,cvt!$B$2:$C$4,2,FALSE)&amp;VLOOKUP(AM103,cvt!$B$2:$C$4,2,FALSE)&amp;VLOOKUP(AN103,cvt!$B$2:$C$4,2,FALSE)</f>
        <v>〇×〇×〇×--〇</v>
      </c>
      <c r="AF103" s="17">
        <f t="shared" ca="1" si="143"/>
        <v>1</v>
      </c>
      <c r="AG103" s="7">
        <f t="shared" ca="1" si="144"/>
        <v>-1</v>
      </c>
      <c r="AH103" s="7">
        <f t="shared" ca="1" si="145"/>
        <v>1</v>
      </c>
      <c r="AI103" s="17">
        <f t="shared" ca="1" si="146"/>
        <v>-1</v>
      </c>
      <c r="AJ103" s="7">
        <f t="shared" ca="1" si="147"/>
        <v>1</v>
      </c>
      <c r="AK103" s="18">
        <f t="shared" ca="1" si="148"/>
        <v>-1</v>
      </c>
      <c r="AL103" s="7">
        <f t="shared" ca="1" si="149"/>
        <v>0</v>
      </c>
      <c r="AM103" s="7">
        <f t="shared" ca="1" si="150"/>
        <v>0</v>
      </c>
      <c r="AN103" s="18">
        <f t="shared" ca="1" si="151"/>
        <v>1</v>
      </c>
      <c r="AO103" s="7">
        <f t="shared" ca="1" si="213"/>
        <v>1</v>
      </c>
      <c r="AP103" s="50" t="b">
        <f t="shared" ca="1" si="152"/>
        <v>1</v>
      </c>
      <c r="AS103" s="22">
        <f t="shared" ca="1" si="214"/>
        <v>0</v>
      </c>
      <c r="AT103" s="7">
        <f t="shared" ca="1" si="153"/>
        <v>0</v>
      </c>
      <c r="AU103" s="7">
        <f t="shared" ca="1" si="154"/>
        <v>0</v>
      </c>
      <c r="AV103" s="7">
        <f t="shared" ca="1" si="155"/>
        <v>0</v>
      </c>
      <c r="AW103" s="7">
        <f t="shared" ca="1" si="156"/>
        <v>0</v>
      </c>
      <c r="AX103" s="7">
        <f t="shared" ca="1" si="157"/>
        <v>0</v>
      </c>
      <c r="AY103" s="7">
        <f t="shared" ca="1" si="158"/>
        <v>0</v>
      </c>
      <c r="AZ103" s="7">
        <f t="shared" ca="1" si="159"/>
        <v>0</v>
      </c>
      <c r="BA103" s="18">
        <f t="shared" ca="1" si="160"/>
        <v>0</v>
      </c>
      <c r="BB103" s="295">
        <f t="shared" ca="1" si="215"/>
        <v>1</v>
      </c>
      <c r="BD103" s="132"/>
      <c r="BE103" s="297">
        <f t="shared" ca="1" si="216"/>
        <v>1</v>
      </c>
      <c r="BF103" s="298">
        <f t="shared" ca="1" si="161"/>
        <v>0.65029522127322903</v>
      </c>
      <c r="BG103" s="298">
        <f t="shared" ca="1" si="162"/>
        <v>0.66028983545318687</v>
      </c>
      <c r="BH103" s="318">
        <f t="shared" ca="1" si="163"/>
        <v>0.64972655813153501</v>
      </c>
      <c r="BI103" s="298">
        <f t="shared" ca="1" si="164"/>
        <v>0.65002804502111444</v>
      </c>
      <c r="BJ103" s="299">
        <f t="shared" ca="1" si="165"/>
        <v>0.65029320640965171</v>
      </c>
      <c r="BK103" s="298">
        <f t="shared" ca="1" si="166"/>
        <v>0.64942668056342145</v>
      </c>
      <c r="BL103" s="298">
        <f t="shared" ca="1" si="167"/>
        <v>0.61083952513994022</v>
      </c>
      <c r="BM103" s="299">
        <f t="shared" ca="1" si="168"/>
        <v>0.6508682169276182</v>
      </c>
      <c r="BN103" s="295">
        <f t="shared" ca="1" si="169"/>
        <v>0.17402001625314881</v>
      </c>
      <c r="BO103" s="248">
        <f t="shared" ca="1" si="217"/>
        <v>-2.2535161742124597E-5</v>
      </c>
      <c r="BQ103" s="304">
        <f t="shared" ca="1" si="218"/>
        <v>0.1741200162531488</v>
      </c>
      <c r="BR103" s="297">
        <f t="shared" ca="1" si="219"/>
        <v>0</v>
      </c>
      <c r="BS103" s="298">
        <f t="shared" ca="1" si="170"/>
        <v>0</v>
      </c>
      <c r="BT103" s="298">
        <f t="shared" ca="1" si="171"/>
        <v>0</v>
      </c>
      <c r="BU103" s="318">
        <f t="shared" ca="1" si="172"/>
        <v>0</v>
      </c>
      <c r="BV103" s="298">
        <f t="shared" ca="1" si="173"/>
        <v>0</v>
      </c>
      <c r="BW103" s="299">
        <f t="shared" ca="1" si="174"/>
        <v>0</v>
      </c>
      <c r="BX103" s="298">
        <f t="shared" ca="1" si="175"/>
        <v>0</v>
      </c>
      <c r="BY103" s="298">
        <f t="shared" ca="1" si="176"/>
        <v>0</v>
      </c>
      <c r="BZ103" s="298">
        <f t="shared" ca="1" si="177"/>
        <v>0</v>
      </c>
      <c r="CA103" s="315">
        <f t="shared" ca="1" si="178"/>
        <v>0.1741200162531488</v>
      </c>
      <c r="CC103" s="52"/>
      <c r="CD103" s="306">
        <f t="shared" ca="1" si="220"/>
        <v>0</v>
      </c>
      <c r="CE103" s="15">
        <f t="shared" ca="1" si="179"/>
        <v>0</v>
      </c>
      <c r="CF103" s="15">
        <f t="shared" ca="1" si="180"/>
        <v>0</v>
      </c>
      <c r="CG103" s="286">
        <f t="shared" ca="1" si="181"/>
        <v>0</v>
      </c>
      <c r="CH103" s="15">
        <f t="shared" ca="1" si="182"/>
        <v>0</v>
      </c>
      <c r="CI103" s="288">
        <f t="shared" ca="1" si="183"/>
        <v>0</v>
      </c>
      <c r="CJ103" s="15">
        <f t="shared" ca="1" si="184"/>
        <v>0</v>
      </c>
      <c r="CK103" s="15">
        <f t="shared" ca="1" si="185"/>
        <v>0</v>
      </c>
      <c r="CL103" s="15">
        <f t="shared" ca="1" si="186"/>
        <v>0</v>
      </c>
      <c r="CM103" s="313">
        <f t="shared" ca="1" si="187"/>
        <v>1</v>
      </c>
      <c r="CO103" s="320">
        <f t="shared" ca="1" si="221"/>
        <v>92</v>
      </c>
      <c r="CP103" s="22">
        <f ca="1">COUNTIFS($C$10:$C102,"&lt;"&amp;$C103,$M$10:$M102,$D103&amp;"_"&amp;CP$9)</f>
        <v>0</v>
      </c>
      <c r="CQ103" s="7">
        <f ca="1">COUNTIFS($C$10:$C102,"&lt;"&amp;$C103,$M$10:$M102,$D103&amp;"_"&amp;CQ$9)</f>
        <v>0</v>
      </c>
      <c r="CR103" s="7">
        <f ca="1">COUNTIFS($C$10:$C102,"&lt;"&amp;$C103,$M$10:$M102,$D103&amp;"_"&amp;CR$9)</f>
        <v>0</v>
      </c>
      <c r="CS103" s="17">
        <f ca="1">COUNTIFS($C$10:$C102,"&lt;"&amp;$C103,$M$10:$M102,$D103&amp;"_"&amp;CS$9)</f>
        <v>0</v>
      </c>
      <c r="CT103" s="7">
        <f ca="1">COUNTIFS($C$10:$C102,"&lt;"&amp;$C103,$M$10:$M102,$D103&amp;"_"&amp;CT$9)</f>
        <v>0</v>
      </c>
      <c r="CU103" s="18">
        <f ca="1">COUNTIFS($C$10:$C102,"&lt;"&amp;$C103,$M$10:$M102,$D103&amp;"_"&amp;CU$9)</f>
        <v>0</v>
      </c>
      <c r="CV103" s="7">
        <f ca="1">COUNTIFS($C$10:$C102,"&lt;"&amp;$C103,$M$10:$M102,$D103&amp;"_"&amp;CV$9)</f>
        <v>0</v>
      </c>
      <c r="CW103" s="7">
        <f ca="1">COUNTIFS($C$10:$C102,"&lt;"&amp;$C103,$M$10:$M102,$D103&amp;"_"&amp;CW$9)</f>
        <v>0</v>
      </c>
      <c r="CX103" s="7">
        <f ca="1">COUNTIFS($C$10:$C102,"&lt;"&amp;$C103,$M$10:$M102,$D103&amp;"_"&amp;CX$9)</f>
        <v>0</v>
      </c>
      <c r="CY103" s="221">
        <f ca="1">COUNTIFS($C$10:$C102,"&lt;"&amp;$C103,$M$10:$M102,$D103&amp;"_"&amp;CY$9)</f>
        <v>92</v>
      </c>
      <c r="DA103" s="20"/>
      <c r="DB103" s="308">
        <f ca="1">IF(CP103=0,0,SUMIFS($P$10:$P102, $C$10:$C102,"&lt;"&amp;$C103, $M$10:$M102,$D103&amp;"_"&amp;DB$9)/CP103)</f>
        <v>0</v>
      </c>
      <c r="DC103" s="263">
        <f ca="1">IF(CQ103=0,0,SUMIFS($P$10:$P102, $C$10:$C102,"&lt;"&amp;$C103, $M$10:$M102,$D103&amp;"_"&amp;DC$9)/CQ103)</f>
        <v>0</v>
      </c>
      <c r="DD103" s="263">
        <f ca="1">IF(CR103=0,0,SUMIFS($P$10:$P102, $C$10:$C102,"&lt;"&amp;$C103, $M$10:$M102,$D103&amp;"_"&amp;DD$9)/CR103)</f>
        <v>0</v>
      </c>
      <c r="DE103" s="262">
        <f ca="1">IF(CS103=0,0,SUMIFS($P$10:$P102, $C$10:$C102,"&lt;"&amp;$C103, $M$10:$M102,$D103&amp;"_"&amp;DE$9)/CS103)</f>
        <v>0</v>
      </c>
      <c r="DF103" s="263">
        <f ca="1">IF(CT103=0,0,SUMIFS($P$10:$P102, $C$10:$C102,"&lt;"&amp;$C103, $M$10:$M102,$D103&amp;"_"&amp;DF$9)/CT103)</f>
        <v>0</v>
      </c>
      <c r="DG103" s="310">
        <f ca="1">IF(CU103=0,0,SUMIFS($P$10:$P102, $C$10:$C102,"&lt;"&amp;$C103, $M$10:$M102,$D103&amp;"_"&amp;DG$9)/CU103)</f>
        <v>0</v>
      </c>
      <c r="DH103" s="263">
        <f ca="1">IF(CV103=0,0,SUMIFS($P$10:$P102, $C$10:$C102,"&lt;"&amp;$C103, $M$10:$M102,$D103&amp;"_"&amp;DH$9)/CV103)</f>
        <v>0</v>
      </c>
      <c r="DI103" s="263">
        <f ca="1">IF(CW103=0,0,SUMIFS($P$10:$P102, $C$10:$C102,"&lt;"&amp;$C103, $M$10:$M102,$D103&amp;"_"&amp;DI$9)/CW103)</f>
        <v>0</v>
      </c>
      <c r="DJ103" s="264">
        <f ca="1">IF(CX103=0,0,SUMIFS($P$10:$P102, $C$10:$C102,"&lt;"&amp;$C103, $M$10:$M102,$D103&amp;"_"&amp;DJ$9)/CX103)</f>
        <v>0</v>
      </c>
      <c r="DK103" s="264">
        <f ca="1">IF(CY103=0,0,SUMIFS($P$10:$P102, $C$10:$C102,"&lt;"&amp;$C103, $M$10:$M102,$D103&amp;"_"&amp;DK$9)/CY103)</f>
        <v>-1</v>
      </c>
      <c r="DM103" s="104"/>
      <c r="DN103" s="306">
        <f t="shared" ca="1" si="222"/>
        <v>-9999</v>
      </c>
      <c r="DO103" s="15">
        <f t="shared" ca="1" si="188"/>
        <v>-9999</v>
      </c>
      <c r="DP103" s="15">
        <f t="shared" ca="1" si="189"/>
        <v>-9999</v>
      </c>
      <c r="DQ103" s="15">
        <f t="shared" ca="1" si="190"/>
        <v>-9999</v>
      </c>
      <c r="DR103" s="15">
        <f t="shared" ca="1" si="191"/>
        <v>-9999</v>
      </c>
      <c r="DS103" s="15">
        <f t="shared" ca="1" si="192"/>
        <v>-9999</v>
      </c>
      <c r="DT103" s="15">
        <f t="shared" ca="1" si="193"/>
        <v>-9999</v>
      </c>
      <c r="DU103" s="15">
        <f t="shared" ca="1" si="194"/>
        <v>-9999</v>
      </c>
      <c r="DV103" s="52">
        <f t="shared" ca="1" si="195"/>
        <v>-9999</v>
      </c>
      <c r="DW103" s="313">
        <f t="shared" ca="1" si="196"/>
        <v>-0.8968638382083286</v>
      </c>
      <c r="DX103" s="52"/>
      <c r="DY103" s="402">
        <f t="shared" ca="1" si="223"/>
        <v>9</v>
      </c>
      <c r="ED103" s="19">
        <f t="shared" ca="1" si="197"/>
        <v>-1</v>
      </c>
      <c r="EE103" s="1">
        <f t="shared" ca="1" si="198"/>
        <v>1</v>
      </c>
      <c r="EF103" s="1">
        <f t="shared" ca="1" si="199"/>
        <v>-1</v>
      </c>
      <c r="EG103" s="2">
        <f t="shared" ca="1" si="200"/>
        <v>1</v>
      </c>
      <c r="EH103" s="1">
        <f t="shared" ca="1" si="201"/>
        <v>-1</v>
      </c>
      <c r="EI103" s="3">
        <f t="shared" ca="1" si="202"/>
        <v>1</v>
      </c>
      <c r="EJ103" s="1">
        <f t="shared" ca="1" si="203"/>
        <v>0</v>
      </c>
      <c r="EK103" s="1">
        <f t="shared" ca="1" si="204"/>
        <v>0</v>
      </c>
      <c r="EL103" s="20">
        <f t="shared" ca="1" si="205"/>
        <v>-1</v>
      </c>
      <c r="EN103" s="86">
        <f ca="1">MAX(0, SUMPRODUCT($ED103:$EL103,OFFSET(DNN!$E$9:$M$9,EN$9,0)) + OFFSET(DNN!$D$9,EN$9,0))</f>
        <v>0</v>
      </c>
      <c r="EO103" s="84">
        <f ca="1">MAX(0, SUMPRODUCT($ED103:$EL103,OFFSET(DNN!$E$9:$M$9,EO$9,0)) + OFFSET(DNN!$D$9,EO$9,0))</f>
        <v>7.2346022384755949E-3</v>
      </c>
      <c r="EP103" s="84">
        <f ca="1">MAX(0, SUMPRODUCT($ED103:$EL103,OFFSET(DNN!$E$9:$M$9,EP$9,0)) + OFFSET(DNN!$D$9,EP$9,0))</f>
        <v>3.6951849750035152E-3</v>
      </c>
      <c r="EQ103" s="84">
        <f ca="1">MAX(0, SUMPRODUCT($ED103:$EL103,OFFSET(DNN!$E$9:$M$9,EQ$9,0)) + OFFSET(DNN!$D$9,EQ$9,0))</f>
        <v>0</v>
      </c>
      <c r="ER103" s="85">
        <f ca="1">MAX(0, SUMPRODUCT($ED103:$EL103,OFFSET(DNN!$E$9:$M$9,ER$9,0)) + OFFSET(DNN!$D$9,ER$9,0))</f>
        <v>0</v>
      </c>
      <c r="ET103" s="86">
        <f ca="1">MAX(0, SUMPRODUCT($EN103:$ER103,OFFSET(DNN!$Q$9:$U$9,ET$9,0)) + OFFSET(DNN!$P$9,ET$9,0))</f>
        <v>4.3954959453478351E-4</v>
      </c>
      <c r="EU103" s="84">
        <f ca="1">MAX(0, SUMPRODUCT($EN103:$ER103,OFFSET(DNN!$Q$9:$U$9,EU$9,0)) + OFFSET(DNN!$P$9,EU$9,0))</f>
        <v>0</v>
      </c>
      <c r="EV103" s="84">
        <f ca="1">MAX(0, SUMPRODUCT($EN103:$ER103,OFFSET(DNN!$Q$9:$U$9,EV$9,0)) + OFFSET(DNN!$P$9,EV$9,0))</f>
        <v>1.2810123361902579E-3</v>
      </c>
      <c r="EW103" s="84">
        <f ca="1">MAX(0, SUMPRODUCT($EN103:$ER103,OFFSET(DNN!$Q$9:$U$9,EW$9,0)) + OFFSET(DNN!$P$9,EW$9,0))</f>
        <v>7.8382123007882457E-4</v>
      </c>
      <c r="EX103" s="85">
        <f ca="1">MAX(0, SUMPRODUCT($EN103:$ER103,OFFSET(DNN!$Q$9:$U$9,EX$9,0)) + OFFSET(DNN!$P$9,EX$9,0))</f>
        <v>0</v>
      </c>
      <c r="EZ103" s="111">
        <f ca="1">SUMPRODUCT($ET103:$EX103,OFFSET(DNN!$Y$9:$AC$9,EZ$9,0)) + OFFSET(DNN!$X$9,EZ$9,0)</f>
        <v>0.43031618918982212</v>
      </c>
      <c r="FA103" s="97">
        <f ca="1">SUMPRODUCT($ET103:$EX103,OFFSET(DNN!$Y$9:$AC$9,FA$9,0)) + OFFSET(DNN!$X$9,FA$9,0)</f>
        <v>-1.2643439935754107E-5</v>
      </c>
      <c r="FB103" s="97">
        <f ca="1">SUMPRODUCT($ET103:$EX103,OFFSET(DNN!$Y$9:$AC$9,FB$9,0)) + OFFSET(DNN!$X$9,FB$9,0)</f>
        <v>1.5239793458415756E-2</v>
      </c>
      <c r="FC103" s="97">
        <f ca="1">SUMPRODUCT($ET103:$EX103,OFFSET(DNN!$Y$9:$AC$9,FC$9,0)) + OFFSET(DNN!$X$9,FC$9,0)</f>
        <v>-8.8749521084055777E-4</v>
      </c>
      <c r="FD103" s="97">
        <f ca="1">SUMPRODUCT($ET103:$EX103,OFFSET(DNN!$Y$9:$AC$9,FD$9,0)) + OFFSET(DNN!$X$9,FD$9,0)</f>
        <v>-4.235816470721872E-4</v>
      </c>
      <c r="FE103" s="97">
        <f ca="1">SUMPRODUCT($ET103:$EX103,OFFSET(DNN!$Y$9:$AC$9,FE$9,0)) + OFFSET(DNN!$X$9,FE$9,0)</f>
        <v>-1.574182761064886E-5</v>
      </c>
      <c r="FF103" s="97">
        <f ca="1">SUMPRODUCT($ET103:$EX103,OFFSET(DNN!$Y$9:$AC$9,FF$9,0)) + OFFSET(DNN!$X$9,FF$9,0)</f>
        <v>-1.3491460223194656E-3</v>
      </c>
      <c r="FG103" s="97">
        <f ca="1">SUMPRODUCT($ET103:$EX103,OFFSET(DNN!$Y$9:$AC$9,FG$9,0)) + OFFSET(DNN!$X$9,FG$9,0)</f>
        <v>-6.2604808096248285E-2</v>
      </c>
      <c r="FH103" s="97">
        <f ca="1">SUMPRODUCT($ET103:$EX103,OFFSET(DNN!$Y$9:$AC$9,FH$9,0)) + OFFSET(DNN!$X$9,FH$9,0)</f>
        <v>8.6810016937029894E-4</v>
      </c>
      <c r="FI103" s="108">
        <f ca="1">SUMPRODUCT($ET103:$EX103,OFFSET(DNN!$Y$9:$AC$9,FI$9,0)) + OFFSET(DNN!$X$9,FI$9,0)</f>
        <v>-1.3182687612562751</v>
      </c>
      <c r="FJ103" s="98">
        <f ca="1">SUMPRODUCT($ET103:$EX103,OFFSET(DNN!$Y$9:$AC$9,FJ$9,0)) + OFFSET(DNN!$X$9,FJ$9,0)</f>
        <v>-2.2535161745939301E-5</v>
      </c>
      <c r="FL103" s="415">
        <f t="shared" ca="1" si="224"/>
        <v>0.43031618918982212</v>
      </c>
      <c r="FM103" s="130">
        <f t="shared" ca="1" si="225"/>
        <v>1</v>
      </c>
      <c r="FN103" s="131">
        <f t="shared" ca="1" si="226"/>
        <v>0.65029522127322903</v>
      </c>
      <c r="FO103" s="131">
        <f t="shared" ca="1" si="227"/>
        <v>0.66028983545318687</v>
      </c>
      <c r="FP103" s="131">
        <f t="shared" ca="1" si="228"/>
        <v>0.64972655813153501</v>
      </c>
      <c r="FQ103" s="131">
        <f t="shared" ca="1" si="229"/>
        <v>0.65002804502111444</v>
      </c>
      <c r="FR103" s="131">
        <f t="shared" ca="1" si="230"/>
        <v>0.65029320640965171</v>
      </c>
      <c r="FS103" s="131">
        <f t="shared" ca="1" si="231"/>
        <v>0.64942668056342145</v>
      </c>
      <c r="FT103" s="131">
        <f t="shared" ca="1" si="232"/>
        <v>0.61083952513994022</v>
      </c>
      <c r="FU103" s="132">
        <f t="shared" ca="1" si="233"/>
        <v>0.6508682169276182</v>
      </c>
      <c r="FV103" s="131">
        <f t="shared" ca="1" si="234"/>
        <v>0.17402001625314881</v>
      </c>
      <c r="FW103" s="83">
        <f t="shared" ca="1" si="235"/>
        <v>-2.2535161742124597E-5</v>
      </c>
    </row>
    <row r="104" spans="1:179">
      <c r="A104" s="19">
        <f t="shared" si="240"/>
        <v>94</v>
      </c>
      <c r="B104" s="1">
        <f t="shared" ca="1" si="236"/>
        <v>0</v>
      </c>
      <c r="C104" s="20">
        <f t="shared" ca="1" si="237"/>
        <v>94</v>
      </c>
      <c r="D104" s="19" t="str">
        <f t="shared" ca="1" si="238"/>
        <v>〇×〇×〇×--〇</v>
      </c>
      <c r="E104" s="7">
        <f t="shared" ca="1" si="206"/>
        <v>9</v>
      </c>
      <c r="F104" s="7">
        <f t="shared" ca="1" si="207"/>
        <v>1</v>
      </c>
      <c r="G104" s="1" t="str">
        <f t="shared" ca="1" si="139"/>
        <v>〇×〇×〇×--〇</v>
      </c>
      <c r="H104" s="20" t="b">
        <f t="shared" ca="1" si="140"/>
        <v>1</v>
      </c>
      <c r="I104" s="22">
        <f t="shared" ca="1" si="239"/>
        <v>-1</v>
      </c>
      <c r="J104" s="1" t="b">
        <f ca="1">(1&lt;COUNTIF(D$10:D104,D104))</f>
        <v>1</v>
      </c>
      <c r="K104" s="1" t="b">
        <f t="shared" ca="1" si="141"/>
        <v>1</v>
      </c>
      <c r="L104" s="7">
        <f ca="1">MATCH(TRUE,K104:K$1048576,FALSE)-1</f>
        <v>0</v>
      </c>
      <c r="M104" s="24" t="str">
        <f t="shared" ca="1" si="142"/>
        <v>〇×〇×〇×--〇_9</v>
      </c>
      <c r="N104" s="25">
        <f t="shared" ca="1" si="208"/>
        <v>-2.2535161742124597E-5</v>
      </c>
      <c r="O104" s="26">
        <f t="shared" ca="1" si="209"/>
        <v>-1</v>
      </c>
      <c r="P104" s="27">
        <f t="shared" ca="1" si="210"/>
        <v>-1</v>
      </c>
      <c r="R104" s="41" t="str">
        <f ca="1">VLOOKUP(S104,cvt!$B$2:$C$4,2,FALSE)&amp;VLOOKUP(T104,cvt!$B$2:$C$4,2,FALSE)&amp;VLOOKUP(U104,cvt!$B$2:$C$4,2,FALSE)
&amp;VLOOKUP(V104,cvt!$B$2:$C$4,2,FALSE)&amp;VLOOKUP(W104,cvt!$B$2:$C$4,2,FALSE)&amp;VLOOKUP(X104,cvt!$B$2:$C$4,2,FALSE)
&amp;VLOOKUP(Y104,cvt!$B$2:$C$4,2,FALSE)&amp;VLOOKUP(Z104,cvt!$B$2:$C$4,2,FALSE)&amp;VLOOKUP(AA104,cvt!$B$2:$C$4,2,FALSE)</f>
        <v>〇×〇×〇×--〇</v>
      </c>
      <c r="S104" s="7">
        <f ca="1">VLOOKUP(MID($D104,S$9+1,1), cvt!$A$2:$B$4,2, FALSE)</f>
        <v>1</v>
      </c>
      <c r="T104" s="7">
        <f ca="1">VLOOKUP(MID($D104,T$9+1,1), cvt!$A$2:$B$4,2, FALSE)</f>
        <v>-1</v>
      </c>
      <c r="U104" s="7">
        <f ca="1">VLOOKUP(MID($D104,U$9+1,1), cvt!$A$2:$B$4,2, FALSE)</f>
        <v>1</v>
      </c>
      <c r="V104" s="17">
        <f ca="1">VLOOKUP(MID($D104,V$9+1,1), cvt!$A$2:$B$4,2, FALSE)</f>
        <v>-1</v>
      </c>
      <c r="W104" s="7">
        <f ca="1">VLOOKUP(MID($D104,W$9+1,1), cvt!$A$2:$B$4,2, FALSE)</f>
        <v>1</v>
      </c>
      <c r="X104" s="18">
        <f ca="1">VLOOKUP(MID($D104,X$9+1,1), cvt!$A$2:$B$4,2, FALSE)</f>
        <v>-1</v>
      </c>
      <c r="Y104" s="7">
        <f ca="1">VLOOKUP(MID($D104,Y$9+1,1), cvt!$A$2:$B$4,2, FALSE)</f>
        <v>0</v>
      </c>
      <c r="Z104" s="7">
        <f ca="1">VLOOKUP(MID($D104,Z$9+1,1), cvt!$A$2:$B$4,2, FALSE)</f>
        <v>0</v>
      </c>
      <c r="AA104" s="42">
        <f ca="1">VLOOKUP(MID($D104,AA$9+1,1), cvt!$A$2:$B$4,2, FALSE)</f>
        <v>1</v>
      </c>
      <c r="AB104" s="7">
        <f t="shared" ca="1" si="211"/>
        <v>1</v>
      </c>
      <c r="AC104" s="50" t="b">
        <f t="shared" ca="1" si="212"/>
        <v>1</v>
      </c>
      <c r="AE104" s="19" t="str">
        <f ca="1">VLOOKUP(AF104,cvt!$B$2:$C$4,2,FALSE)&amp;VLOOKUP(AG104,cvt!$B$2:$C$4,2,FALSE)&amp;VLOOKUP(AH104,cvt!$B$2:$C$4,2,FALSE)
&amp;VLOOKUP(AI104,cvt!$B$2:$C$4,2,FALSE)&amp;VLOOKUP(AJ104,cvt!$B$2:$C$4,2,FALSE)&amp;VLOOKUP(AK104,cvt!$B$2:$C$4,2,FALSE)
&amp;VLOOKUP(AL104,cvt!$B$2:$C$4,2,FALSE)&amp;VLOOKUP(AM104,cvt!$B$2:$C$4,2,FALSE)&amp;VLOOKUP(AN104,cvt!$B$2:$C$4,2,FALSE)</f>
        <v>〇×〇×〇×--〇</v>
      </c>
      <c r="AF104" s="17">
        <f t="shared" ca="1" si="143"/>
        <v>1</v>
      </c>
      <c r="AG104" s="7">
        <f t="shared" ca="1" si="144"/>
        <v>-1</v>
      </c>
      <c r="AH104" s="7">
        <f t="shared" ca="1" si="145"/>
        <v>1</v>
      </c>
      <c r="AI104" s="17">
        <f t="shared" ca="1" si="146"/>
        <v>-1</v>
      </c>
      <c r="AJ104" s="7">
        <f t="shared" ca="1" si="147"/>
        <v>1</v>
      </c>
      <c r="AK104" s="18">
        <f t="shared" ca="1" si="148"/>
        <v>-1</v>
      </c>
      <c r="AL104" s="7">
        <f t="shared" ca="1" si="149"/>
        <v>0</v>
      </c>
      <c r="AM104" s="7">
        <f t="shared" ca="1" si="150"/>
        <v>0</v>
      </c>
      <c r="AN104" s="18">
        <f t="shared" ca="1" si="151"/>
        <v>1</v>
      </c>
      <c r="AO104" s="7">
        <f t="shared" ca="1" si="213"/>
        <v>1</v>
      </c>
      <c r="AP104" s="50" t="b">
        <f t="shared" ca="1" si="152"/>
        <v>1</v>
      </c>
      <c r="AS104" s="22">
        <f t="shared" ca="1" si="214"/>
        <v>0</v>
      </c>
      <c r="AT104" s="7">
        <f t="shared" ca="1" si="153"/>
        <v>0</v>
      </c>
      <c r="AU104" s="7">
        <f t="shared" ca="1" si="154"/>
        <v>0</v>
      </c>
      <c r="AV104" s="7">
        <f t="shared" ca="1" si="155"/>
        <v>0</v>
      </c>
      <c r="AW104" s="7">
        <f t="shared" ca="1" si="156"/>
        <v>0</v>
      </c>
      <c r="AX104" s="7">
        <f t="shared" ca="1" si="157"/>
        <v>0</v>
      </c>
      <c r="AY104" s="7">
        <f t="shared" ca="1" si="158"/>
        <v>0</v>
      </c>
      <c r="AZ104" s="7">
        <f t="shared" ca="1" si="159"/>
        <v>0</v>
      </c>
      <c r="BA104" s="18">
        <f t="shared" ca="1" si="160"/>
        <v>0</v>
      </c>
      <c r="BB104" s="295">
        <f t="shared" ca="1" si="215"/>
        <v>1</v>
      </c>
      <c r="BD104" s="132"/>
      <c r="BE104" s="297">
        <f t="shared" ca="1" si="216"/>
        <v>1</v>
      </c>
      <c r="BF104" s="298">
        <f t="shared" ca="1" si="161"/>
        <v>0.65029522127322903</v>
      </c>
      <c r="BG104" s="298">
        <f t="shared" ca="1" si="162"/>
        <v>0.66028983545318687</v>
      </c>
      <c r="BH104" s="318">
        <f t="shared" ca="1" si="163"/>
        <v>0.64972655813153501</v>
      </c>
      <c r="BI104" s="298">
        <f t="shared" ca="1" si="164"/>
        <v>0.65002804502111444</v>
      </c>
      <c r="BJ104" s="299">
        <f t="shared" ca="1" si="165"/>
        <v>0.65029320640965171</v>
      </c>
      <c r="BK104" s="298">
        <f t="shared" ca="1" si="166"/>
        <v>0.64942668056342145</v>
      </c>
      <c r="BL104" s="298">
        <f t="shared" ca="1" si="167"/>
        <v>0.61083952513994022</v>
      </c>
      <c r="BM104" s="299">
        <f t="shared" ca="1" si="168"/>
        <v>0.6508682169276182</v>
      </c>
      <c r="BN104" s="295">
        <f t="shared" ca="1" si="169"/>
        <v>0.17402001625314881</v>
      </c>
      <c r="BO104" s="248">
        <f t="shared" ca="1" si="217"/>
        <v>-2.2535161742124597E-5</v>
      </c>
      <c r="BQ104" s="304">
        <f t="shared" ca="1" si="218"/>
        <v>0.42412001625314877</v>
      </c>
      <c r="BR104" s="297">
        <f t="shared" ca="1" si="219"/>
        <v>0</v>
      </c>
      <c r="BS104" s="298">
        <f t="shared" ca="1" si="170"/>
        <v>0</v>
      </c>
      <c r="BT104" s="298">
        <f t="shared" ca="1" si="171"/>
        <v>0</v>
      </c>
      <c r="BU104" s="318">
        <f t="shared" ca="1" si="172"/>
        <v>0</v>
      </c>
      <c r="BV104" s="298">
        <f t="shared" ca="1" si="173"/>
        <v>0</v>
      </c>
      <c r="BW104" s="299">
        <f t="shared" ca="1" si="174"/>
        <v>0</v>
      </c>
      <c r="BX104" s="298">
        <f t="shared" ca="1" si="175"/>
        <v>0</v>
      </c>
      <c r="BY104" s="298">
        <f t="shared" ca="1" si="176"/>
        <v>0</v>
      </c>
      <c r="BZ104" s="298">
        <f t="shared" ca="1" si="177"/>
        <v>0</v>
      </c>
      <c r="CA104" s="315">
        <f t="shared" ca="1" si="178"/>
        <v>0.42412001625314877</v>
      </c>
      <c r="CC104" s="52"/>
      <c r="CD104" s="306">
        <f t="shared" ca="1" si="220"/>
        <v>0</v>
      </c>
      <c r="CE104" s="15">
        <f t="shared" ca="1" si="179"/>
        <v>0</v>
      </c>
      <c r="CF104" s="15">
        <f t="shared" ca="1" si="180"/>
        <v>0</v>
      </c>
      <c r="CG104" s="286">
        <f t="shared" ca="1" si="181"/>
        <v>0</v>
      </c>
      <c r="CH104" s="15">
        <f t="shared" ca="1" si="182"/>
        <v>0</v>
      </c>
      <c r="CI104" s="288">
        <f t="shared" ca="1" si="183"/>
        <v>0</v>
      </c>
      <c r="CJ104" s="15">
        <f t="shared" ca="1" si="184"/>
        <v>0</v>
      </c>
      <c r="CK104" s="15">
        <f t="shared" ca="1" si="185"/>
        <v>0</v>
      </c>
      <c r="CL104" s="15">
        <f t="shared" ca="1" si="186"/>
        <v>0</v>
      </c>
      <c r="CM104" s="313">
        <f t="shared" ca="1" si="187"/>
        <v>1</v>
      </c>
      <c r="CO104" s="320">
        <f t="shared" ca="1" si="221"/>
        <v>93</v>
      </c>
      <c r="CP104" s="22">
        <f ca="1">COUNTIFS($C$10:$C103,"&lt;"&amp;$C104,$M$10:$M103,$D104&amp;"_"&amp;CP$9)</f>
        <v>0</v>
      </c>
      <c r="CQ104" s="7">
        <f ca="1">COUNTIFS($C$10:$C103,"&lt;"&amp;$C104,$M$10:$M103,$D104&amp;"_"&amp;CQ$9)</f>
        <v>0</v>
      </c>
      <c r="CR104" s="7">
        <f ca="1">COUNTIFS($C$10:$C103,"&lt;"&amp;$C104,$M$10:$M103,$D104&amp;"_"&amp;CR$9)</f>
        <v>0</v>
      </c>
      <c r="CS104" s="17">
        <f ca="1">COUNTIFS($C$10:$C103,"&lt;"&amp;$C104,$M$10:$M103,$D104&amp;"_"&amp;CS$9)</f>
        <v>0</v>
      </c>
      <c r="CT104" s="7">
        <f ca="1">COUNTIFS($C$10:$C103,"&lt;"&amp;$C104,$M$10:$M103,$D104&amp;"_"&amp;CT$9)</f>
        <v>0</v>
      </c>
      <c r="CU104" s="18">
        <f ca="1">COUNTIFS($C$10:$C103,"&lt;"&amp;$C104,$M$10:$M103,$D104&amp;"_"&amp;CU$9)</f>
        <v>0</v>
      </c>
      <c r="CV104" s="7">
        <f ca="1">COUNTIFS($C$10:$C103,"&lt;"&amp;$C104,$M$10:$M103,$D104&amp;"_"&amp;CV$9)</f>
        <v>0</v>
      </c>
      <c r="CW104" s="7">
        <f ca="1">COUNTIFS($C$10:$C103,"&lt;"&amp;$C104,$M$10:$M103,$D104&amp;"_"&amp;CW$9)</f>
        <v>0</v>
      </c>
      <c r="CX104" s="7">
        <f ca="1">COUNTIFS($C$10:$C103,"&lt;"&amp;$C104,$M$10:$M103,$D104&amp;"_"&amp;CX$9)</f>
        <v>0</v>
      </c>
      <c r="CY104" s="221">
        <f ca="1">COUNTIFS($C$10:$C103,"&lt;"&amp;$C104,$M$10:$M103,$D104&amp;"_"&amp;CY$9)</f>
        <v>93</v>
      </c>
      <c r="DA104" s="20"/>
      <c r="DB104" s="308">
        <f ca="1">IF(CP104=0,0,SUMIFS($P$10:$P103, $C$10:$C103,"&lt;"&amp;$C104, $M$10:$M103,$D104&amp;"_"&amp;DB$9)/CP104)</f>
        <v>0</v>
      </c>
      <c r="DC104" s="263">
        <f ca="1">IF(CQ104=0,0,SUMIFS($P$10:$P103, $C$10:$C103,"&lt;"&amp;$C104, $M$10:$M103,$D104&amp;"_"&amp;DC$9)/CQ104)</f>
        <v>0</v>
      </c>
      <c r="DD104" s="263">
        <f ca="1">IF(CR104=0,0,SUMIFS($P$10:$P103, $C$10:$C103,"&lt;"&amp;$C104, $M$10:$M103,$D104&amp;"_"&amp;DD$9)/CR104)</f>
        <v>0</v>
      </c>
      <c r="DE104" s="262">
        <f ca="1">IF(CS104=0,0,SUMIFS($P$10:$P103, $C$10:$C103,"&lt;"&amp;$C104, $M$10:$M103,$D104&amp;"_"&amp;DE$9)/CS104)</f>
        <v>0</v>
      </c>
      <c r="DF104" s="263">
        <f ca="1">IF(CT104=0,0,SUMIFS($P$10:$P103, $C$10:$C103,"&lt;"&amp;$C104, $M$10:$M103,$D104&amp;"_"&amp;DF$9)/CT104)</f>
        <v>0</v>
      </c>
      <c r="DG104" s="310">
        <f ca="1">IF(CU104=0,0,SUMIFS($P$10:$P103, $C$10:$C103,"&lt;"&amp;$C104, $M$10:$M103,$D104&amp;"_"&amp;DG$9)/CU104)</f>
        <v>0</v>
      </c>
      <c r="DH104" s="263">
        <f ca="1">IF(CV104=0,0,SUMIFS($P$10:$P103, $C$10:$C103,"&lt;"&amp;$C104, $M$10:$M103,$D104&amp;"_"&amp;DH$9)/CV104)</f>
        <v>0</v>
      </c>
      <c r="DI104" s="263">
        <f ca="1">IF(CW104=0,0,SUMIFS($P$10:$P103, $C$10:$C103,"&lt;"&amp;$C104, $M$10:$M103,$D104&amp;"_"&amp;DI$9)/CW104)</f>
        <v>0</v>
      </c>
      <c r="DJ104" s="264">
        <f ca="1">IF(CX104=0,0,SUMIFS($P$10:$P103, $C$10:$C103,"&lt;"&amp;$C104, $M$10:$M103,$D104&amp;"_"&amp;DJ$9)/CX104)</f>
        <v>0</v>
      </c>
      <c r="DK104" s="264">
        <f ca="1">IF(CY104=0,0,SUMIFS($P$10:$P103, $C$10:$C103,"&lt;"&amp;$C104, $M$10:$M103,$D104&amp;"_"&amp;DK$9)/CY104)</f>
        <v>-1</v>
      </c>
      <c r="DM104" s="104"/>
      <c r="DN104" s="306">
        <f t="shared" ca="1" si="222"/>
        <v>-9999</v>
      </c>
      <c r="DO104" s="15">
        <f t="shared" ca="1" si="188"/>
        <v>-9999</v>
      </c>
      <c r="DP104" s="15">
        <f t="shared" ca="1" si="189"/>
        <v>-9999</v>
      </c>
      <c r="DQ104" s="15">
        <f t="shared" ca="1" si="190"/>
        <v>-9999</v>
      </c>
      <c r="DR104" s="15">
        <f t="shared" ca="1" si="191"/>
        <v>-9999</v>
      </c>
      <c r="DS104" s="15">
        <f t="shared" ca="1" si="192"/>
        <v>-9999</v>
      </c>
      <c r="DT104" s="15">
        <f t="shared" ca="1" si="193"/>
        <v>-9999</v>
      </c>
      <c r="DU104" s="15">
        <f t="shared" ca="1" si="194"/>
        <v>-9999</v>
      </c>
      <c r="DV104" s="52">
        <f t="shared" ca="1" si="195"/>
        <v>-9999</v>
      </c>
      <c r="DW104" s="313">
        <f t="shared" ca="1" si="196"/>
        <v>-0.89740797062773447</v>
      </c>
      <c r="DX104" s="52"/>
      <c r="DY104" s="402">
        <f t="shared" ca="1" si="223"/>
        <v>9</v>
      </c>
      <c r="ED104" s="19">
        <f t="shared" ca="1" si="197"/>
        <v>-1</v>
      </c>
      <c r="EE104" s="1">
        <f t="shared" ca="1" si="198"/>
        <v>1</v>
      </c>
      <c r="EF104" s="1">
        <f t="shared" ca="1" si="199"/>
        <v>-1</v>
      </c>
      <c r="EG104" s="2">
        <f t="shared" ca="1" si="200"/>
        <v>1</v>
      </c>
      <c r="EH104" s="1">
        <f t="shared" ca="1" si="201"/>
        <v>-1</v>
      </c>
      <c r="EI104" s="3">
        <f t="shared" ca="1" si="202"/>
        <v>1</v>
      </c>
      <c r="EJ104" s="1">
        <f t="shared" ca="1" si="203"/>
        <v>0</v>
      </c>
      <c r="EK104" s="1">
        <f t="shared" ca="1" si="204"/>
        <v>0</v>
      </c>
      <c r="EL104" s="20">
        <f t="shared" ca="1" si="205"/>
        <v>-1</v>
      </c>
      <c r="EN104" s="86">
        <f ca="1">MAX(0, SUMPRODUCT($ED104:$EL104,OFFSET(DNN!$E$9:$M$9,EN$9,0)) + OFFSET(DNN!$D$9,EN$9,0))</f>
        <v>0</v>
      </c>
      <c r="EO104" s="84">
        <f ca="1">MAX(0, SUMPRODUCT($ED104:$EL104,OFFSET(DNN!$E$9:$M$9,EO$9,0)) + OFFSET(DNN!$D$9,EO$9,0))</f>
        <v>7.2346022384755949E-3</v>
      </c>
      <c r="EP104" s="84">
        <f ca="1">MAX(0, SUMPRODUCT($ED104:$EL104,OFFSET(DNN!$E$9:$M$9,EP$9,0)) + OFFSET(DNN!$D$9,EP$9,0))</f>
        <v>3.6951849750035152E-3</v>
      </c>
      <c r="EQ104" s="84">
        <f ca="1">MAX(0, SUMPRODUCT($ED104:$EL104,OFFSET(DNN!$E$9:$M$9,EQ$9,0)) + OFFSET(DNN!$D$9,EQ$9,0))</f>
        <v>0</v>
      </c>
      <c r="ER104" s="85">
        <f ca="1">MAX(0, SUMPRODUCT($ED104:$EL104,OFFSET(DNN!$E$9:$M$9,ER$9,0)) + OFFSET(DNN!$D$9,ER$9,0))</f>
        <v>0</v>
      </c>
      <c r="ET104" s="86">
        <f ca="1">MAX(0, SUMPRODUCT($EN104:$ER104,OFFSET(DNN!$Q$9:$U$9,ET$9,0)) + OFFSET(DNN!$P$9,ET$9,0))</f>
        <v>4.3954959453478351E-4</v>
      </c>
      <c r="EU104" s="84">
        <f ca="1">MAX(0, SUMPRODUCT($EN104:$ER104,OFFSET(DNN!$Q$9:$U$9,EU$9,0)) + OFFSET(DNN!$P$9,EU$9,0))</f>
        <v>0</v>
      </c>
      <c r="EV104" s="84">
        <f ca="1">MAX(0, SUMPRODUCT($EN104:$ER104,OFFSET(DNN!$Q$9:$U$9,EV$9,0)) + OFFSET(DNN!$P$9,EV$9,0))</f>
        <v>1.2810123361902579E-3</v>
      </c>
      <c r="EW104" s="84">
        <f ca="1">MAX(0, SUMPRODUCT($EN104:$ER104,OFFSET(DNN!$Q$9:$U$9,EW$9,0)) + OFFSET(DNN!$P$9,EW$9,0))</f>
        <v>7.8382123007882457E-4</v>
      </c>
      <c r="EX104" s="85">
        <f ca="1">MAX(0, SUMPRODUCT($EN104:$ER104,OFFSET(DNN!$Q$9:$U$9,EX$9,0)) + OFFSET(DNN!$P$9,EX$9,0))</f>
        <v>0</v>
      </c>
      <c r="EZ104" s="111">
        <f ca="1">SUMPRODUCT($ET104:$EX104,OFFSET(DNN!$Y$9:$AC$9,EZ$9,0)) + OFFSET(DNN!$X$9,EZ$9,0)</f>
        <v>0.43031618918982212</v>
      </c>
      <c r="FA104" s="97">
        <f ca="1">SUMPRODUCT($ET104:$EX104,OFFSET(DNN!$Y$9:$AC$9,FA$9,0)) + OFFSET(DNN!$X$9,FA$9,0)</f>
        <v>-1.2643439935754107E-5</v>
      </c>
      <c r="FB104" s="97">
        <f ca="1">SUMPRODUCT($ET104:$EX104,OFFSET(DNN!$Y$9:$AC$9,FB$9,0)) + OFFSET(DNN!$X$9,FB$9,0)</f>
        <v>1.5239793458415756E-2</v>
      </c>
      <c r="FC104" s="97">
        <f ca="1">SUMPRODUCT($ET104:$EX104,OFFSET(DNN!$Y$9:$AC$9,FC$9,0)) + OFFSET(DNN!$X$9,FC$9,0)</f>
        <v>-8.8749521084055777E-4</v>
      </c>
      <c r="FD104" s="97">
        <f ca="1">SUMPRODUCT($ET104:$EX104,OFFSET(DNN!$Y$9:$AC$9,FD$9,0)) + OFFSET(DNN!$X$9,FD$9,0)</f>
        <v>-4.235816470721872E-4</v>
      </c>
      <c r="FE104" s="97">
        <f ca="1">SUMPRODUCT($ET104:$EX104,OFFSET(DNN!$Y$9:$AC$9,FE$9,0)) + OFFSET(DNN!$X$9,FE$9,0)</f>
        <v>-1.574182761064886E-5</v>
      </c>
      <c r="FF104" s="97">
        <f ca="1">SUMPRODUCT($ET104:$EX104,OFFSET(DNN!$Y$9:$AC$9,FF$9,0)) + OFFSET(DNN!$X$9,FF$9,0)</f>
        <v>-1.3491460223194656E-3</v>
      </c>
      <c r="FG104" s="97">
        <f ca="1">SUMPRODUCT($ET104:$EX104,OFFSET(DNN!$Y$9:$AC$9,FG$9,0)) + OFFSET(DNN!$X$9,FG$9,0)</f>
        <v>-6.2604808096248285E-2</v>
      </c>
      <c r="FH104" s="97">
        <f ca="1">SUMPRODUCT($ET104:$EX104,OFFSET(DNN!$Y$9:$AC$9,FH$9,0)) + OFFSET(DNN!$X$9,FH$9,0)</f>
        <v>8.6810016937029894E-4</v>
      </c>
      <c r="FI104" s="108">
        <f ca="1">SUMPRODUCT($ET104:$EX104,OFFSET(DNN!$Y$9:$AC$9,FI$9,0)) + OFFSET(DNN!$X$9,FI$9,0)</f>
        <v>-1.3182687612562751</v>
      </c>
      <c r="FJ104" s="98">
        <f ca="1">SUMPRODUCT($ET104:$EX104,OFFSET(DNN!$Y$9:$AC$9,FJ$9,0)) + OFFSET(DNN!$X$9,FJ$9,0)</f>
        <v>-2.2535161745939301E-5</v>
      </c>
      <c r="FL104" s="415">
        <f t="shared" ca="1" si="224"/>
        <v>0.43031618918982212</v>
      </c>
      <c r="FM104" s="130">
        <f t="shared" ca="1" si="225"/>
        <v>1</v>
      </c>
      <c r="FN104" s="131">
        <f t="shared" ca="1" si="226"/>
        <v>0.65029522127322903</v>
      </c>
      <c r="FO104" s="131">
        <f t="shared" ca="1" si="227"/>
        <v>0.66028983545318687</v>
      </c>
      <c r="FP104" s="131">
        <f t="shared" ca="1" si="228"/>
        <v>0.64972655813153501</v>
      </c>
      <c r="FQ104" s="131">
        <f t="shared" ca="1" si="229"/>
        <v>0.65002804502111444</v>
      </c>
      <c r="FR104" s="131">
        <f t="shared" ca="1" si="230"/>
        <v>0.65029320640965171</v>
      </c>
      <c r="FS104" s="131">
        <f t="shared" ca="1" si="231"/>
        <v>0.64942668056342145</v>
      </c>
      <c r="FT104" s="131">
        <f t="shared" ca="1" si="232"/>
        <v>0.61083952513994022</v>
      </c>
      <c r="FU104" s="132">
        <f t="shared" ca="1" si="233"/>
        <v>0.6508682169276182</v>
      </c>
      <c r="FV104" s="131">
        <f t="shared" ca="1" si="234"/>
        <v>0.17402001625314881</v>
      </c>
      <c r="FW104" s="83">
        <f t="shared" ca="1" si="235"/>
        <v>-2.2535161742124597E-5</v>
      </c>
    </row>
    <row r="105" spans="1:179">
      <c r="A105" s="19">
        <f t="shared" si="240"/>
        <v>95</v>
      </c>
      <c r="B105" s="1">
        <f t="shared" ca="1" si="236"/>
        <v>0</v>
      </c>
      <c r="C105" s="20">
        <f t="shared" ca="1" si="237"/>
        <v>95</v>
      </c>
      <c r="D105" s="19" t="str">
        <f t="shared" ca="1" si="238"/>
        <v>〇×〇×〇×--〇</v>
      </c>
      <c r="E105" s="7">
        <f t="shared" ca="1" si="206"/>
        <v>9</v>
      </c>
      <c r="F105" s="7">
        <f t="shared" ca="1" si="207"/>
        <v>1</v>
      </c>
      <c r="G105" s="1" t="str">
        <f t="shared" ca="1" si="139"/>
        <v>〇×〇×〇×--〇</v>
      </c>
      <c r="H105" s="20" t="b">
        <f t="shared" ca="1" si="140"/>
        <v>1</v>
      </c>
      <c r="I105" s="22">
        <f t="shared" ca="1" si="239"/>
        <v>-1</v>
      </c>
      <c r="J105" s="1" t="b">
        <f ca="1">(1&lt;COUNTIF(D$10:D105,D105))</f>
        <v>1</v>
      </c>
      <c r="K105" s="1" t="b">
        <f t="shared" ca="1" si="141"/>
        <v>1</v>
      </c>
      <c r="L105" s="7">
        <f ca="1">MATCH(TRUE,K105:K$1048576,FALSE)-1</f>
        <v>0</v>
      </c>
      <c r="M105" s="24" t="str">
        <f t="shared" ca="1" si="142"/>
        <v>〇×〇×〇×--〇_9</v>
      </c>
      <c r="N105" s="25">
        <f t="shared" ca="1" si="208"/>
        <v>-2.2535161742124597E-5</v>
      </c>
      <c r="O105" s="26">
        <f t="shared" ca="1" si="209"/>
        <v>-1</v>
      </c>
      <c r="P105" s="27">
        <f t="shared" ca="1" si="210"/>
        <v>-1</v>
      </c>
      <c r="R105" s="41" t="str">
        <f ca="1">VLOOKUP(S105,cvt!$B$2:$C$4,2,FALSE)&amp;VLOOKUP(T105,cvt!$B$2:$C$4,2,FALSE)&amp;VLOOKUP(U105,cvt!$B$2:$C$4,2,FALSE)
&amp;VLOOKUP(V105,cvt!$B$2:$C$4,2,FALSE)&amp;VLOOKUP(W105,cvt!$B$2:$C$4,2,FALSE)&amp;VLOOKUP(X105,cvt!$B$2:$C$4,2,FALSE)
&amp;VLOOKUP(Y105,cvt!$B$2:$C$4,2,FALSE)&amp;VLOOKUP(Z105,cvt!$B$2:$C$4,2,FALSE)&amp;VLOOKUP(AA105,cvt!$B$2:$C$4,2,FALSE)</f>
        <v>〇×〇×〇×--〇</v>
      </c>
      <c r="S105" s="7">
        <f ca="1">VLOOKUP(MID($D105,S$9+1,1), cvt!$A$2:$B$4,2, FALSE)</f>
        <v>1</v>
      </c>
      <c r="T105" s="7">
        <f ca="1">VLOOKUP(MID($D105,T$9+1,1), cvt!$A$2:$B$4,2, FALSE)</f>
        <v>-1</v>
      </c>
      <c r="U105" s="7">
        <f ca="1">VLOOKUP(MID($D105,U$9+1,1), cvt!$A$2:$B$4,2, FALSE)</f>
        <v>1</v>
      </c>
      <c r="V105" s="17">
        <f ca="1">VLOOKUP(MID($D105,V$9+1,1), cvt!$A$2:$B$4,2, FALSE)</f>
        <v>-1</v>
      </c>
      <c r="W105" s="7">
        <f ca="1">VLOOKUP(MID($D105,W$9+1,1), cvt!$A$2:$B$4,2, FALSE)</f>
        <v>1</v>
      </c>
      <c r="X105" s="18">
        <f ca="1">VLOOKUP(MID($D105,X$9+1,1), cvt!$A$2:$B$4,2, FALSE)</f>
        <v>-1</v>
      </c>
      <c r="Y105" s="7">
        <f ca="1">VLOOKUP(MID($D105,Y$9+1,1), cvt!$A$2:$B$4,2, FALSE)</f>
        <v>0</v>
      </c>
      <c r="Z105" s="7">
        <f ca="1">VLOOKUP(MID($D105,Z$9+1,1), cvt!$A$2:$B$4,2, FALSE)</f>
        <v>0</v>
      </c>
      <c r="AA105" s="42">
        <f ca="1">VLOOKUP(MID($D105,AA$9+1,1), cvt!$A$2:$B$4,2, FALSE)</f>
        <v>1</v>
      </c>
      <c r="AB105" s="7">
        <f t="shared" ca="1" si="211"/>
        <v>1</v>
      </c>
      <c r="AC105" s="50" t="b">
        <f t="shared" ca="1" si="212"/>
        <v>1</v>
      </c>
      <c r="AE105" s="19" t="str">
        <f ca="1">VLOOKUP(AF105,cvt!$B$2:$C$4,2,FALSE)&amp;VLOOKUP(AG105,cvt!$B$2:$C$4,2,FALSE)&amp;VLOOKUP(AH105,cvt!$B$2:$C$4,2,FALSE)
&amp;VLOOKUP(AI105,cvt!$B$2:$C$4,2,FALSE)&amp;VLOOKUP(AJ105,cvt!$B$2:$C$4,2,FALSE)&amp;VLOOKUP(AK105,cvt!$B$2:$C$4,2,FALSE)
&amp;VLOOKUP(AL105,cvt!$B$2:$C$4,2,FALSE)&amp;VLOOKUP(AM105,cvt!$B$2:$C$4,2,FALSE)&amp;VLOOKUP(AN105,cvt!$B$2:$C$4,2,FALSE)</f>
        <v>〇×〇×〇×--〇</v>
      </c>
      <c r="AF105" s="17">
        <f t="shared" ca="1" si="143"/>
        <v>1</v>
      </c>
      <c r="AG105" s="7">
        <f t="shared" ca="1" si="144"/>
        <v>-1</v>
      </c>
      <c r="AH105" s="7">
        <f t="shared" ca="1" si="145"/>
        <v>1</v>
      </c>
      <c r="AI105" s="17">
        <f t="shared" ca="1" si="146"/>
        <v>-1</v>
      </c>
      <c r="AJ105" s="7">
        <f t="shared" ca="1" si="147"/>
        <v>1</v>
      </c>
      <c r="AK105" s="18">
        <f t="shared" ca="1" si="148"/>
        <v>-1</v>
      </c>
      <c r="AL105" s="7">
        <f t="shared" ca="1" si="149"/>
        <v>0</v>
      </c>
      <c r="AM105" s="7">
        <f t="shared" ca="1" si="150"/>
        <v>0</v>
      </c>
      <c r="AN105" s="18">
        <f t="shared" ca="1" si="151"/>
        <v>1</v>
      </c>
      <c r="AO105" s="7">
        <f t="shared" ca="1" si="213"/>
        <v>1</v>
      </c>
      <c r="AP105" s="50" t="b">
        <f t="shared" ca="1" si="152"/>
        <v>1</v>
      </c>
      <c r="AS105" s="22">
        <f t="shared" ca="1" si="214"/>
        <v>0</v>
      </c>
      <c r="AT105" s="7">
        <f t="shared" ca="1" si="153"/>
        <v>0</v>
      </c>
      <c r="AU105" s="7">
        <f t="shared" ca="1" si="154"/>
        <v>0</v>
      </c>
      <c r="AV105" s="7">
        <f t="shared" ca="1" si="155"/>
        <v>0</v>
      </c>
      <c r="AW105" s="7">
        <f t="shared" ca="1" si="156"/>
        <v>0</v>
      </c>
      <c r="AX105" s="7">
        <f t="shared" ca="1" si="157"/>
        <v>0</v>
      </c>
      <c r="AY105" s="7">
        <f t="shared" ca="1" si="158"/>
        <v>0</v>
      </c>
      <c r="AZ105" s="7">
        <f t="shared" ca="1" si="159"/>
        <v>0</v>
      </c>
      <c r="BA105" s="18">
        <f t="shared" ca="1" si="160"/>
        <v>0</v>
      </c>
      <c r="BB105" s="295">
        <f t="shared" ca="1" si="215"/>
        <v>1</v>
      </c>
      <c r="BD105" s="132"/>
      <c r="BE105" s="297">
        <f t="shared" ca="1" si="216"/>
        <v>1</v>
      </c>
      <c r="BF105" s="298">
        <f t="shared" ca="1" si="161"/>
        <v>0.65029522127322903</v>
      </c>
      <c r="BG105" s="298">
        <f t="shared" ca="1" si="162"/>
        <v>0.66028983545318687</v>
      </c>
      <c r="BH105" s="318">
        <f t="shared" ca="1" si="163"/>
        <v>0.64972655813153501</v>
      </c>
      <c r="BI105" s="298">
        <f t="shared" ca="1" si="164"/>
        <v>0.65002804502111444</v>
      </c>
      <c r="BJ105" s="299">
        <f t="shared" ca="1" si="165"/>
        <v>0.65029320640965171</v>
      </c>
      <c r="BK105" s="298">
        <f t="shared" ca="1" si="166"/>
        <v>0.64942668056342145</v>
      </c>
      <c r="BL105" s="298">
        <f t="shared" ca="1" si="167"/>
        <v>0.61083952513994022</v>
      </c>
      <c r="BM105" s="299">
        <f t="shared" ca="1" si="168"/>
        <v>0.6508682169276182</v>
      </c>
      <c r="BN105" s="295">
        <f t="shared" ca="1" si="169"/>
        <v>0.17402001625314881</v>
      </c>
      <c r="BO105" s="248">
        <f t="shared" ca="1" si="217"/>
        <v>-2.2535161742124597E-5</v>
      </c>
      <c r="BQ105" s="304">
        <f t="shared" ca="1" si="218"/>
        <v>0.42412001625314877</v>
      </c>
      <c r="BR105" s="297">
        <f t="shared" ca="1" si="219"/>
        <v>0</v>
      </c>
      <c r="BS105" s="298">
        <f t="shared" ca="1" si="170"/>
        <v>0</v>
      </c>
      <c r="BT105" s="298">
        <f t="shared" ca="1" si="171"/>
        <v>0</v>
      </c>
      <c r="BU105" s="318">
        <f t="shared" ca="1" si="172"/>
        <v>0</v>
      </c>
      <c r="BV105" s="298">
        <f t="shared" ca="1" si="173"/>
        <v>0</v>
      </c>
      <c r="BW105" s="299">
        <f t="shared" ca="1" si="174"/>
        <v>0</v>
      </c>
      <c r="BX105" s="298">
        <f t="shared" ca="1" si="175"/>
        <v>0</v>
      </c>
      <c r="BY105" s="298">
        <f t="shared" ca="1" si="176"/>
        <v>0</v>
      </c>
      <c r="BZ105" s="298">
        <f t="shared" ca="1" si="177"/>
        <v>0</v>
      </c>
      <c r="CA105" s="315">
        <f t="shared" ca="1" si="178"/>
        <v>0.42412001625314877</v>
      </c>
      <c r="CC105" s="52"/>
      <c r="CD105" s="306">
        <f t="shared" ca="1" si="220"/>
        <v>0</v>
      </c>
      <c r="CE105" s="15">
        <f t="shared" ca="1" si="179"/>
        <v>0</v>
      </c>
      <c r="CF105" s="15">
        <f t="shared" ca="1" si="180"/>
        <v>0</v>
      </c>
      <c r="CG105" s="286">
        <f t="shared" ca="1" si="181"/>
        <v>0</v>
      </c>
      <c r="CH105" s="15">
        <f t="shared" ca="1" si="182"/>
        <v>0</v>
      </c>
      <c r="CI105" s="288">
        <f t="shared" ca="1" si="183"/>
        <v>0</v>
      </c>
      <c r="CJ105" s="15">
        <f t="shared" ca="1" si="184"/>
        <v>0</v>
      </c>
      <c r="CK105" s="15">
        <f t="shared" ca="1" si="185"/>
        <v>0</v>
      </c>
      <c r="CL105" s="15">
        <f t="shared" ca="1" si="186"/>
        <v>0</v>
      </c>
      <c r="CM105" s="313">
        <f t="shared" ca="1" si="187"/>
        <v>1</v>
      </c>
      <c r="CO105" s="320">
        <f t="shared" ca="1" si="221"/>
        <v>94</v>
      </c>
      <c r="CP105" s="22">
        <f ca="1">COUNTIFS($C$10:$C104,"&lt;"&amp;$C105,$M$10:$M104,$D105&amp;"_"&amp;CP$9)</f>
        <v>0</v>
      </c>
      <c r="CQ105" s="7">
        <f ca="1">COUNTIFS($C$10:$C104,"&lt;"&amp;$C105,$M$10:$M104,$D105&amp;"_"&amp;CQ$9)</f>
        <v>0</v>
      </c>
      <c r="CR105" s="7">
        <f ca="1">COUNTIFS($C$10:$C104,"&lt;"&amp;$C105,$M$10:$M104,$D105&amp;"_"&amp;CR$9)</f>
        <v>0</v>
      </c>
      <c r="CS105" s="17">
        <f ca="1">COUNTIFS($C$10:$C104,"&lt;"&amp;$C105,$M$10:$M104,$D105&amp;"_"&amp;CS$9)</f>
        <v>0</v>
      </c>
      <c r="CT105" s="7">
        <f ca="1">COUNTIFS($C$10:$C104,"&lt;"&amp;$C105,$M$10:$M104,$D105&amp;"_"&amp;CT$9)</f>
        <v>0</v>
      </c>
      <c r="CU105" s="18">
        <f ca="1">COUNTIFS($C$10:$C104,"&lt;"&amp;$C105,$M$10:$M104,$D105&amp;"_"&amp;CU$9)</f>
        <v>0</v>
      </c>
      <c r="CV105" s="7">
        <f ca="1">COUNTIFS($C$10:$C104,"&lt;"&amp;$C105,$M$10:$M104,$D105&amp;"_"&amp;CV$9)</f>
        <v>0</v>
      </c>
      <c r="CW105" s="7">
        <f ca="1">COUNTIFS($C$10:$C104,"&lt;"&amp;$C105,$M$10:$M104,$D105&amp;"_"&amp;CW$9)</f>
        <v>0</v>
      </c>
      <c r="CX105" s="7">
        <f ca="1">COUNTIFS($C$10:$C104,"&lt;"&amp;$C105,$M$10:$M104,$D105&amp;"_"&amp;CX$9)</f>
        <v>0</v>
      </c>
      <c r="CY105" s="221">
        <f ca="1">COUNTIFS($C$10:$C104,"&lt;"&amp;$C105,$M$10:$M104,$D105&amp;"_"&amp;CY$9)</f>
        <v>94</v>
      </c>
      <c r="DA105" s="20"/>
      <c r="DB105" s="308">
        <f ca="1">IF(CP105=0,0,SUMIFS($P$10:$P104, $C$10:$C104,"&lt;"&amp;$C105, $M$10:$M104,$D105&amp;"_"&amp;DB$9)/CP105)</f>
        <v>0</v>
      </c>
      <c r="DC105" s="263">
        <f ca="1">IF(CQ105=0,0,SUMIFS($P$10:$P104, $C$10:$C104,"&lt;"&amp;$C105, $M$10:$M104,$D105&amp;"_"&amp;DC$9)/CQ105)</f>
        <v>0</v>
      </c>
      <c r="DD105" s="263">
        <f ca="1">IF(CR105=0,0,SUMIFS($P$10:$P104, $C$10:$C104,"&lt;"&amp;$C105, $M$10:$M104,$D105&amp;"_"&amp;DD$9)/CR105)</f>
        <v>0</v>
      </c>
      <c r="DE105" s="262">
        <f ca="1">IF(CS105=0,0,SUMIFS($P$10:$P104, $C$10:$C104,"&lt;"&amp;$C105, $M$10:$M104,$D105&amp;"_"&amp;DE$9)/CS105)</f>
        <v>0</v>
      </c>
      <c r="DF105" s="263">
        <f ca="1">IF(CT105=0,0,SUMIFS($P$10:$P104, $C$10:$C104,"&lt;"&amp;$C105, $M$10:$M104,$D105&amp;"_"&amp;DF$9)/CT105)</f>
        <v>0</v>
      </c>
      <c r="DG105" s="310">
        <f ca="1">IF(CU105=0,0,SUMIFS($P$10:$P104, $C$10:$C104,"&lt;"&amp;$C105, $M$10:$M104,$D105&amp;"_"&amp;DG$9)/CU105)</f>
        <v>0</v>
      </c>
      <c r="DH105" s="263">
        <f ca="1">IF(CV105=0,0,SUMIFS($P$10:$P104, $C$10:$C104,"&lt;"&amp;$C105, $M$10:$M104,$D105&amp;"_"&amp;DH$9)/CV105)</f>
        <v>0</v>
      </c>
      <c r="DI105" s="263">
        <f ca="1">IF(CW105=0,0,SUMIFS($P$10:$P104, $C$10:$C104,"&lt;"&amp;$C105, $M$10:$M104,$D105&amp;"_"&amp;DI$9)/CW105)</f>
        <v>0</v>
      </c>
      <c r="DJ105" s="264">
        <f ca="1">IF(CX105=0,0,SUMIFS($P$10:$P104, $C$10:$C104,"&lt;"&amp;$C105, $M$10:$M104,$D105&amp;"_"&amp;DJ$9)/CX105)</f>
        <v>0</v>
      </c>
      <c r="DK105" s="264">
        <f ca="1">IF(CY105=0,0,SUMIFS($P$10:$P104, $C$10:$C104,"&lt;"&amp;$C105, $M$10:$M104,$D105&amp;"_"&amp;DK$9)/CY105)</f>
        <v>-1</v>
      </c>
      <c r="DM105" s="104"/>
      <c r="DN105" s="306">
        <f t="shared" ca="1" si="222"/>
        <v>-9999</v>
      </c>
      <c r="DO105" s="15">
        <f t="shared" ca="1" si="188"/>
        <v>-9999</v>
      </c>
      <c r="DP105" s="15">
        <f t="shared" ca="1" si="189"/>
        <v>-9999</v>
      </c>
      <c r="DQ105" s="15">
        <f t="shared" ca="1" si="190"/>
        <v>-9999</v>
      </c>
      <c r="DR105" s="15">
        <f t="shared" ca="1" si="191"/>
        <v>-9999</v>
      </c>
      <c r="DS105" s="15">
        <f t="shared" ca="1" si="192"/>
        <v>-9999</v>
      </c>
      <c r="DT105" s="15">
        <f t="shared" ca="1" si="193"/>
        <v>-9999</v>
      </c>
      <c r="DU105" s="15">
        <f t="shared" ca="1" si="194"/>
        <v>-9999</v>
      </c>
      <c r="DV105" s="52">
        <f t="shared" ca="1" si="195"/>
        <v>-9999</v>
      </c>
      <c r="DW105" s="313">
        <f t="shared" ca="1" si="196"/>
        <v>-0.89794358194912993</v>
      </c>
      <c r="DX105" s="52"/>
      <c r="DY105" s="402">
        <f t="shared" ca="1" si="223"/>
        <v>9</v>
      </c>
      <c r="ED105" s="19">
        <f t="shared" ca="1" si="197"/>
        <v>-1</v>
      </c>
      <c r="EE105" s="1">
        <f t="shared" ca="1" si="198"/>
        <v>1</v>
      </c>
      <c r="EF105" s="1">
        <f t="shared" ca="1" si="199"/>
        <v>-1</v>
      </c>
      <c r="EG105" s="2">
        <f t="shared" ca="1" si="200"/>
        <v>1</v>
      </c>
      <c r="EH105" s="1">
        <f t="shared" ca="1" si="201"/>
        <v>-1</v>
      </c>
      <c r="EI105" s="3">
        <f t="shared" ca="1" si="202"/>
        <v>1</v>
      </c>
      <c r="EJ105" s="1">
        <f t="shared" ca="1" si="203"/>
        <v>0</v>
      </c>
      <c r="EK105" s="1">
        <f t="shared" ca="1" si="204"/>
        <v>0</v>
      </c>
      <c r="EL105" s="20">
        <f t="shared" ca="1" si="205"/>
        <v>-1</v>
      </c>
      <c r="EN105" s="86">
        <f ca="1">MAX(0, SUMPRODUCT($ED105:$EL105,OFFSET(DNN!$E$9:$M$9,EN$9,0)) + OFFSET(DNN!$D$9,EN$9,0))</f>
        <v>0</v>
      </c>
      <c r="EO105" s="84">
        <f ca="1">MAX(0, SUMPRODUCT($ED105:$EL105,OFFSET(DNN!$E$9:$M$9,EO$9,0)) + OFFSET(DNN!$D$9,EO$9,0))</f>
        <v>7.2346022384755949E-3</v>
      </c>
      <c r="EP105" s="84">
        <f ca="1">MAX(0, SUMPRODUCT($ED105:$EL105,OFFSET(DNN!$E$9:$M$9,EP$9,0)) + OFFSET(DNN!$D$9,EP$9,0))</f>
        <v>3.6951849750035152E-3</v>
      </c>
      <c r="EQ105" s="84">
        <f ca="1">MAX(0, SUMPRODUCT($ED105:$EL105,OFFSET(DNN!$E$9:$M$9,EQ$9,0)) + OFFSET(DNN!$D$9,EQ$9,0))</f>
        <v>0</v>
      </c>
      <c r="ER105" s="85">
        <f ca="1">MAX(0, SUMPRODUCT($ED105:$EL105,OFFSET(DNN!$E$9:$M$9,ER$9,0)) + OFFSET(DNN!$D$9,ER$9,0))</f>
        <v>0</v>
      </c>
      <c r="ET105" s="86">
        <f ca="1">MAX(0, SUMPRODUCT($EN105:$ER105,OFFSET(DNN!$Q$9:$U$9,ET$9,0)) + OFFSET(DNN!$P$9,ET$9,0))</f>
        <v>4.3954959453478351E-4</v>
      </c>
      <c r="EU105" s="84">
        <f ca="1">MAX(0, SUMPRODUCT($EN105:$ER105,OFFSET(DNN!$Q$9:$U$9,EU$9,0)) + OFFSET(DNN!$P$9,EU$9,0))</f>
        <v>0</v>
      </c>
      <c r="EV105" s="84">
        <f ca="1">MAX(0, SUMPRODUCT($EN105:$ER105,OFFSET(DNN!$Q$9:$U$9,EV$9,0)) + OFFSET(DNN!$P$9,EV$9,0))</f>
        <v>1.2810123361902579E-3</v>
      </c>
      <c r="EW105" s="84">
        <f ca="1">MAX(0, SUMPRODUCT($EN105:$ER105,OFFSET(DNN!$Q$9:$U$9,EW$9,0)) + OFFSET(DNN!$P$9,EW$9,0))</f>
        <v>7.8382123007882457E-4</v>
      </c>
      <c r="EX105" s="85">
        <f ca="1">MAX(0, SUMPRODUCT($EN105:$ER105,OFFSET(DNN!$Q$9:$U$9,EX$9,0)) + OFFSET(DNN!$P$9,EX$9,0))</f>
        <v>0</v>
      </c>
      <c r="EZ105" s="111">
        <f ca="1">SUMPRODUCT($ET105:$EX105,OFFSET(DNN!$Y$9:$AC$9,EZ$9,0)) + OFFSET(DNN!$X$9,EZ$9,0)</f>
        <v>0.43031618918982212</v>
      </c>
      <c r="FA105" s="97">
        <f ca="1">SUMPRODUCT($ET105:$EX105,OFFSET(DNN!$Y$9:$AC$9,FA$9,0)) + OFFSET(DNN!$X$9,FA$9,0)</f>
        <v>-1.2643439935754107E-5</v>
      </c>
      <c r="FB105" s="97">
        <f ca="1">SUMPRODUCT($ET105:$EX105,OFFSET(DNN!$Y$9:$AC$9,FB$9,0)) + OFFSET(DNN!$X$9,FB$9,0)</f>
        <v>1.5239793458415756E-2</v>
      </c>
      <c r="FC105" s="97">
        <f ca="1">SUMPRODUCT($ET105:$EX105,OFFSET(DNN!$Y$9:$AC$9,FC$9,0)) + OFFSET(DNN!$X$9,FC$9,0)</f>
        <v>-8.8749521084055777E-4</v>
      </c>
      <c r="FD105" s="97">
        <f ca="1">SUMPRODUCT($ET105:$EX105,OFFSET(DNN!$Y$9:$AC$9,FD$9,0)) + OFFSET(DNN!$X$9,FD$9,0)</f>
        <v>-4.235816470721872E-4</v>
      </c>
      <c r="FE105" s="97">
        <f ca="1">SUMPRODUCT($ET105:$EX105,OFFSET(DNN!$Y$9:$AC$9,FE$9,0)) + OFFSET(DNN!$X$9,FE$9,0)</f>
        <v>-1.574182761064886E-5</v>
      </c>
      <c r="FF105" s="97">
        <f ca="1">SUMPRODUCT($ET105:$EX105,OFFSET(DNN!$Y$9:$AC$9,FF$9,0)) + OFFSET(DNN!$X$9,FF$9,0)</f>
        <v>-1.3491460223194656E-3</v>
      </c>
      <c r="FG105" s="97">
        <f ca="1">SUMPRODUCT($ET105:$EX105,OFFSET(DNN!$Y$9:$AC$9,FG$9,0)) + OFFSET(DNN!$X$9,FG$9,0)</f>
        <v>-6.2604808096248285E-2</v>
      </c>
      <c r="FH105" s="97">
        <f ca="1">SUMPRODUCT($ET105:$EX105,OFFSET(DNN!$Y$9:$AC$9,FH$9,0)) + OFFSET(DNN!$X$9,FH$9,0)</f>
        <v>8.6810016937029894E-4</v>
      </c>
      <c r="FI105" s="108">
        <f ca="1">SUMPRODUCT($ET105:$EX105,OFFSET(DNN!$Y$9:$AC$9,FI$9,0)) + OFFSET(DNN!$X$9,FI$9,0)</f>
        <v>-1.3182687612562751</v>
      </c>
      <c r="FJ105" s="98">
        <f ca="1">SUMPRODUCT($ET105:$EX105,OFFSET(DNN!$Y$9:$AC$9,FJ$9,0)) + OFFSET(DNN!$X$9,FJ$9,0)</f>
        <v>-2.2535161745939301E-5</v>
      </c>
      <c r="FL105" s="415">
        <f t="shared" ca="1" si="224"/>
        <v>0.43031618918982212</v>
      </c>
      <c r="FM105" s="130">
        <f t="shared" ca="1" si="225"/>
        <v>1</v>
      </c>
      <c r="FN105" s="131">
        <f t="shared" ca="1" si="226"/>
        <v>0.65029522127322903</v>
      </c>
      <c r="FO105" s="131">
        <f t="shared" ca="1" si="227"/>
        <v>0.66028983545318687</v>
      </c>
      <c r="FP105" s="131">
        <f t="shared" ca="1" si="228"/>
        <v>0.64972655813153501</v>
      </c>
      <c r="FQ105" s="131">
        <f t="shared" ca="1" si="229"/>
        <v>0.65002804502111444</v>
      </c>
      <c r="FR105" s="131">
        <f t="shared" ca="1" si="230"/>
        <v>0.65029320640965171</v>
      </c>
      <c r="FS105" s="131">
        <f t="shared" ca="1" si="231"/>
        <v>0.64942668056342145</v>
      </c>
      <c r="FT105" s="131">
        <f t="shared" ca="1" si="232"/>
        <v>0.61083952513994022</v>
      </c>
      <c r="FU105" s="132">
        <f t="shared" ca="1" si="233"/>
        <v>0.6508682169276182</v>
      </c>
      <c r="FV105" s="131">
        <f t="shared" ca="1" si="234"/>
        <v>0.17402001625314881</v>
      </c>
      <c r="FW105" s="83">
        <f t="shared" ca="1" si="235"/>
        <v>-2.2535161742124597E-5</v>
      </c>
    </row>
    <row r="106" spans="1:179">
      <c r="A106" s="19">
        <f t="shared" si="240"/>
        <v>96</v>
      </c>
      <c r="B106" s="1">
        <f t="shared" ca="1" si="236"/>
        <v>0</v>
      </c>
      <c r="C106" s="20">
        <f t="shared" ca="1" si="237"/>
        <v>96</v>
      </c>
      <c r="D106" s="19" t="str">
        <f t="shared" ca="1" si="238"/>
        <v>〇×〇×〇×--〇</v>
      </c>
      <c r="E106" s="7">
        <f t="shared" ca="1" si="206"/>
        <v>9</v>
      </c>
      <c r="F106" s="7">
        <f t="shared" ca="1" si="207"/>
        <v>1</v>
      </c>
      <c r="G106" s="1" t="str">
        <f t="shared" ca="1" si="139"/>
        <v>〇×〇×〇×--〇</v>
      </c>
      <c r="H106" s="20" t="b">
        <f t="shared" ca="1" si="140"/>
        <v>1</v>
      </c>
      <c r="I106" s="22">
        <f t="shared" ca="1" si="239"/>
        <v>-1</v>
      </c>
      <c r="J106" s="1" t="b">
        <f ca="1">(1&lt;COUNTIF(D$10:D106,D106))</f>
        <v>1</v>
      </c>
      <c r="K106" s="1" t="b">
        <f t="shared" ca="1" si="141"/>
        <v>1</v>
      </c>
      <c r="L106" s="7">
        <f ca="1">MATCH(TRUE,K106:K$1048576,FALSE)-1</f>
        <v>0</v>
      </c>
      <c r="M106" s="24" t="str">
        <f t="shared" ca="1" si="142"/>
        <v>〇×〇×〇×--〇_9</v>
      </c>
      <c r="N106" s="25">
        <f t="shared" ca="1" si="208"/>
        <v>-2.2535161742124597E-5</v>
      </c>
      <c r="O106" s="26">
        <f t="shared" ca="1" si="209"/>
        <v>-1</v>
      </c>
      <c r="P106" s="27">
        <f t="shared" ca="1" si="210"/>
        <v>-1</v>
      </c>
      <c r="R106" s="41" t="str">
        <f ca="1">VLOOKUP(S106,cvt!$B$2:$C$4,2,FALSE)&amp;VLOOKUP(T106,cvt!$B$2:$C$4,2,FALSE)&amp;VLOOKUP(U106,cvt!$B$2:$C$4,2,FALSE)
&amp;VLOOKUP(V106,cvt!$B$2:$C$4,2,FALSE)&amp;VLOOKUP(W106,cvt!$B$2:$C$4,2,FALSE)&amp;VLOOKUP(X106,cvt!$B$2:$C$4,2,FALSE)
&amp;VLOOKUP(Y106,cvt!$B$2:$C$4,2,FALSE)&amp;VLOOKUP(Z106,cvt!$B$2:$C$4,2,FALSE)&amp;VLOOKUP(AA106,cvt!$B$2:$C$4,2,FALSE)</f>
        <v>〇×〇×〇×--〇</v>
      </c>
      <c r="S106" s="7">
        <f ca="1">VLOOKUP(MID($D106,S$9+1,1), cvt!$A$2:$B$4,2, FALSE)</f>
        <v>1</v>
      </c>
      <c r="T106" s="7">
        <f ca="1">VLOOKUP(MID($D106,T$9+1,1), cvt!$A$2:$B$4,2, FALSE)</f>
        <v>-1</v>
      </c>
      <c r="U106" s="7">
        <f ca="1">VLOOKUP(MID($D106,U$9+1,1), cvt!$A$2:$B$4,2, FALSE)</f>
        <v>1</v>
      </c>
      <c r="V106" s="17">
        <f ca="1">VLOOKUP(MID($D106,V$9+1,1), cvt!$A$2:$B$4,2, FALSE)</f>
        <v>-1</v>
      </c>
      <c r="W106" s="7">
        <f ca="1">VLOOKUP(MID($D106,W$9+1,1), cvt!$A$2:$B$4,2, FALSE)</f>
        <v>1</v>
      </c>
      <c r="X106" s="18">
        <f ca="1">VLOOKUP(MID($D106,X$9+1,1), cvt!$A$2:$B$4,2, FALSE)</f>
        <v>-1</v>
      </c>
      <c r="Y106" s="7">
        <f ca="1">VLOOKUP(MID($D106,Y$9+1,1), cvt!$A$2:$B$4,2, FALSE)</f>
        <v>0</v>
      </c>
      <c r="Z106" s="7">
        <f ca="1">VLOOKUP(MID($D106,Z$9+1,1), cvt!$A$2:$B$4,2, FALSE)</f>
        <v>0</v>
      </c>
      <c r="AA106" s="42">
        <f ca="1">VLOOKUP(MID($D106,AA$9+1,1), cvt!$A$2:$B$4,2, FALSE)</f>
        <v>1</v>
      </c>
      <c r="AB106" s="7">
        <f t="shared" ca="1" si="211"/>
        <v>1</v>
      </c>
      <c r="AC106" s="50" t="b">
        <f t="shared" ca="1" si="212"/>
        <v>1</v>
      </c>
      <c r="AE106" s="19" t="str">
        <f ca="1">VLOOKUP(AF106,cvt!$B$2:$C$4,2,FALSE)&amp;VLOOKUP(AG106,cvt!$B$2:$C$4,2,FALSE)&amp;VLOOKUP(AH106,cvt!$B$2:$C$4,2,FALSE)
&amp;VLOOKUP(AI106,cvt!$B$2:$C$4,2,FALSE)&amp;VLOOKUP(AJ106,cvt!$B$2:$C$4,2,FALSE)&amp;VLOOKUP(AK106,cvt!$B$2:$C$4,2,FALSE)
&amp;VLOOKUP(AL106,cvt!$B$2:$C$4,2,FALSE)&amp;VLOOKUP(AM106,cvt!$B$2:$C$4,2,FALSE)&amp;VLOOKUP(AN106,cvt!$B$2:$C$4,2,FALSE)</f>
        <v>〇×〇×〇×--〇</v>
      </c>
      <c r="AF106" s="17">
        <f t="shared" ca="1" si="143"/>
        <v>1</v>
      </c>
      <c r="AG106" s="7">
        <f t="shared" ca="1" si="144"/>
        <v>-1</v>
      </c>
      <c r="AH106" s="7">
        <f t="shared" ca="1" si="145"/>
        <v>1</v>
      </c>
      <c r="AI106" s="17">
        <f t="shared" ca="1" si="146"/>
        <v>-1</v>
      </c>
      <c r="AJ106" s="7">
        <f t="shared" ca="1" si="147"/>
        <v>1</v>
      </c>
      <c r="AK106" s="18">
        <f t="shared" ca="1" si="148"/>
        <v>-1</v>
      </c>
      <c r="AL106" s="7">
        <f t="shared" ca="1" si="149"/>
        <v>0</v>
      </c>
      <c r="AM106" s="7">
        <f t="shared" ca="1" si="150"/>
        <v>0</v>
      </c>
      <c r="AN106" s="18">
        <f t="shared" ca="1" si="151"/>
        <v>1</v>
      </c>
      <c r="AO106" s="7">
        <f t="shared" ca="1" si="213"/>
        <v>1</v>
      </c>
      <c r="AP106" s="50" t="b">
        <f t="shared" ca="1" si="152"/>
        <v>1</v>
      </c>
      <c r="AS106" s="22">
        <f t="shared" ca="1" si="214"/>
        <v>0</v>
      </c>
      <c r="AT106" s="7">
        <f t="shared" ca="1" si="153"/>
        <v>0</v>
      </c>
      <c r="AU106" s="7">
        <f t="shared" ca="1" si="154"/>
        <v>0</v>
      </c>
      <c r="AV106" s="7">
        <f t="shared" ca="1" si="155"/>
        <v>0</v>
      </c>
      <c r="AW106" s="7">
        <f t="shared" ca="1" si="156"/>
        <v>0</v>
      </c>
      <c r="AX106" s="7">
        <f t="shared" ca="1" si="157"/>
        <v>0</v>
      </c>
      <c r="AY106" s="7">
        <f t="shared" ca="1" si="158"/>
        <v>0</v>
      </c>
      <c r="AZ106" s="7">
        <f t="shared" ca="1" si="159"/>
        <v>0</v>
      </c>
      <c r="BA106" s="18">
        <f t="shared" ca="1" si="160"/>
        <v>0</v>
      </c>
      <c r="BB106" s="295">
        <f t="shared" ca="1" si="215"/>
        <v>1</v>
      </c>
      <c r="BD106" s="132"/>
      <c r="BE106" s="297">
        <f t="shared" ca="1" si="216"/>
        <v>1</v>
      </c>
      <c r="BF106" s="298">
        <f t="shared" ca="1" si="161"/>
        <v>0.65029522127322903</v>
      </c>
      <c r="BG106" s="298">
        <f t="shared" ca="1" si="162"/>
        <v>0.66028983545318687</v>
      </c>
      <c r="BH106" s="318">
        <f t="shared" ca="1" si="163"/>
        <v>0.64972655813153501</v>
      </c>
      <c r="BI106" s="298">
        <f t="shared" ca="1" si="164"/>
        <v>0.65002804502111444</v>
      </c>
      <c r="BJ106" s="299">
        <f t="shared" ca="1" si="165"/>
        <v>0.65029320640965171</v>
      </c>
      <c r="BK106" s="298">
        <f t="shared" ca="1" si="166"/>
        <v>0.64942668056342145</v>
      </c>
      <c r="BL106" s="298">
        <f t="shared" ca="1" si="167"/>
        <v>0.61083952513994022</v>
      </c>
      <c r="BM106" s="299">
        <f t="shared" ca="1" si="168"/>
        <v>0.6508682169276182</v>
      </c>
      <c r="BN106" s="295">
        <f t="shared" ca="1" si="169"/>
        <v>0.17402001625314881</v>
      </c>
      <c r="BO106" s="248">
        <f t="shared" ca="1" si="217"/>
        <v>-2.2535161742124597E-5</v>
      </c>
      <c r="BQ106" s="304">
        <f t="shared" ca="1" si="218"/>
        <v>0.42412001625314877</v>
      </c>
      <c r="BR106" s="297">
        <f t="shared" ca="1" si="219"/>
        <v>0</v>
      </c>
      <c r="BS106" s="298">
        <f t="shared" ca="1" si="170"/>
        <v>0</v>
      </c>
      <c r="BT106" s="298">
        <f t="shared" ca="1" si="171"/>
        <v>0</v>
      </c>
      <c r="BU106" s="318">
        <f t="shared" ca="1" si="172"/>
        <v>0</v>
      </c>
      <c r="BV106" s="298">
        <f t="shared" ca="1" si="173"/>
        <v>0</v>
      </c>
      <c r="BW106" s="299">
        <f t="shared" ca="1" si="174"/>
        <v>0</v>
      </c>
      <c r="BX106" s="298">
        <f t="shared" ca="1" si="175"/>
        <v>0</v>
      </c>
      <c r="BY106" s="298">
        <f t="shared" ca="1" si="176"/>
        <v>0</v>
      </c>
      <c r="BZ106" s="298">
        <f t="shared" ca="1" si="177"/>
        <v>0</v>
      </c>
      <c r="CA106" s="315">
        <f t="shared" ca="1" si="178"/>
        <v>0.42412001625314877</v>
      </c>
      <c r="CC106" s="52"/>
      <c r="CD106" s="306">
        <f t="shared" ca="1" si="220"/>
        <v>0</v>
      </c>
      <c r="CE106" s="15">
        <f t="shared" ca="1" si="179"/>
        <v>0</v>
      </c>
      <c r="CF106" s="15">
        <f t="shared" ca="1" si="180"/>
        <v>0</v>
      </c>
      <c r="CG106" s="286">
        <f t="shared" ca="1" si="181"/>
        <v>0</v>
      </c>
      <c r="CH106" s="15">
        <f t="shared" ca="1" si="182"/>
        <v>0</v>
      </c>
      <c r="CI106" s="288">
        <f t="shared" ca="1" si="183"/>
        <v>0</v>
      </c>
      <c r="CJ106" s="15">
        <f t="shared" ca="1" si="184"/>
        <v>0</v>
      </c>
      <c r="CK106" s="15">
        <f t="shared" ca="1" si="185"/>
        <v>0</v>
      </c>
      <c r="CL106" s="15">
        <f t="shared" ca="1" si="186"/>
        <v>0</v>
      </c>
      <c r="CM106" s="313">
        <f t="shared" ca="1" si="187"/>
        <v>1</v>
      </c>
      <c r="CO106" s="320">
        <f t="shared" ca="1" si="221"/>
        <v>95</v>
      </c>
      <c r="CP106" s="22">
        <f ca="1">COUNTIFS($C$10:$C105,"&lt;"&amp;$C106,$M$10:$M105,$D106&amp;"_"&amp;CP$9)</f>
        <v>0</v>
      </c>
      <c r="CQ106" s="7">
        <f ca="1">COUNTIFS($C$10:$C105,"&lt;"&amp;$C106,$M$10:$M105,$D106&amp;"_"&amp;CQ$9)</f>
        <v>0</v>
      </c>
      <c r="CR106" s="7">
        <f ca="1">COUNTIFS($C$10:$C105,"&lt;"&amp;$C106,$M$10:$M105,$D106&amp;"_"&amp;CR$9)</f>
        <v>0</v>
      </c>
      <c r="CS106" s="17">
        <f ca="1">COUNTIFS($C$10:$C105,"&lt;"&amp;$C106,$M$10:$M105,$D106&amp;"_"&amp;CS$9)</f>
        <v>0</v>
      </c>
      <c r="CT106" s="7">
        <f ca="1">COUNTIFS($C$10:$C105,"&lt;"&amp;$C106,$M$10:$M105,$D106&amp;"_"&amp;CT$9)</f>
        <v>0</v>
      </c>
      <c r="CU106" s="18">
        <f ca="1">COUNTIFS($C$10:$C105,"&lt;"&amp;$C106,$M$10:$M105,$D106&amp;"_"&amp;CU$9)</f>
        <v>0</v>
      </c>
      <c r="CV106" s="7">
        <f ca="1">COUNTIFS($C$10:$C105,"&lt;"&amp;$C106,$M$10:$M105,$D106&amp;"_"&amp;CV$9)</f>
        <v>0</v>
      </c>
      <c r="CW106" s="7">
        <f ca="1">COUNTIFS($C$10:$C105,"&lt;"&amp;$C106,$M$10:$M105,$D106&amp;"_"&amp;CW$9)</f>
        <v>0</v>
      </c>
      <c r="CX106" s="7">
        <f ca="1">COUNTIFS($C$10:$C105,"&lt;"&amp;$C106,$M$10:$M105,$D106&amp;"_"&amp;CX$9)</f>
        <v>0</v>
      </c>
      <c r="CY106" s="221">
        <f ca="1">COUNTIFS($C$10:$C105,"&lt;"&amp;$C106,$M$10:$M105,$D106&amp;"_"&amp;CY$9)</f>
        <v>95</v>
      </c>
      <c r="DA106" s="20"/>
      <c r="DB106" s="308">
        <f ca="1">IF(CP106=0,0,SUMIFS($P$10:$P105, $C$10:$C105,"&lt;"&amp;$C106, $M$10:$M105,$D106&amp;"_"&amp;DB$9)/CP106)</f>
        <v>0</v>
      </c>
      <c r="DC106" s="263">
        <f ca="1">IF(CQ106=0,0,SUMIFS($P$10:$P105, $C$10:$C105,"&lt;"&amp;$C106, $M$10:$M105,$D106&amp;"_"&amp;DC$9)/CQ106)</f>
        <v>0</v>
      </c>
      <c r="DD106" s="263">
        <f ca="1">IF(CR106=0,0,SUMIFS($P$10:$P105, $C$10:$C105,"&lt;"&amp;$C106, $M$10:$M105,$D106&amp;"_"&amp;DD$9)/CR106)</f>
        <v>0</v>
      </c>
      <c r="DE106" s="262">
        <f ca="1">IF(CS106=0,0,SUMIFS($P$10:$P105, $C$10:$C105,"&lt;"&amp;$C106, $M$10:$M105,$D106&amp;"_"&amp;DE$9)/CS106)</f>
        <v>0</v>
      </c>
      <c r="DF106" s="263">
        <f ca="1">IF(CT106=0,0,SUMIFS($P$10:$P105, $C$10:$C105,"&lt;"&amp;$C106, $M$10:$M105,$D106&amp;"_"&amp;DF$9)/CT106)</f>
        <v>0</v>
      </c>
      <c r="DG106" s="310">
        <f ca="1">IF(CU106=0,0,SUMIFS($P$10:$P105, $C$10:$C105,"&lt;"&amp;$C106, $M$10:$M105,$D106&amp;"_"&amp;DG$9)/CU106)</f>
        <v>0</v>
      </c>
      <c r="DH106" s="263">
        <f ca="1">IF(CV106=0,0,SUMIFS($P$10:$P105, $C$10:$C105,"&lt;"&amp;$C106, $M$10:$M105,$D106&amp;"_"&amp;DH$9)/CV106)</f>
        <v>0</v>
      </c>
      <c r="DI106" s="263">
        <f ca="1">IF(CW106=0,0,SUMIFS($P$10:$P105, $C$10:$C105,"&lt;"&amp;$C106, $M$10:$M105,$D106&amp;"_"&amp;DI$9)/CW106)</f>
        <v>0</v>
      </c>
      <c r="DJ106" s="264">
        <f ca="1">IF(CX106=0,0,SUMIFS($P$10:$P105, $C$10:$C105,"&lt;"&amp;$C106, $M$10:$M105,$D106&amp;"_"&amp;DJ$9)/CX106)</f>
        <v>0</v>
      </c>
      <c r="DK106" s="264">
        <f ca="1">IF(CY106=0,0,SUMIFS($P$10:$P105, $C$10:$C105,"&lt;"&amp;$C106, $M$10:$M105,$D106&amp;"_"&amp;DK$9)/CY106)</f>
        <v>-1</v>
      </c>
      <c r="DM106" s="104"/>
      <c r="DN106" s="306">
        <f t="shared" ca="1" si="222"/>
        <v>-9999</v>
      </c>
      <c r="DO106" s="15">
        <f t="shared" ca="1" si="188"/>
        <v>-9999</v>
      </c>
      <c r="DP106" s="15">
        <f t="shared" ca="1" si="189"/>
        <v>-9999</v>
      </c>
      <c r="DQ106" s="15">
        <f t="shared" ca="1" si="190"/>
        <v>-9999</v>
      </c>
      <c r="DR106" s="15">
        <f t="shared" ca="1" si="191"/>
        <v>-9999</v>
      </c>
      <c r="DS106" s="15">
        <f t="shared" ca="1" si="192"/>
        <v>-9999</v>
      </c>
      <c r="DT106" s="15">
        <f t="shared" ca="1" si="193"/>
        <v>-9999</v>
      </c>
      <c r="DU106" s="15">
        <f t="shared" ca="1" si="194"/>
        <v>-9999</v>
      </c>
      <c r="DV106" s="52">
        <f t="shared" ca="1" si="195"/>
        <v>-9999</v>
      </c>
      <c r="DW106" s="313">
        <f t="shared" ca="1" si="196"/>
        <v>-0.89847089224157328</v>
      </c>
      <c r="DX106" s="52"/>
      <c r="DY106" s="402">
        <f t="shared" ca="1" si="223"/>
        <v>9</v>
      </c>
      <c r="ED106" s="19">
        <f t="shared" ref="ED106:ED137" ca="1" si="241">S106 * $I106</f>
        <v>-1</v>
      </c>
      <c r="EE106" s="1">
        <f t="shared" ref="EE106:EE137" ca="1" si="242">T106 * $I106</f>
        <v>1</v>
      </c>
      <c r="EF106" s="1">
        <f t="shared" ref="EF106:EF137" ca="1" si="243">U106 * $I106</f>
        <v>-1</v>
      </c>
      <c r="EG106" s="2">
        <f t="shared" ref="EG106:EG137" ca="1" si="244">V106 * $I106</f>
        <v>1</v>
      </c>
      <c r="EH106" s="1">
        <f t="shared" ref="EH106:EH137" ca="1" si="245">W106 * $I106</f>
        <v>-1</v>
      </c>
      <c r="EI106" s="3">
        <f t="shared" ref="EI106:EI137" ca="1" si="246">X106 * $I106</f>
        <v>1</v>
      </c>
      <c r="EJ106" s="1">
        <f t="shared" ref="EJ106:EJ137" ca="1" si="247">Y106 * $I106</f>
        <v>0</v>
      </c>
      <c r="EK106" s="1">
        <f t="shared" ref="EK106:EK137" ca="1" si="248">Z106 * $I106</f>
        <v>0</v>
      </c>
      <c r="EL106" s="20">
        <f t="shared" ref="EL106:EL137" ca="1" si="249">AA106 * $I106</f>
        <v>-1</v>
      </c>
      <c r="EN106" s="86">
        <f ca="1">MAX(0, SUMPRODUCT($ED106:$EL106,OFFSET(DNN!$E$9:$M$9,EN$9,0)) + OFFSET(DNN!$D$9,EN$9,0))</f>
        <v>0</v>
      </c>
      <c r="EO106" s="84">
        <f ca="1">MAX(0, SUMPRODUCT($ED106:$EL106,OFFSET(DNN!$E$9:$M$9,EO$9,0)) + OFFSET(DNN!$D$9,EO$9,0))</f>
        <v>7.2346022384755949E-3</v>
      </c>
      <c r="EP106" s="84">
        <f ca="1">MAX(0, SUMPRODUCT($ED106:$EL106,OFFSET(DNN!$E$9:$M$9,EP$9,0)) + OFFSET(DNN!$D$9,EP$9,0))</f>
        <v>3.6951849750035152E-3</v>
      </c>
      <c r="EQ106" s="84">
        <f ca="1">MAX(0, SUMPRODUCT($ED106:$EL106,OFFSET(DNN!$E$9:$M$9,EQ$9,0)) + OFFSET(DNN!$D$9,EQ$9,0))</f>
        <v>0</v>
      </c>
      <c r="ER106" s="85">
        <f ca="1">MAX(0, SUMPRODUCT($ED106:$EL106,OFFSET(DNN!$E$9:$M$9,ER$9,0)) + OFFSET(DNN!$D$9,ER$9,0))</f>
        <v>0</v>
      </c>
      <c r="ET106" s="86">
        <f ca="1">MAX(0, SUMPRODUCT($EN106:$ER106,OFFSET(DNN!$Q$9:$U$9,ET$9,0)) + OFFSET(DNN!$P$9,ET$9,0))</f>
        <v>4.3954959453478351E-4</v>
      </c>
      <c r="EU106" s="84">
        <f ca="1">MAX(0, SUMPRODUCT($EN106:$ER106,OFFSET(DNN!$Q$9:$U$9,EU$9,0)) + OFFSET(DNN!$P$9,EU$9,0))</f>
        <v>0</v>
      </c>
      <c r="EV106" s="84">
        <f ca="1">MAX(0, SUMPRODUCT($EN106:$ER106,OFFSET(DNN!$Q$9:$U$9,EV$9,0)) + OFFSET(DNN!$P$9,EV$9,0))</f>
        <v>1.2810123361902579E-3</v>
      </c>
      <c r="EW106" s="84">
        <f ca="1">MAX(0, SUMPRODUCT($EN106:$ER106,OFFSET(DNN!$Q$9:$U$9,EW$9,0)) + OFFSET(DNN!$P$9,EW$9,0))</f>
        <v>7.8382123007882457E-4</v>
      </c>
      <c r="EX106" s="85">
        <f ca="1">MAX(0, SUMPRODUCT($EN106:$ER106,OFFSET(DNN!$Q$9:$U$9,EX$9,0)) + OFFSET(DNN!$P$9,EX$9,0))</f>
        <v>0</v>
      </c>
      <c r="EZ106" s="111">
        <f ca="1">SUMPRODUCT($ET106:$EX106,OFFSET(DNN!$Y$9:$AC$9,EZ$9,0)) + OFFSET(DNN!$X$9,EZ$9,0)</f>
        <v>0.43031618918982212</v>
      </c>
      <c r="FA106" s="97">
        <f ca="1">SUMPRODUCT($ET106:$EX106,OFFSET(DNN!$Y$9:$AC$9,FA$9,0)) + OFFSET(DNN!$X$9,FA$9,0)</f>
        <v>-1.2643439935754107E-5</v>
      </c>
      <c r="FB106" s="97">
        <f ca="1">SUMPRODUCT($ET106:$EX106,OFFSET(DNN!$Y$9:$AC$9,FB$9,0)) + OFFSET(DNN!$X$9,FB$9,0)</f>
        <v>1.5239793458415756E-2</v>
      </c>
      <c r="FC106" s="97">
        <f ca="1">SUMPRODUCT($ET106:$EX106,OFFSET(DNN!$Y$9:$AC$9,FC$9,0)) + OFFSET(DNN!$X$9,FC$9,0)</f>
        <v>-8.8749521084055777E-4</v>
      </c>
      <c r="FD106" s="97">
        <f ca="1">SUMPRODUCT($ET106:$EX106,OFFSET(DNN!$Y$9:$AC$9,FD$9,0)) + OFFSET(DNN!$X$9,FD$9,0)</f>
        <v>-4.235816470721872E-4</v>
      </c>
      <c r="FE106" s="97">
        <f ca="1">SUMPRODUCT($ET106:$EX106,OFFSET(DNN!$Y$9:$AC$9,FE$9,0)) + OFFSET(DNN!$X$9,FE$9,0)</f>
        <v>-1.574182761064886E-5</v>
      </c>
      <c r="FF106" s="97">
        <f ca="1">SUMPRODUCT($ET106:$EX106,OFFSET(DNN!$Y$9:$AC$9,FF$9,0)) + OFFSET(DNN!$X$9,FF$9,0)</f>
        <v>-1.3491460223194656E-3</v>
      </c>
      <c r="FG106" s="97">
        <f ca="1">SUMPRODUCT($ET106:$EX106,OFFSET(DNN!$Y$9:$AC$9,FG$9,0)) + OFFSET(DNN!$X$9,FG$9,0)</f>
        <v>-6.2604808096248285E-2</v>
      </c>
      <c r="FH106" s="97">
        <f ca="1">SUMPRODUCT($ET106:$EX106,OFFSET(DNN!$Y$9:$AC$9,FH$9,0)) + OFFSET(DNN!$X$9,FH$9,0)</f>
        <v>8.6810016937029894E-4</v>
      </c>
      <c r="FI106" s="108">
        <f ca="1">SUMPRODUCT($ET106:$EX106,OFFSET(DNN!$Y$9:$AC$9,FI$9,0)) + OFFSET(DNN!$X$9,FI$9,0)</f>
        <v>-1.3182687612562751</v>
      </c>
      <c r="FJ106" s="98">
        <f ca="1">SUMPRODUCT($ET106:$EX106,OFFSET(DNN!$Y$9:$AC$9,FJ$9,0)) + OFFSET(DNN!$X$9,FJ$9,0)</f>
        <v>-2.2535161745939301E-5</v>
      </c>
      <c r="FL106" s="415">
        <f t="shared" ca="1" si="224"/>
        <v>0.43031618918982212</v>
      </c>
      <c r="FM106" s="130">
        <f t="shared" ca="1" si="225"/>
        <v>1</v>
      </c>
      <c r="FN106" s="131">
        <f t="shared" ca="1" si="226"/>
        <v>0.65029522127322903</v>
      </c>
      <c r="FO106" s="131">
        <f t="shared" ca="1" si="227"/>
        <v>0.66028983545318687</v>
      </c>
      <c r="FP106" s="131">
        <f t="shared" ca="1" si="228"/>
        <v>0.64972655813153501</v>
      </c>
      <c r="FQ106" s="131">
        <f t="shared" ca="1" si="229"/>
        <v>0.65002804502111444</v>
      </c>
      <c r="FR106" s="131">
        <f t="shared" ca="1" si="230"/>
        <v>0.65029320640965171</v>
      </c>
      <c r="FS106" s="131">
        <f t="shared" ca="1" si="231"/>
        <v>0.64942668056342145</v>
      </c>
      <c r="FT106" s="131">
        <f t="shared" ca="1" si="232"/>
        <v>0.61083952513994022</v>
      </c>
      <c r="FU106" s="132">
        <f t="shared" ca="1" si="233"/>
        <v>0.6508682169276182</v>
      </c>
      <c r="FV106" s="131">
        <f t="shared" ca="1" si="234"/>
        <v>0.17402001625314881</v>
      </c>
      <c r="FW106" s="83">
        <f t="shared" ca="1" si="235"/>
        <v>-2.2535161742124597E-5</v>
      </c>
    </row>
    <row r="107" spans="1:179">
      <c r="A107" s="19">
        <f t="shared" si="240"/>
        <v>97</v>
      </c>
      <c r="B107" s="1">
        <f t="shared" ca="1" si="236"/>
        <v>0</v>
      </c>
      <c r="C107" s="20">
        <f t="shared" ca="1" si="237"/>
        <v>97</v>
      </c>
      <c r="D107" s="19" t="str">
        <f t="shared" ca="1" si="238"/>
        <v>〇×〇×〇×--〇</v>
      </c>
      <c r="E107" s="7">
        <f t="shared" ca="1" si="206"/>
        <v>9</v>
      </c>
      <c r="F107" s="7">
        <f t="shared" ca="1" si="207"/>
        <v>1</v>
      </c>
      <c r="G107" s="1" t="str">
        <f t="shared" ca="1" si="139"/>
        <v>〇×〇×〇×--〇</v>
      </c>
      <c r="H107" s="20" t="b">
        <f t="shared" ca="1" si="140"/>
        <v>1</v>
      </c>
      <c r="I107" s="22">
        <f t="shared" ca="1" si="239"/>
        <v>-1</v>
      </c>
      <c r="J107" s="1" t="b">
        <f ca="1">(1&lt;COUNTIF(D$10:D107,D107))</f>
        <v>1</v>
      </c>
      <c r="K107" s="1" t="b">
        <f t="shared" ca="1" si="141"/>
        <v>1</v>
      </c>
      <c r="L107" s="7">
        <f ca="1">MATCH(TRUE,K107:K$1048576,FALSE)-1</f>
        <v>0</v>
      </c>
      <c r="M107" s="24" t="str">
        <f t="shared" ca="1" si="142"/>
        <v>〇×〇×〇×--〇_9</v>
      </c>
      <c r="N107" s="25">
        <f t="shared" ca="1" si="208"/>
        <v>-2.2535161742124597E-5</v>
      </c>
      <c r="O107" s="26">
        <f t="shared" ca="1" si="209"/>
        <v>-1</v>
      </c>
      <c r="P107" s="27">
        <f t="shared" ca="1" si="210"/>
        <v>-1</v>
      </c>
      <c r="R107" s="41" t="str">
        <f ca="1">VLOOKUP(S107,cvt!$B$2:$C$4,2,FALSE)&amp;VLOOKUP(T107,cvt!$B$2:$C$4,2,FALSE)&amp;VLOOKUP(U107,cvt!$B$2:$C$4,2,FALSE)
&amp;VLOOKUP(V107,cvt!$B$2:$C$4,2,FALSE)&amp;VLOOKUP(W107,cvt!$B$2:$C$4,2,FALSE)&amp;VLOOKUP(X107,cvt!$B$2:$C$4,2,FALSE)
&amp;VLOOKUP(Y107,cvt!$B$2:$C$4,2,FALSE)&amp;VLOOKUP(Z107,cvt!$B$2:$C$4,2,FALSE)&amp;VLOOKUP(AA107,cvt!$B$2:$C$4,2,FALSE)</f>
        <v>〇×〇×〇×--〇</v>
      </c>
      <c r="S107" s="7">
        <f ca="1">VLOOKUP(MID($D107,S$9+1,1), cvt!$A$2:$B$4,2, FALSE)</f>
        <v>1</v>
      </c>
      <c r="T107" s="7">
        <f ca="1">VLOOKUP(MID($D107,T$9+1,1), cvt!$A$2:$B$4,2, FALSE)</f>
        <v>-1</v>
      </c>
      <c r="U107" s="7">
        <f ca="1">VLOOKUP(MID($D107,U$9+1,1), cvt!$A$2:$B$4,2, FALSE)</f>
        <v>1</v>
      </c>
      <c r="V107" s="17">
        <f ca="1">VLOOKUP(MID($D107,V$9+1,1), cvt!$A$2:$B$4,2, FALSE)</f>
        <v>-1</v>
      </c>
      <c r="W107" s="7">
        <f ca="1">VLOOKUP(MID($D107,W$9+1,1), cvt!$A$2:$B$4,2, FALSE)</f>
        <v>1</v>
      </c>
      <c r="X107" s="18">
        <f ca="1">VLOOKUP(MID($D107,X$9+1,1), cvt!$A$2:$B$4,2, FALSE)</f>
        <v>-1</v>
      </c>
      <c r="Y107" s="7">
        <f ca="1">VLOOKUP(MID($D107,Y$9+1,1), cvt!$A$2:$B$4,2, FALSE)</f>
        <v>0</v>
      </c>
      <c r="Z107" s="7">
        <f ca="1">VLOOKUP(MID($D107,Z$9+1,1), cvt!$A$2:$B$4,2, FALSE)</f>
        <v>0</v>
      </c>
      <c r="AA107" s="42">
        <f ca="1">VLOOKUP(MID($D107,AA$9+1,1), cvt!$A$2:$B$4,2, FALSE)</f>
        <v>1</v>
      </c>
      <c r="AB107" s="7">
        <f t="shared" ca="1" si="211"/>
        <v>1</v>
      </c>
      <c r="AC107" s="50" t="b">
        <f t="shared" ca="1" si="212"/>
        <v>1</v>
      </c>
      <c r="AE107" s="19" t="str">
        <f ca="1">VLOOKUP(AF107,cvt!$B$2:$C$4,2,FALSE)&amp;VLOOKUP(AG107,cvt!$B$2:$C$4,2,FALSE)&amp;VLOOKUP(AH107,cvt!$B$2:$C$4,2,FALSE)
&amp;VLOOKUP(AI107,cvt!$B$2:$C$4,2,FALSE)&amp;VLOOKUP(AJ107,cvt!$B$2:$C$4,2,FALSE)&amp;VLOOKUP(AK107,cvt!$B$2:$C$4,2,FALSE)
&amp;VLOOKUP(AL107,cvt!$B$2:$C$4,2,FALSE)&amp;VLOOKUP(AM107,cvt!$B$2:$C$4,2,FALSE)&amp;VLOOKUP(AN107,cvt!$B$2:$C$4,2,FALSE)</f>
        <v>〇×〇×〇×--〇</v>
      </c>
      <c r="AF107" s="17">
        <f t="shared" ca="1" si="143"/>
        <v>1</v>
      </c>
      <c r="AG107" s="7">
        <f t="shared" ca="1" si="144"/>
        <v>-1</v>
      </c>
      <c r="AH107" s="7">
        <f t="shared" ca="1" si="145"/>
        <v>1</v>
      </c>
      <c r="AI107" s="17">
        <f t="shared" ca="1" si="146"/>
        <v>-1</v>
      </c>
      <c r="AJ107" s="7">
        <f t="shared" ca="1" si="147"/>
        <v>1</v>
      </c>
      <c r="AK107" s="18">
        <f t="shared" ca="1" si="148"/>
        <v>-1</v>
      </c>
      <c r="AL107" s="7">
        <f t="shared" ca="1" si="149"/>
        <v>0</v>
      </c>
      <c r="AM107" s="7">
        <f t="shared" ca="1" si="150"/>
        <v>0</v>
      </c>
      <c r="AN107" s="18">
        <f t="shared" ca="1" si="151"/>
        <v>1</v>
      </c>
      <c r="AO107" s="7">
        <f t="shared" ca="1" si="213"/>
        <v>1</v>
      </c>
      <c r="AP107" s="50" t="b">
        <f t="shared" ca="1" si="152"/>
        <v>1</v>
      </c>
      <c r="AS107" s="22">
        <f t="shared" ca="1" si="214"/>
        <v>0</v>
      </c>
      <c r="AT107" s="7">
        <f t="shared" ca="1" si="153"/>
        <v>0</v>
      </c>
      <c r="AU107" s="7">
        <f t="shared" ca="1" si="154"/>
        <v>0</v>
      </c>
      <c r="AV107" s="7">
        <f t="shared" ca="1" si="155"/>
        <v>0</v>
      </c>
      <c r="AW107" s="7">
        <f t="shared" ca="1" si="156"/>
        <v>0</v>
      </c>
      <c r="AX107" s="7">
        <f t="shared" ca="1" si="157"/>
        <v>0</v>
      </c>
      <c r="AY107" s="7">
        <f t="shared" ca="1" si="158"/>
        <v>0</v>
      </c>
      <c r="AZ107" s="7">
        <f t="shared" ca="1" si="159"/>
        <v>0</v>
      </c>
      <c r="BA107" s="18">
        <f t="shared" ca="1" si="160"/>
        <v>0</v>
      </c>
      <c r="BB107" s="295">
        <f t="shared" ca="1" si="215"/>
        <v>1</v>
      </c>
      <c r="BD107" s="132"/>
      <c r="BE107" s="297">
        <f t="shared" ca="1" si="216"/>
        <v>1</v>
      </c>
      <c r="BF107" s="298">
        <f t="shared" ca="1" si="161"/>
        <v>0.65029522127322903</v>
      </c>
      <c r="BG107" s="298">
        <f t="shared" ca="1" si="162"/>
        <v>0.66028983545318687</v>
      </c>
      <c r="BH107" s="318">
        <f t="shared" ca="1" si="163"/>
        <v>0.64972655813153501</v>
      </c>
      <c r="BI107" s="298">
        <f t="shared" ca="1" si="164"/>
        <v>0.65002804502111444</v>
      </c>
      <c r="BJ107" s="299">
        <f t="shared" ca="1" si="165"/>
        <v>0.65029320640965171</v>
      </c>
      <c r="BK107" s="298">
        <f t="shared" ca="1" si="166"/>
        <v>0.64942668056342145</v>
      </c>
      <c r="BL107" s="298">
        <f t="shared" ca="1" si="167"/>
        <v>0.61083952513994022</v>
      </c>
      <c r="BM107" s="299">
        <f t="shared" ca="1" si="168"/>
        <v>0.6508682169276182</v>
      </c>
      <c r="BN107" s="295">
        <f t="shared" ca="1" si="169"/>
        <v>0.17402001625314881</v>
      </c>
      <c r="BO107" s="248">
        <f t="shared" ca="1" si="217"/>
        <v>-2.2535161742124597E-5</v>
      </c>
      <c r="BQ107" s="304">
        <f t="shared" ca="1" si="218"/>
        <v>0.1741200162531488</v>
      </c>
      <c r="BR107" s="297">
        <f t="shared" ca="1" si="219"/>
        <v>0</v>
      </c>
      <c r="BS107" s="298">
        <f t="shared" ca="1" si="170"/>
        <v>0</v>
      </c>
      <c r="BT107" s="298">
        <f t="shared" ca="1" si="171"/>
        <v>0</v>
      </c>
      <c r="BU107" s="318">
        <f t="shared" ca="1" si="172"/>
        <v>0</v>
      </c>
      <c r="BV107" s="298">
        <f t="shared" ca="1" si="173"/>
        <v>0</v>
      </c>
      <c r="BW107" s="299">
        <f t="shared" ca="1" si="174"/>
        <v>0</v>
      </c>
      <c r="BX107" s="298">
        <f t="shared" ca="1" si="175"/>
        <v>0</v>
      </c>
      <c r="BY107" s="298">
        <f t="shared" ca="1" si="176"/>
        <v>0</v>
      </c>
      <c r="BZ107" s="298">
        <f t="shared" ca="1" si="177"/>
        <v>0</v>
      </c>
      <c r="CA107" s="315">
        <f t="shared" ca="1" si="178"/>
        <v>0.1741200162531488</v>
      </c>
      <c r="CC107" s="52"/>
      <c r="CD107" s="306">
        <f t="shared" ca="1" si="220"/>
        <v>0</v>
      </c>
      <c r="CE107" s="15">
        <f t="shared" ca="1" si="179"/>
        <v>0</v>
      </c>
      <c r="CF107" s="15">
        <f t="shared" ca="1" si="180"/>
        <v>0</v>
      </c>
      <c r="CG107" s="286">
        <f t="shared" ca="1" si="181"/>
        <v>0</v>
      </c>
      <c r="CH107" s="15">
        <f t="shared" ca="1" si="182"/>
        <v>0</v>
      </c>
      <c r="CI107" s="288">
        <f t="shared" ca="1" si="183"/>
        <v>0</v>
      </c>
      <c r="CJ107" s="15">
        <f t="shared" ca="1" si="184"/>
        <v>0</v>
      </c>
      <c r="CK107" s="15">
        <f t="shared" ca="1" si="185"/>
        <v>0</v>
      </c>
      <c r="CL107" s="15">
        <f t="shared" ca="1" si="186"/>
        <v>0</v>
      </c>
      <c r="CM107" s="313">
        <f t="shared" ca="1" si="187"/>
        <v>1</v>
      </c>
      <c r="CO107" s="320">
        <f t="shared" ca="1" si="221"/>
        <v>96</v>
      </c>
      <c r="CP107" s="22">
        <f ca="1">COUNTIFS($C$10:$C106,"&lt;"&amp;$C107,$M$10:$M106,$D107&amp;"_"&amp;CP$9)</f>
        <v>0</v>
      </c>
      <c r="CQ107" s="7">
        <f ca="1">COUNTIFS($C$10:$C106,"&lt;"&amp;$C107,$M$10:$M106,$D107&amp;"_"&amp;CQ$9)</f>
        <v>0</v>
      </c>
      <c r="CR107" s="7">
        <f ca="1">COUNTIFS($C$10:$C106,"&lt;"&amp;$C107,$M$10:$M106,$D107&amp;"_"&amp;CR$9)</f>
        <v>0</v>
      </c>
      <c r="CS107" s="17">
        <f ca="1">COUNTIFS($C$10:$C106,"&lt;"&amp;$C107,$M$10:$M106,$D107&amp;"_"&amp;CS$9)</f>
        <v>0</v>
      </c>
      <c r="CT107" s="7">
        <f ca="1">COUNTIFS($C$10:$C106,"&lt;"&amp;$C107,$M$10:$M106,$D107&amp;"_"&amp;CT$9)</f>
        <v>0</v>
      </c>
      <c r="CU107" s="18">
        <f ca="1">COUNTIFS($C$10:$C106,"&lt;"&amp;$C107,$M$10:$M106,$D107&amp;"_"&amp;CU$9)</f>
        <v>0</v>
      </c>
      <c r="CV107" s="7">
        <f ca="1">COUNTIFS($C$10:$C106,"&lt;"&amp;$C107,$M$10:$M106,$D107&amp;"_"&amp;CV$9)</f>
        <v>0</v>
      </c>
      <c r="CW107" s="7">
        <f ca="1">COUNTIFS($C$10:$C106,"&lt;"&amp;$C107,$M$10:$M106,$D107&amp;"_"&amp;CW$9)</f>
        <v>0</v>
      </c>
      <c r="CX107" s="7">
        <f ca="1">COUNTIFS($C$10:$C106,"&lt;"&amp;$C107,$M$10:$M106,$D107&amp;"_"&amp;CX$9)</f>
        <v>0</v>
      </c>
      <c r="CY107" s="221">
        <f ca="1">COUNTIFS($C$10:$C106,"&lt;"&amp;$C107,$M$10:$M106,$D107&amp;"_"&amp;CY$9)</f>
        <v>96</v>
      </c>
      <c r="DA107" s="20"/>
      <c r="DB107" s="308">
        <f ca="1">IF(CP107=0,0,SUMIFS($P$10:$P106, $C$10:$C106,"&lt;"&amp;$C107, $M$10:$M106,$D107&amp;"_"&amp;DB$9)/CP107)</f>
        <v>0</v>
      </c>
      <c r="DC107" s="263">
        <f ca="1">IF(CQ107=0,0,SUMIFS($P$10:$P106, $C$10:$C106,"&lt;"&amp;$C107, $M$10:$M106,$D107&amp;"_"&amp;DC$9)/CQ107)</f>
        <v>0</v>
      </c>
      <c r="DD107" s="263">
        <f ca="1">IF(CR107=0,0,SUMIFS($P$10:$P106, $C$10:$C106,"&lt;"&amp;$C107, $M$10:$M106,$D107&amp;"_"&amp;DD$9)/CR107)</f>
        <v>0</v>
      </c>
      <c r="DE107" s="262">
        <f ca="1">IF(CS107=0,0,SUMIFS($P$10:$P106, $C$10:$C106,"&lt;"&amp;$C107, $M$10:$M106,$D107&amp;"_"&amp;DE$9)/CS107)</f>
        <v>0</v>
      </c>
      <c r="DF107" s="263">
        <f ca="1">IF(CT107=0,0,SUMIFS($P$10:$P106, $C$10:$C106,"&lt;"&amp;$C107, $M$10:$M106,$D107&amp;"_"&amp;DF$9)/CT107)</f>
        <v>0</v>
      </c>
      <c r="DG107" s="310">
        <f ca="1">IF(CU107=0,0,SUMIFS($P$10:$P106, $C$10:$C106,"&lt;"&amp;$C107, $M$10:$M106,$D107&amp;"_"&amp;DG$9)/CU107)</f>
        <v>0</v>
      </c>
      <c r="DH107" s="263">
        <f ca="1">IF(CV107=0,0,SUMIFS($P$10:$P106, $C$10:$C106,"&lt;"&amp;$C107, $M$10:$M106,$D107&amp;"_"&amp;DH$9)/CV107)</f>
        <v>0</v>
      </c>
      <c r="DI107" s="263">
        <f ca="1">IF(CW107=0,0,SUMIFS($P$10:$P106, $C$10:$C106,"&lt;"&amp;$C107, $M$10:$M106,$D107&amp;"_"&amp;DI$9)/CW107)</f>
        <v>0</v>
      </c>
      <c r="DJ107" s="264">
        <f ca="1">IF(CX107=0,0,SUMIFS($P$10:$P106, $C$10:$C106,"&lt;"&amp;$C107, $M$10:$M106,$D107&amp;"_"&amp;DJ$9)/CX107)</f>
        <v>0</v>
      </c>
      <c r="DK107" s="264">
        <f ca="1">IF(CY107=0,0,SUMIFS($P$10:$P106, $C$10:$C106,"&lt;"&amp;$C107, $M$10:$M106,$D107&amp;"_"&amp;DK$9)/CY107)</f>
        <v>-1</v>
      </c>
      <c r="DM107" s="104"/>
      <c r="DN107" s="306">
        <f t="shared" ca="1" si="222"/>
        <v>-9999</v>
      </c>
      <c r="DO107" s="15">
        <f t="shared" ca="1" si="188"/>
        <v>-9999</v>
      </c>
      <c r="DP107" s="15">
        <f t="shared" ca="1" si="189"/>
        <v>-9999</v>
      </c>
      <c r="DQ107" s="15">
        <f t="shared" ca="1" si="190"/>
        <v>-9999</v>
      </c>
      <c r="DR107" s="15">
        <f t="shared" ca="1" si="191"/>
        <v>-9999</v>
      </c>
      <c r="DS107" s="15">
        <f t="shared" ca="1" si="192"/>
        <v>-9999</v>
      </c>
      <c r="DT107" s="15">
        <f t="shared" ca="1" si="193"/>
        <v>-9999</v>
      </c>
      <c r="DU107" s="15">
        <f t="shared" ca="1" si="194"/>
        <v>-9999</v>
      </c>
      <c r="DV107" s="52">
        <f t="shared" ca="1" si="195"/>
        <v>-9999</v>
      </c>
      <c r="DW107" s="313">
        <f t="shared" ca="1" si="196"/>
        <v>-0.89899011369966275</v>
      </c>
      <c r="DX107" s="52"/>
      <c r="DY107" s="402">
        <f t="shared" ca="1" si="223"/>
        <v>9</v>
      </c>
      <c r="ED107" s="19">
        <f t="shared" ca="1" si="241"/>
        <v>-1</v>
      </c>
      <c r="EE107" s="1">
        <f t="shared" ca="1" si="242"/>
        <v>1</v>
      </c>
      <c r="EF107" s="1">
        <f t="shared" ca="1" si="243"/>
        <v>-1</v>
      </c>
      <c r="EG107" s="2">
        <f t="shared" ca="1" si="244"/>
        <v>1</v>
      </c>
      <c r="EH107" s="1">
        <f t="shared" ca="1" si="245"/>
        <v>-1</v>
      </c>
      <c r="EI107" s="3">
        <f t="shared" ca="1" si="246"/>
        <v>1</v>
      </c>
      <c r="EJ107" s="1">
        <f t="shared" ca="1" si="247"/>
        <v>0</v>
      </c>
      <c r="EK107" s="1">
        <f t="shared" ca="1" si="248"/>
        <v>0</v>
      </c>
      <c r="EL107" s="20">
        <f t="shared" ca="1" si="249"/>
        <v>-1</v>
      </c>
      <c r="EN107" s="86">
        <f ca="1">MAX(0, SUMPRODUCT($ED107:$EL107,OFFSET(DNN!$E$9:$M$9,EN$9,0)) + OFFSET(DNN!$D$9,EN$9,0))</f>
        <v>0</v>
      </c>
      <c r="EO107" s="84">
        <f ca="1">MAX(0, SUMPRODUCT($ED107:$EL107,OFFSET(DNN!$E$9:$M$9,EO$9,0)) + OFFSET(DNN!$D$9,EO$9,0))</f>
        <v>7.2346022384755949E-3</v>
      </c>
      <c r="EP107" s="84">
        <f ca="1">MAX(0, SUMPRODUCT($ED107:$EL107,OFFSET(DNN!$E$9:$M$9,EP$9,0)) + OFFSET(DNN!$D$9,EP$9,0))</f>
        <v>3.6951849750035152E-3</v>
      </c>
      <c r="EQ107" s="84">
        <f ca="1">MAX(0, SUMPRODUCT($ED107:$EL107,OFFSET(DNN!$E$9:$M$9,EQ$9,0)) + OFFSET(DNN!$D$9,EQ$9,0))</f>
        <v>0</v>
      </c>
      <c r="ER107" s="85">
        <f ca="1">MAX(0, SUMPRODUCT($ED107:$EL107,OFFSET(DNN!$E$9:$M$9,ER$9,0)) + OFFSET(DNN!$D$9,ER$9,0))</f>
        <v>0</v>
      </c>
      <c r="ET107" s="86">
        <f ca="1">MAX(0, SUMPRODUCT($EN107:$ER107,OFFSET(DNN!$Q$9:$U$9,ET$9,0)) + OFFSET(DNN!$P$9,ET$9,0))</f>
        <v>4.3954959453478351E-4</v>
      </c>
      <c r="EU107" s="84">
        <f ca="1">MAX(0, SUMPRODUCT($EN107:$ER107,OFFSET(DNN!$Q$9:$U$9,EU$9,0)) + OFFSET(DNN!$P$9,EU$9,0))</f>
        <v>0</v>
      </c>
      <c r="EV107" s="84">
        <f ca="1">MAX(0, SUMPRODUCT($EN107:$ER107,OFFSET(DNN!$Q$9:$U$9,EV$9,0)) + OFFSET(DNN!$P$9,EV$9,0))</f>
        <v>1.2810123361902579E-3</v>
      </c>
      <c r="EW107" s="84">
        <f ca="1">MAX(0, SUMPRODUCT($EN107:$ER107,OFFSET(DNN!$Q$9:$U$9,EW$9,0)) + OFFSET(DNN!$P$9,EW$9,0))</f>
        <v>7.8382123007882457E-4</v>
      </c>
      <c r="EX107" s="85">
        <f ca="1">MAX(0, SUMPRODUCT($EN107:$ER107,OFFSET(DNN!$Q$9:$U$9,EX$9,0)) + OFFSET(DNN!$P$9,EX$9,0))</f>
        <v>0</v>
      </c>
      <c r="EZ107" s="111">
        <f ca="1">SUMPRODUCT($ET107:$EX107,OFFSET(DNN!$Y$9:$AC$9,EZ$9,0)) + OFFSET(DNN!$X$9,EZ$9,0)</f>
        <v>0.43031618918982212</v>
      </c>
      <c r="FA107" s="97">
        <f ca="1">SUMPRODUCT($ET107:$EX107,OFFSET(DNN!$Y$9:$AC$9,FA$9,0)) + OFFSET(DNN!$X$9,FA$9,0)</f>
        <v>-1.2643439935754107E-5</v>
      </c>
      <c r="FB107" s="97">
        <f ca="1">SUMPRODUCT($ET107:$EX107,OFFSET(DNN!$Y$9:$AC$9,FB$9,0)) + OFFSET(DNN!$X$9,FB$9,0)</f>
        <v>1.5239793458415756E-2</v>
      </c>
      <c r="FC107" s="97">
        <f ca="1">SUMPRODUCT($ET107:$EX107,OFFSET(DNN!$Y$9:$AC$9,FC$9,0)) + OFFSET(DNN!$X$9,FC$9,0)</f>
        <v>-8.8749521084055777E-4</v>
      </c>
      <c r="FD107" s="97">
        <f ca="1">SUMPRODUCT($ET107:$EX107,OFFSET(DNN!$Y$9:$AC$9,FD$9,0)) + OFFSET(DNN!$X$9,FD$9,0)</f>
        <v>-4.235816470721872E-4</v>
      </c>
      <c r="FE107" s="97">
        <f ca="1">SUMPRODUCT($ET107:$EX107,OFFSET(DNN!$Y$9:$AC$9,FE$9,0)) + OFFSET(DNN!$X$9,FE$9,0)</f>
        <v>-1.574182761064886E-5</v>
      </c>
      <c r="FF107" s="97">
        <f ca="1">SUMPRODUCT($ET107:$EX107,OFFSET(DNN!$Y$9:$AC$9,FF$9,0)) + OFFSET(DNN!$X$9,FF$9,0)</f>
        <v>-1.3491460223194656E-3</v>
      </c>
      <c r="FG107" s="97">
        <f ca="1">SUMPRODUCT($ET107:$EX107,OFFSET(DNN!$Y$9:$AC$9,FG$9,0)) + OFFSET(DNN!$X$9,FG$9,0)</f>
        <v>-6.2604808096248285E-2</v>
      </c>
      <c r="FH107" s="97">
        <f ca="1">SUMPRODUCT($ET107:$EX107,OFFSET(DNN!$Y$9:$AC$9,FH$9,0)) + OFFSET(DNN!$X$9,FH$9,0)</f>
        <v>8.6810016937029894E-4</v>
      </c>
      <c r="FI107" s="108">
        <f ca="1">SUMPRODUCT($ET107:$EX107,OFFSET(DNN!$Y$9:$AC$9,FI$9,0)) + OFFSET(DNN!$X$9,FI$9,0)</f>
        <v>-1.3182687612562751</v>
      </c>
      <c r="FJ107" s="98">
        <f ca="1">SUMPRODUCT($ET107:$EX107,OFFSET(DNN!$Y$9:$AC$9,FJ$9,0)) + OFFSET(DNN!$X$9,FJ$9,0)</f>
        <v>-2.2535161745939301E-5</v>
      </c>
      <c r="FL107" s="415">
        <f t="shared" ca="1" si="224"/>
        <v>0.43031618918982212</v>
      </c>
      <c r="FM107" s="130">
        <f t="shared" ca="1" si="225"/>
        <v>1</v>
      </c>
      <c r="FN107" s="131">
        <f t="shared" ca="1" si="226"/>
        <v>0.65029522127322903</v>
      </c>
      <c r="FO107" s="131">
        <f t="shared" ca="1" si="227"/>
        <v>0.66028983545318687</v>
      </c>
      <c r="FP107" s="131">
        <f t="shared" ca="1" si="228"/>
        <v>0.64972655813153501</v>
      </c>
      <c r="FQ107" s="131">
        <f t="shared" ca="1" si="229"/>
        <v>0.65002804502111444</v>
      </c>
      <c r="FR107" s="131">
        <f t="shared" ca="1" si="230"/>
        <v>0.65029320640965171</v>
      </c>
      <c r="FS107" s="131">
        <f t="shared" ca="1" si="231"/>
        <v>0.64942668056342145</v>
      </c>
      <c r="FT107" s="131">
        <f t="shared" ca="1" si="232"/>
        <v>0.61083952513994022</v>
      </c>
      <c r="FU107" s="132">
        <f t="shared" ca="1" si="233"/>
        <v>0.6508682169276182</v>
      </c>
      <c r="FV107" s="131">
        <f t="shared" ca="1" si="234"/>
        <v>0.17402001625314881</v>
      </c>
      <c r="FW107" s="83">
        <f t="shared" ca="1" si="235"/>
        <v>-2.2535161742124597E-5</v>
      </c>
    </row>
    <row r="108" spans="1:179">
      <c r="A108" s="19">
        <f t="shared" si="240"/>
        <v>98</v>
      </c>
      <c r="B108" s="1">
        <f t="shared" ca="1" si="236"/>
        <v>0</v>
      </c>
      <c r="C108" s="20">
        <f t="shared" ca="1" si="237"/>
        <v>98</v>
      </c>
      <c r="D108" s="19" t="str">
        <f t="shared" ca="1" si="238"/>
        <v>〇×〇×〇×--〇</v>
      </c>
      <c r="E108" s="7">
        <f t="shared" ca="1" si="206"/>
        <v>9</v>
      </c>
      <c r="F108" s="7">
        <f t="shared" ca="1" si="207"/>
        <v>1</v>
      </c>
      <c r="G108" s="1" t="str">
        <f t="shared" ca="1" si="139"/>
        <v>〇×〇×〇×--〇</v>
      </c>
      <c r="H108" s="20" t="b">
        <f t="shared" ca="1" si="140"/>
        <v>1</v>
      </c>
      <c r="I108" s="22">
        <f t="shared" ca="1" si="239"/>
        <v>-1</v>
      </c>
      <c r="J108" s="1" t="b">
        <f ca="1">(1&lt;COUNTIF(D$10:D108,D108))</f>
        <v>1</v>
      </c>
      <c r="K108" s="1" t="b">
        <f t="shared" ca="1" si="141"/>
        <v>1</v>
      </c>
      <c r="L108" s="7">
        <f ca="1">MATCH(TRUE,K108:K$1048576,FALSE)-1</f>
        <v>0</v>
      </c>
      <c r="M108" s="24" t="str">
        <f t="shared" ca="1" si="142"/>
        <v>〇×〇×〇×--〇_9</v>
      </c>
      <c r="N108" s="25">
        <f t="shared" ca="1" si="208"/>
        <v>-2.2535161742124597E-5</v>
      </c>
      <c r="O108" s="26">
        <f t="shared" ca="1" si="209"/>
        <v>-1</v>
      </c>
      <c r="P108" s="27">
        <f t="shared" ca="1" si="210"/>
        <v>-1</v>
      </c>
      <c r="R108" s="41" t="str">
        <f ca="1">VLOOKUP(S108,cvt!$B$2:$C$4,2,FALSE)&amp;VLOOKUP(T108,cvt!$B$2:$C$4,2,FALSE)&amp;VLOOKUP(U108,cvt!$B$2:$C$4,2,FALSE)
&amp;VLOOKUP(V108,cvt!$B$2:$C$4,2,FALSE)&amp;VLOOKUP(W108,cvt!$B$2:$C$4,2,FALSE)&amp;VLOOKUP(X108,cvt!$B$2:$C$4,2,FALSE)
&amp;VLOOKUP(Y108,cvt!$B$2:$C$4,2,FALSE)&amp;VLOOKUP(Z108,cvt!$B$2:$C$4,2,FALSE)&amp;VLOOKUP(AA108,cvt!$B$2:$C$4,2,FALSE)</f>
        <v>〇×〇×〇×--〇</v>
      </c>
      <c r="S108" s="7">
        <f ca="1">VLOOKUP(MID($D108,S$9+1,1), cvt!$A$2:$B$4,2, FALSE)</f>
        <v>1</v>
      </c>
      <c r="T108" s="7">
        <f ca="1">VLOOKUP(MID($D108,T$9+1,1), cvt!$A$2:$B$4,2, FALSE)</f>
        <v>-1</v>
      </c>
      <c r="U108" s="7">
        <f ca="1">VLOOKUP(MID($D108,U$9+1,1), cvt!$A$2:$B$4,2, FALSE)</f>
        <v>1</v>
      </c>
      <c r="V108" s="17">
        <f ca="1">VLOOKUP(MID($D108,V$9+1,1), cvt!$A$2:$B$4,2, FALSE)</f>
        <v>-1</v>
      </c>
      <c r="W108" s="7">
        <f ca="1">VLOOKUP(MID($D108,W$9+1,1), cvt!$A$2:$B$4,2, FALSE)</f>
        <v>1</v>
      </c>
      <c r="X108" s="18">
        <f ca="1">VLOOKUP(MID($D108,X$9+1,1), cvt!$A$2:$B$4,2, FALSE)</f>
        <v>-1</v>
      </c>
      <c r="Y108" s="7">
        <f ca="1">VLOOKUP(MID($D108,Y$9+1,1), cvt!$A$2:$B$4,2, FALSE)</f>
        <v>0</v>
      </c>
      <c r="Z108" s="7">
        <f ca="1">VLOOKUP(MID($D108,Z$9+1,1), cvt!$A$2:$B$4,2, FALSE)</f>
        <v>0</v>
      </c>
      <c r="AA108" s="42">
        <f ca="1">VLOOKUP(MID($D108,AA$9+1,1), cvt!$A$2:$B$4,2, FALSE)</f>
        <v>1</v>
      </c>
      <c r="AB108" s="7">
        <f t="shared" ca="1" si="211"/>
        <v>1</v>
      </c>
      <c r="AC108" s="50" t="b">
        <f t="shared" ca="1" si="212"/>
        <v>1</v>
      </c>
      <c r="AE108" s="19" t="str">
        <f ca="1">VLOOKUP(AF108,cvt!$B$2:$C$4,2,FALSE)&amp;VLOOKUP(AG108,cvt!$B$2:$C$4,2,FALSE)&amp;VLOOKUP(AH108,cvt!$B$2:$C$4,2,FALSE)
&amp;VLOOKUP(AI108,cvt!$B$2:$C$4,2,FALSE)&amp;VLOOKUP(AJ108,cvt!$B$2:$C$4,2,FALSE)&amp;VLOOKUP(AK108,cvt!$B$2:$C$4,2,FALSE)
&amp;VLOOKUP(AL108,cvt!$B$2:$C$4,2,FALSE)&amp;VLOOKUP(AM108,cvt!$B$2:$C$4,2,FALSE)&amp;VLOOKUP(AN108,cvt!$B$2:$C$4,2,FALSE)</f>
        <v>〇×〇×〇×--〇</v>
      </c>
      <c r="AF108" s="17">
        <f t="shared" ca="1" si="143"/>
        <v>1</v>
      </c>
      <c r="AG108" s="7">
        <f t="shared" ca="1" si="144"/>
        <v>-1</v>
      </c>
      <c r="AH108" s="7">
        <f t="shared" ca="1" si="145"/>
        <v>1</v>
      </c>
      <c r="AI108" s="17">
        <f t="shared" ca="1" si="146"/>
        <v>-1</v>
      </c>
      <c r="AJ108" s="7">
        <f t="shared" ca="1" si="147"/>
        <v>1</v>
      </c>
      <c r="AK108" s="18">
        <f t="shared" ca="1" si="148"/>
        <v>-1</v>
      </c>
      <c r="AL108" s="7">
        <f t="shared" ca="1" si="149"/>
        <v>0</v>
      </c>
      <c r="AM108" s="7">
        <f t="shared" ca="1" si="150"/>
        <v>0</v>
      </c>
      <c r="AN108" s="18">
        <f t="shared" ca="1" si="151"/>
        <v>1</v>
      </c>
      <c r="AO108" s="7">
        <f t="shared" ca="1" si="213"/>
        <v>1</v>
      </c>
      <c r="AP108" s="50" t="b">
        <f t="shared" ca="1" si="152"/>
        <v>1</v>
      </c>
      <c r="AS108" s="22">
        <f t="shared" ca="1" si="214"/>
        <v>0</v>
      </c>
      <c r="AT108" s="7">
        <f t="shared" ca="1" si="153"/>
        <v>0</v>
      </c>
      <c r="AU108" s="7">
        <f t="shared" ca="1" si="154"/>
        <v>0</v>
      </c>
      <c r="AV108" s="7">
        <f t="shared" ca="1" si="155"/>
        <v>0</v>
      </c>
      <c r="AW108" s="7">
        <f t="shared" ca="1" si="156"/>
        <v>0</v>
      </c>
      <c r="AX108" s="7">
        <f t="shared" ca="1" si="157"/>
        <v>0</v>
      </c>
      <c r="AY108" s="7">
        <f t="shared" ca="1" si="158"/>
        <v>0</v>
      </c>
      <c r="AZ108" s="7">
        <f t="shared" ca="1" si="159"/>
        <v>0</v>
      </c>
      <c r="BA108" s="18">
        <f t="shared" ca="1" si="160"/>
        <v>0</v>
      </c>
      <c r="BB108" s="295">
        <f t="shared" ca="1" si="215"/>
        <v>1</v>
      </c>
      <c r="BD108" s="132"/>
      <c r="BE108" s="297">
        <f t="shared" ca="1" si="216"/>
        <v>1</v>
      </c>
      <c r="BF108" s="298">
        <f t="shared" ca="1" si="161"/>
        <v>0.65029522127322903</v>
      </c>
      <c r="BG108" s="298">
        <f t="shared" ca="1" si="162"/>
        <v>0.66028983545318687</v>
      </c>
      <c r="BH108" s="318">
        <f t="shared" ca="1" si="163"/>
        <v>0.64972655813153501</v>
      </c>
      <c r="BI108" s="298">
        <f t="shared" ca="1" si="164"/>
        <v>0.65002804502111444</v>
      </c>
      <c r="BJ108" s="299">
        <f t="shared" ca="1" si="165"/>
        <v>0.65029320640965171</v>
      </c>
      <c r="BK108" s="298">
        <f t="shared" ca="1" si="166"/>
        <v>0.64942668056342145</v>
      </c>
      <c r="BL108" s="298">
        <f t="shared" ca="1" si="167"/>
        <v>0.61083952513994022</v>
      </c>
      <c r="BM108" s="299">
        <f t="shared" ca="1" si="168"/>
        <v>0.6508682169276182</v>
      </c>
      <c r="BN108" s="295">
        <f t="shared" ca="1" si="169"/>
        <v>0.17402001625314881</v>
      </c>
      <c r="BO108" s="248">
        <f t="shared" ca="1" si="217"/>
        <v>-2.2535161742124597E-5</v>
      </c>
      <c r="BQ108" s="304">
        <f t="shared" ca="1" si="218"/>
        <v>0.1741200162531488</v>
      </c>
      <c r="BR108" s="297">
        <f t="shared" ca="1" si="219"/>
        <v>0</v>
      </c>
      <c r="BS108" s="298">
        <f t="shared" ca="1" si="170"/>
        <v>0</v>
      </c>
      <c r="BT108" s="298">
        <f t="shared" ca="1" si="171"/>
        <v>0</v>
      </c>
      <c r="BU108" s="318">
        <f t="shared" ca="1" si="172"/>
        <v>0</v>
      </c>
      <c r="BV108" s="298">
        <f t="shared" ca="1" si="173"/>
        <v>0</v>
      </c>
      <c r="BW108" s="299">
        <f t="shared" ca="1" si="174"/>
        <v>0</v>
      </c>
      <c r="BX108" s="298">
        <f t="shared" ca="1" si="175"/>
        <v>0</v>
      </c>
      <c r="BY108" s="298">
        <f t="shared" ca="1" si="176"/>
        <v>0</v>
      </c>
      <c r="BZ108" s="298">
        <f t="shared" ca="1" si="177"/>
        <v>0</v>
      </c>
      <c r="CA108" s="315">
        <f t="shared" ca="1" si="178"/>
        <v>0.1741200162531488</v>
      </c>
      <c r="CC108" s="52"/>
      <c r="CD108" s="306">
        <f t="shared" ca="1" si="220"/>
        <v>0</v>
      </c>
      <c r="CE108" s="15">
        <f t="shared" ca="1" si="179"/>
        <v>0</v>
      </c>
      <c r="CF108" s="15">
        <f t="shared" ca="1" si="180"/>
        <v>0</v>
      </c>
      <c r="CG108" s="286">
        <f t="shared" ca="1" si="181"/>
        <v>0</v>
      </c>
      <c r="CH108" s="15">
        <f t="shared" ca="1" si="182"/>
        <v>0</v>
      </c>
      <c r="CI108" s="288">
        <f t="shared" ca="1" si="183"/>
        <v>0</v>
      </c>
      <c r="CJ108" s="15">
        <f t="shared" ca="1" si="184"/>
        <v>0</v>
      </c>
      <c r="CK108" s="15">
        <f t="shared" ca="1" si="185"/>
        <v>0</v>
      </c>
      <c r="CL108" s="15">
        <f t="shared" ca="1" si="186"/>
        <v>0</v>
      </c>
      <c r="CM108" s="313">
        <f t="shared" ca="1" si="187"/>
        <v>1</v>
      </c>
      <c r="CO108" s="320">
        <f t="shared" ca="1" si="221"/>
        <v>97</v>
      </c>
      <c r="CP108" s="22">
        <f ca="1">COUNTIFS($C$10:$C107,"&lt;"&amp;$C108,$M$10:$M107,$D108&amp;"_"&amp;CP$9)</f>
        <v>0</v>
      </c>
      <c r="CQ108" s="7">
        <f ca="1">COUNTIFS($C$10:$C107,"&lt;"&amp;$C108,$M$10:$M107,$D108&amp;"_"&amp;CQ$9)</f>
        <v>0</v>
      </c>
      <c r="CR108" s="7">
        <f ca="1">COUNTIFS($C$10:$C107,"&lt;"&amp;$C108,$M$10:$M107,$D108&amp;"_"&amp;CR$9)</f>
        <v>0</v>
      </c>
      <c r="CS108" s="17">
        <f ca="1">COUNTIFS($C$10:$C107,"&lt;"&amp;$C108,$M$10:$M107,$D108&amp;"_"&amp;CS$9)</f>
        <v>0</v>
      </c>
      <c r="CT108" s="7">
        <f ca="1">COUNTIFS($C$10:$C107,"&lt;"&amp;$C108,$M$10:$M107,$D108&amp;"_"&amp;CT$9)</f>
        <v>0</v>
      </c>
      <c r="CU108" s="18">
        <f ca="1">COUNTIFS($C$10:$C107,"&lt;"&amp;$C108,$M$10:$M107,$D108&amp;"_"&amp;CU$9)</f>
        <v>0</v>
      </c>
      <c r="CV108" s="7">
        <f ca="1">COUNTIFS($C$10:$C107,"&lt;"&amp;$C108,$M$10:$M107,$D108&amp;"_"&amp;CV$9)</f>
        <v>0</v>
      </c>
      <c r="CW108" s="7">
        <f ca="1">COUNTIFS($C$10:$C107,"&lt;"&amp;$C108,$M$10:$M107,$D108&amp;"_"&amp;CW$9)</f>
        <v>0</v>
      </c>
      <c r="CX108" s="7">
        <f ca="1">COUNTIFS($C$10:$C107,"&lt;"&amp;$C108,$M$10:$M107,$D108&amp;"_"&amp;CX$9)</f>
        <v>0</v>
      </c>
      <c r="CY108" s="221">
        <f ca="1">COUNTIFS($C$10:$C107,"&lt;"&amp;$C108,$M$10:$M107,$D108&amp;"_"&amp;CY$9)</f>
        <v>97</v>
      </c>
      <c r="DA108" s="20"/>
      <c r="DB108" s="308">
        <f ca="1">IF(CP108=0,0,SUMIFS($P$10:$P107, $C$10:$C107,"&lt;"&amp;$C108, $M$10:$M107,$D108&amp;"_"&amp;DB$9)/CP108)</f>
        <v>0</v>
      </c>
      <c r="DC108" s="263">
        <f ca="1">IF(CQ108=0,0,SUMIFS($P$10:$P107, $C$10:$C107,"&lt;"&amp;$C108, $M$10:$M107,$D108&amp;"_"&amp;DC$9)/CQ108)</f>
        <v>0</v>
      </c>
      <c r="DD108" s="263">
        <f ca="1">IF(CR108=0,0,SUMIFS($P$10:$P107, $C$10:$C107,"&lt;"&amp;$C108, $M$10:$M107,$D108&amp;"_"&amp;DD$9)/CR108)</f>
        <v>0</v>
      </c>
      <c r="DE108" s="262">
        <f ca="1">IF(CS108=0,0,SUMIFS($P$10:$P107, $C$10:$C107,"&lt;"&amp;$C108, $M$10:$M107,$D108&amp;"_"&amp;DE$9)/CS108)</f>
        <v>0</v>
      </c>
      <c r="DF108" s="263">
        <f ca="1">IF(CT108=0,0,SUMIFS($P$10:$P107, $C$10:$C107,"&lt;"&amp;$C108, $M$10:$M107,$D108&amp;"_"&amp;DF$9)/CT108)</f>
        <v>0</v>
      </c>
      <c r="DG108" s="310">
        <f ca="1">IF(CU108=0,0,SUMIFS($P$10:$P107, $C$10:$C107,"&lt;"&amp;$C108, $M$10:$M107,$D108&amp;"_"&amp;DG$9)/CU108)</f>
        <v>0</v>
      </c>
      <c r="DH108" s="263">
        <f ca="1">IF(CV108=0,0,SUMIFS($P$10:$P107, $C$10:$C107,"&lt;"&amp;$C108, $M$10:$M107,$D108&amp;"_"&amp;DH$9)/CV108)</f>
        <v>0</v>
      </c>
      <c r="DI108" s="263">
        <f ca="1">IF(CW108=0,0,SUMIFS($P$10:$P107, $C$10:$C107,"&lt;"&amp;$C108, $M$10:$M107,$D108&amp;"_"&amp;DI$9)/CW108)</f>
        <v>0</v>
      </c>
      <c r="DJ108" s="264">
        <f ca="1">IF(CX108=0,0,SUMIFS($P$10:$P107, $C$10:$C107,"&lt;"&amp;$C108, $M$10:$M107,$D108&amp;"_"&amp;DJ$9)/CX108)</f>
        <v>0</v>
      </c>
      <c r="DK108" s="264">
        <f ca="1">IF(CY108=0,0,SUMIFS($P$10:$P107, $C$10:$C107,"&lt;"&amp;$C108, $M$10:$M107,$D108&amp;"_"&amp;DK$9)/CY108)</f>
        <v>-1</v>
      </c>
      <c r="DM108" s="104"/>
      <c r="DN108" s="306">
        <f t="shared" ca="1" si="222"/>
        <v>-9999</v>
      </c>
      <c r="DO108" s="15">
        <f t="shared" ca="1" si="188"/>
        <v>-9999</v>
      </c>
      <c r="DP108" s="15">
        <f t="shared" ca="1" si="189"/>
        <v>-9999</v>
      </c>
      <c r="DQ108" s="15">
        <f t="shared" ca="1" si="190"/>
        <v>-9999</v>
      </c>
      <c r="DR108" s="15">
        <f t="shared" ca="1" si="191"/>
        <v>-9999</v>
      </c>
      <c r="DS108" s="15">
        <f t="shared" ca="1" si="192"/>
        <v>-9999</v>
      </c>
      <c r="DT108" s="15">
        <f t="shared" ca="1" si="193"/>
        <v>-9999</v>
      </c>
      <c r="DU108" s="15">
        <f t="shared" ca="1" si="194"/>
        <v>-9999</v>
      </c>
      <c r="DV108" s="52">
        <f t="shared" ca="1" si="195"/>
        <v>-9999</v>
      </c>
      <c r="DW108" s="313">
        <f t="shared" ca="1" si="196"/>
        <v>-0.89950145100208057</v>
      </c>
      <c r="DX108" s="52"/>
      <c r="DY108" s="402">
        <f t="shared" ca="1" si="223"/>
        <v>9</v>
      </c>
      <c r="ED108" s="19">
        <f t="shared" ca="1" si="241"/>
        <v>-1</v>
      </c>
      <c r="EE108" s="1">
        <f t="shared" ca="1" si="242"/>
        <v>1</v>
      </c>
      <c r="EF108" s="1">
        <f t="shared" ca="1" si="243"/>
        <v>-1</v>
      </c>
      <c r="EG108" s="2">
        <f t="shared" ca="1" si="244"/>
        <v>1</v>
      </c>
      <c r="EH108" s="1">
        <f t="shared" ca="1" si="245"/>
        <v>-1</v>
      </c>
      <c r="EI108" s="3">
        <f t="shared" ca="1" si="246"/>
        <v>1</v>
      </c>
      <c r="EJ108" s="1">
        <f t="shared" ca="1" si="247"/>
        <v>0</v>
      </c>
      <c r="EK108" s="1">
        <f t="shared" ca="1" si="248"/>
        <v>0</v>
      </c>
      <c r="EL108" s="20">
        <f t="shared" ca="1" si="249"/>
        <v>-1</v>
      </c>
      <c r="EN108" s="86">
        <f ca="1">MAX(0, SUMPRODUCT($ED108:$EL108,OFFSET(DNN!$E$9:$M$9,EN$9,0)) + OFFSET(DNN!$D$9,EN$9,0))</f>
        <v>0</v>
      </c>
      <c r="EO108" s="84">
        <f ca="1">MAX(0, SUMPRODUCT($ED108:$EL108,OFFSET(DNN!$E$9:$M$9,EO$9,0)) + OFFSET(DNN!$D$9,EO$9,0))</f>
        <v>7.2346022384755949E-3</v>
      </c>
      <c r="EP108" s="84">
        <f ca="1">MAX(0, SUMPRODUCT($ED108:$EL108,OFFSET(DNN!$E$9:$M$9,EP$9,0)) + OFFSET(DNN!$D$9,EP$9,0))</f>
        <v>3.6951849750035152E-3</v>
      </c>
      <c r="EQ108" s="84">
        <f ca="1">MAX(0, SUMPRODUCT($ED108:$EL108,OFFSET(DNN!$E$9:$M$9,EQ$9,0)) + OFFSET(DNN!$D$9,EQ$9,0))</f>
        <v>0</v>
      </c>
      <c r="ER108" s="85">
        <f ca="1">MAX(0, SUMPRODUCT($ED108:$EL108,OFFSET(DNN!$E$9:$M$9,ER$9,0)) + OFFSET(DNN!$D$9,ER$9,0))</f>
        <v>0</v>
      </c>
      <c r="ET108" s="86">
        <f ca="1">MAX(0, SUMPRODUCT($EN108:$ER108,OFFSET(DNN!$Q$9:$U$9,ET$9,0)) + OFFSET(DNN!$P$9,ET$9,0))</f>
        <v>4.3954959453478351E-4</v>
      </c>
      <c r="EU108" s="84">
        <f ca="1">MAX(0, SUMPRODUCT($EN108:$ER108,OFFSET(DNN!$Q$9:$U$9,EU$9,0)) + OFFSET(DNN!$P$9,EU$9,0))</f>
        <v>0</v>
      </c>
      <c r="EV108" s="84">
        <f ca="1">MAX(0, SUMPRODUCT($EN108:$ER108,OFFSET(DNN!$Q$9:$U$9,EV$9,0)) + OFFSET(DNN!$P$9,EV$9,0))</f>
        <v>1.2810123361902579E-3</v>
      </c>
      <c r="EW108" s="84">
        <f ca="1">MAX(0, SUMPRODUCT($EN108:$ER108,OFFSET(DNN!$Q$9:$U$9,EW$9,0)) + OFFSET(DNN!$P$9,EW$9,0))</f>
        <v>7.8382123007882457E-4</v>
      </c>
      <c r="EX108" s="85">
        <f ca="1">MAX(0, SUMPRODUCT($EN108:$ER108,OFFSET(DNN!$Q$9:$U$9,EX$9,0)) + OFFSET(DNN!$P$9,EX$9,0))</f>
        <v>0</v>
      </c>
      <c r="EZ108" s="111">
        <f ca="1">SUMPRODUCT($ET108:$EX108,OFFSET(DNN!$Y$9:$AC$9,EZ$9,0)) + OFFSET(DNN!$X$9,EZ$9,0)</f>
        <v>0.43031618918982212</v>
      </c>
      <c r="FA108" s="97">
        <f ca="1">SUMPRODUCT($ET108:$EX108,OFFSET(DNN!$Y$9:$AC$9,FA$9,0)) + OFFSET(DNN!$X$9,FA$9,0)</f>
        <v>-1.2643439935754107E-5</v>
      </c>
      <c r="FB108" s="97">
        <f ca="1">SUMPRODUCT($ET108:$EX108,OFFSET(DNN!$Y$9:$AC$9,FB$9,0)) + OFFSET(DNN!$X$9,FB$9,0)</f>
        <v>1.5239793458415756E-2</v>
      </c>
      <c r="FC108" s="97">
        <f ca="1">SUMPRODUCT($ET108:$EX108,OFFSET(DNN!$Y$9:$AC$9,FC$9,0)) + OFFSET(DNN!$X$9,FC$9,0)</f>
        <v>-8.8749521084055777E-4</v>
      </c>
      <c r="FD108" s="97">
        <f ca="1">SUMPRODUCT($ET108:$EX108,OFFSET(DNN!$Y$9:$AC$9,FD$9,0)) + OFFSET(DNN!$X$9,FD$9,0)</f>
        <v>-4.235816470721872E-4</v>
      </c>
      <c r="FE108" s="97">
        <f ca="1">SUMPRODUCT($ET108:$EX108,OFFSET(DNN!$Y$9:$AC$9,FE$9,0)) + OFFSET(DNN!$X$9,FE$9,0)</f>
        <v>-1.574182761064886E-5</v>
      </c>
      <c r="FF108" s="97">
        <f ca="1">SUMPRODUCT($ET108:$EX108,OFFSET(DNN!$Y$9:$AC$9,FF$9,0)) + OFFSET(DNN!$X$9,FF$9,0)</f>
        <v>-1.3491460223194656E-3</v>
      </c>
      <c r="FG108" s="97">
        <f ca="1">SUMPRODUCT($ET108:$EX108,OFFSET(DNN!$Y$9:$AC$9,FG$9,0)) + OFFSET(DNN!$X$9,FG$9,0)</f>
        <v>-6.2604808096248285E-2</v>
      </c>
      <c r="FH108" s="97">
        <f ca="1">SUMPRODUCT($ET108:$EX108,OFFSET(DNN!$Y$9:$AC$9,FH$9,0)) + OFFSET(DNN!$X$9,FH$9,0)</f>
        <v>8.6810016937029894E-4</v>
      </c>
      <c r="FI108" s="108">
        <f ca="1">SUMPRODUCT($ET108:$EX108,OFFSET(DNN!$Y$9:$AC$9,FI$9,0)) + OFFSET(DNN!$X$9,FI$9,0)</f>
        <v>-1.3182687612562751</v>
      </c>
      <c r="FJ108" s="98">
        <f ca="1">SUMPRODUCT($ET108:$EX108,OFFSET(DNN!$Y$9:$AC$9,FJ$9,0)) + OFFSET(DNN!$X$9,FJ$9,0)</f>
        <v>-2.2535161745939301E-5</v>
      </c>
      <c r="FL108" s="415">
        <f t="shared" ca="1" si="224"/>
        <v>0.43031618918982212</v>
      </c>
      <c r="FM108" s="130">
        <f t="shared" ca="1" si="225"/>
        <v>1</v>
      </c>
      <c r="FN108" s="131">
        <f t="shared" ca="1" si="226"/>
        <v>0.65029522127322903</v>
      </c>
      <c r="FO108" s="131">
        <f t="shared" ca="1" si="227"/>
        <v>0.66028983545318687</v>
      </c>
      <c r="FP108" s="131">
        <f t="shared" ca="1" si="228"/>
        <v>0.64972655813153501</v>
      </c>
      <c r="FQ108" s="131">
        <f t="shared" ca="1" si="229"/>
        <v>0.65002804502111444</v>
      </c>
      <c r="FR108" s="131">
        <f t="shared" ca="1" si="230"/>
        <v>0.65029320640965171</v>
      </c>
      <c r="FS108" s="131">
        <f t="shared" ca="1" si="231"/>
        <v>0.64942668056342145</v>
      </c>
      <c r="FT108" s="131">
        <f t="shared" ca="1" si="232"/>
        <v>0.61083952513994022</v>
      </c>
      <c r="FU108" s="132">
        <f t="shared" ca="1" si="233"/>
        <v>0.6508682169276182</v>
      </c>
      <c r="FV108" s="131">
        <f t="shared" ca="1" si="234"/>
        <v>0.17402001625314881</v>
      </c>
      <c r="FW108" s="83">
        <f t="shared" ca="1" si="235"/>
        <v>-2.2535161742124597E-5</v>
      </c>
    </row>
    <row r="109" spans="1:179">
      <c r="A109" s="19">
        <f t="shared" si="240"/>
        <v>99</v>
      </c>
      <c r="B109" s="1">
        <f t="shared" ca="1" si="236"/>
        <v>0</v>
      </c>
      <c r="C109" s="20">
        <f t="shared" ca="1" si="237"/>
        <v>99</v>
      </c>
      <c r="D109" s="19" t="str">
        <f t="shared" ca="1" si="238"/>
        <v>〇×〇×〇×--〇</v>
      </c>
      <c r="E109" s="7">
        <f t="shared" ca="1" si="206"/>
        <v>9</v>
      </c>
      <c r="F109" s="7">
        <f t="shared" ca="1" si="207"/>
        <v>1</v>
      </c>
      <c r="G109" s="1" t="str">
        <f t="shared" ca="1" si="139"/>
        <v>〇×〇×〇×--〇</v>
      </c>
      <c r="H109" s="20" t="b">
        <f t="shared" ca="1" si="140"/>
        <v>1</v>
      </c>
      <c r="I109" s="22">
        <f t="shared" ca="1" si="239"/>
        <v>-1</v>
      </c>
      <c r="J109" s="1" t="b">
        <f ca="1">(1&lt;COUNTIF(D$10:D109,D109))</f>
        <v>1</v>
      </c>
      <c r="K109" s="1" t="b">
        <f t="shared" ca="1" si="141"/>
        <v>1</v>
      </c>
      <c r="L109" s="7">
        <f ca="1">MATCH(TRUE,K109:K$1048576,FALSE)-1</f>
        <v>0</v>
      </c>
      <c r="M109" s="24" t="str">
        <f t="shared" ca="1" si="142"/>
        <v>〇×〇×〇×--〇_9</v>
      </c>
      <c r="N109" s="25">
        <f t="shared" ca="1" si="208"/>
        <v>-2.2535161742124597E-5</v>
      </c>
      <c r="O109" s="26">
        <f t="shared" ca="1" si="209"/>
        <v>-1</v>
      </c>
      <c r="P109" s="27">
        <f t="shared" ca="1" si="210"/>
        <v>-1</v>
      </c>
      <c r="R109" s="41" t="str">
        <f ca="1">VLOOKUP(S109,cvt!$B$2:$C$4,2,FALSE)&amp;VLOOKUP(T109,cvt!$B$2:$C$4,2,FALSE)&amp;VLOOKUP(U109,cvt!$B$2:$C$4,2,FALSE)
&amp;VLOOKUP(V109,cvt!$B$2:$C$4,2,FALSE)&amp;VLOOKUP(W109,cvt!$B$2:$C$4,2,FALSE)&amp;VLOOKUP(X109,cvt!$B$2:$C$4,2,FALSE)
&amp;VLOOKUP(Y109,cvt!$B$2:$C$4,2,FALSE)&amp;VLOOKUP(Z109,cvt!$B$2:$C$4,2,FALSE)&amp;VLOOKUP(AA109,cvt!$B$2:$C$4,2,FALSE)</f>
        <v>〇×〇×〇×--〇</v>
      </c>
      <c r="S109" s="7">
        <f ca="1">VLOOKUP(MID($D109,S$9+1,1), cvt!$A$2:$B$4,2, FALSE)</f>
        <v>1</v>
      </c>
      <c r="T109" s="7">
        <f ca="1">VLOOKUP(MID($D109,T$9+1,1), cvt!$A$2:$B$4,2, FALSE)</f>
        <v>-1</v>
      </c>
      <c r="U109" s="7">
        <f ca="1">VLOOKUP(MID($D109,U$9+1,1), cvt!$A$2:$B$4,2, FALSE)</f>
        <v>1</v>
      </c>
      <c r="V109" s="17">
        <f ca="1">VLOOKUP(MID($D109,V$9+1,1), cvt!$A$2:$B$4,2, FALSE)</f>
        <v>-1</v>
      </c>
      <c r="W109" s="7">
        <f ca="1">VLOOKUP(MID($D109,W$9+1,1), cvt!$A$2:$B$4,2, FALSE)</f>
        <v>1</v>
      </c>
      <c r="X109" s="18">
        <f ca="1">VLOOKUP(MID($D109,X$9+1,1), cvt!$A$2:$B$4,2, FALSE)</f>
        <v>-1</v>
      </c>
      <c r="Y109" s="7">
        <f ca="1">VLOOKUP(MID($D109,Y$9+1,1), cvt!$A$2:$B$4,2, FALSE)</f>
        <v>0</v>
      </c>
      <c r="Z109" s="7">
        <f ca="1">VLOOKUP(MID($D109,Z$9+1,1), cvt!$A$2:$B$4,2, FALSE)</f>
        <v>0</v>
      </c>
      <c r="AA109" s="42">
        <f ca="1">VLOOKUP(MID($D109,AA$9+1,1), cvt!$A$2:$B$4,2, FALSE)</f>
        <v>1</v>
      </c>
      <c r="AB109" s="7">
        <f t="shared" ca="1" si="211"/>
        <v>1</v>
      </c>
      <c r="AC109" s="50" t="b">
        <f t="shared" ca="1" si="212"/>
        <v>1</v>
      </c>
      <c r="AE109" s="19" t="str">
        <f ca="1">VLOOKUP(AF109,cvt!$B$2:$C$4,2,FALSE)&amp;VLOOKUP(AG109,cvt!$B$2:$C$4,2,FALSE)&amp;VLOOKUP(AH109,cvt!$B$2:$C$4,2,FALSE)
&amp;VLOOKUP(AI109,cvt!$B$2:$C$4,2,FALSE)&amp;VLOOKUP(AJ109,cvt!$B$2:$C$4,2,FALSE)&amp;VLOOKUP(AK109,cvt!$B$2:$C$4,2,FALSE)
&amp;VLOOKUP(AL109,cvt!$B$2:$C$4,2,FALSE)&amp;VLOOKUP(AM109,cvt!$B$2:$C$4,2,FALSE)&amp;VLOOKUP(AN109,cvt!$B$2:$C$4,2,FALSE)</f>
        <v>〇×〇×〇×--〇</v>
      </c>
      <c r="AF109" s="17">
        <f t="shared" ca="1" si="143"/>
        <v>1</v>
      </c>
      <c r="AG109" s="7">
        <f t="shared" ca="1" si="144"/>
        <v>-1</v>
      </c>
      <c r="AH109" s="7">
        <f t="shared" ca="1" si="145"/>
        <v>1</v>
      </c>
      <c r="AI109" s="17">
        <f t="shared" ca="1" si="146"/>
        <v>-1</v>
      </c>
      <c r="AJ109" s="7">
        <f t="shared" ca="1" si="147"/>
        <v>1</v>
      </c>
      <c r="AK109" s="18">
        <f t="shared" ca="1" si="148"/>
        <v>-1</v>
      </c>
      <c r="AL109" s="7">
        <f t="shared" ca="1" si="149"/>
        <v>0</v>
      </c>
      <c r="AM109" s="7">
        <f t="shared" ca="1" si="150"/>
        <v>0</v>
      </c>
      <c r="AN109" s="18">
        <f t="shared" ca="1" si="151"/>
        <v>1</v>
      </c>
      <c r="AO109" s="7">
        <f t="shared" ca="1" si="213"/>
        <v>1</v>
      </c>
      <c r="AP109" s="50" t="b">
        <f t="shared" ca="1" si="152"/>
        <v>1</v>
      </c>
      <c r="AS109" s="22">
        <f t="shared" ca="1" si="214"/>
        <v>0</v>
      </c>
      <c r="AT109" s="7">
        <f t="shared" ca="1" si="153"/>
        <v>0</v>
      </c>
      <c r="AU109" s="7">
        <f t="shared" ca="1" si="154"/>
        <v>0</v>
      </c>
      <c r="AV109" s="7">
        <f t="shared" ca="1" si="155"/>
        <v>0</v>
      </c>
      <c r="AW109" s="7">
        <f t="shared" ca="1" si="156"/>
        <v>0</v>
      </c>
      <c r="AX109" s="7">
        <f t="shared" ca="1" si="157"/>
        <v>0</v>
      </c>
      <c r="AY109" s="7">
        <f t="shared" ca="1" si="158"/>
        <v>0</v>
      </c>
      <c r="AZ109" s="7">
        <f t="shared" ca="1" si="159"/>
        <v>0</v>
      </c>
      <c r="BA109" s="18">
        <f t="shared" ca="1" si="160"/>
        <v>0</v>
      </c>
      <c r="BB109" s="295">
        <f t="shared" ca="1" si="215"/>
        <v>1</v>
      </c>
      <c r="BD109" s="132"/>
      <c r="BE109" s="297">
        <f t="shared" ca="1" si="216"/>
        <v>1</v>
      </c>
      <c r="BF109" s="298">
        <f t="shared" ca="1" si="161"/>
        <v>0.65029522127322903</v>
      </c>
      <c r="BG109" s="298">
        <f t="shared" ca="1" si="162"/>
        <v>0.66028983545318687</v>
      </c>
      <c r="BH109" s="318">
        <f t="shared" ca="1" si="163"/>
        <v>0.64972655813153501</v>
      </c>
      <c r="BI109" s="298">
        <f t="shared" ca="1" si="164"/>
        <v>0.65002804502111444</v>
      </c>
      <c r="BJ109" s="299">
        <f t="shared" ca="1" si="165"/>
        <v>0.65029320640965171</v>
      </c>
      <c r="BK109" s="298">
        <f t="shared" ca="1" si="166"/>
        <v>0.64942668056342145</v>
      </c>
      <c r="BL109" s="298">
        <f t="shared" ca="1" si="167"/>
        <v>0.61083952513994022</v>
      </c>
      <c r="BM109" s="299">
        <f t="shared" ca="1" si="168"/>
        <v>0.6508682169276182</v>
      </c>
      <c r="BN109" s="295">
        <f t="shared" ca="1" si="169"/>
        <v>0.17402001625314881</v>
      </c>
      <c r="BO109" s="248">
        <f t="shared" ca="1" si="217"/>
        <v>-2.2535161742124597E-5</v>
      </c>
      <c r="BQ109" s="304">
        <f t="shared" ca="1" si="218"/>
        <v>0.42412001625314877</v>
      </c>
      <c r="BR109" s="297">
        <f t="shared" ca="1" si="219"/>
        <v>0</v>
      </c>
      <c r="BS109" s="298">
        <f t="shared" ca="1" si="170"/>
        <v>0</v>
      </c>
      <c r="BT109" s="298">
        <f t="shared" ca="1" si="171"/>
        <v>0</v>
      </c>
      <c r="BU109" s="318">
        <f t="shared" ca="1" si="172"/>
        <v>0</v>
      </c>
      <c r="BV109" s="298">
        <f t="shared" ca="1" si="173"/>
        <v>0</v>
      </c>
      <c r="BW109" s="299">
        <f t="shared" ca="1" si="174"/>
        <v>0</v>
      </c>
      <c r="BX109" s="298">
        <f t="shared" ca="1" si="175"/>
        <v>0</v>
      </c>
      <c r="BY109" s="298">
        <f t="shared" ca="1" si="176"/>
        <v>0</v>
      </c>
      <c r="BZ109" s="298">
        <f t="shared" ca="1" si="177"/>
        <v>0</v>
      </c>
      <c r="CA109" s="315">
        <f t="shared" ca="1" si="178"/>
        <v>0.42412001625314877</v>
      </c>
      <c r="CC109" s="52"/>
      <c r="CD109" s="306">
        <f t="shared" ca="1" si="220"/>
        <v>0</v>
      </c>
      <c r="CE109" s="15">
        <f t="shared" ca="1" si="179"/>
        <v>0</v>
      </c>
      <c r="CF109" s="15">
        <f t="shared" ca="1" si="180"/>
        <v>0</v>
      </c>
      <c r="CG109" s="286">
        <f t="shared" ca="1" si="181"/>
        <v>0</v>
      </c>
      <c r="CH109" s="15">
        <f t="shared" ca="1" si="182"/>
        <v>0</v>
      </c>
      <c r="CI109" s="288">
        <f t="shared" ca="1" si="183"/>
        <v>0</v>
      </c>
      <c r="CJ109" s="15">
        <f t="shared" ca="1" si="184"/>
        <v>0</v>
      </c>
      <c r="CK109" s="15">
        <f t="shared" ca="1" si="185"/>
        <v>0</v>
      </c>
      <c r="CL109" s="15">
        <f t="shared" ca="1" si="186"/>
        <v>0</v>
      </c>
      <c r="CM109" s="313">
        <f t="shared" ca="1" si="187"/>
        <v>1</v>
      </c>
      <c r="CO109" s="320">
        <f t="shared" ca="1" si="221"/>
        <v>98</v>
      </c>
      <c r="CP109" s="22">
        <f ca="1">COUNTIFS($C$10:$C108,"&lt;"&amp;$C109,$M$10:$M108,$D109&amp;"_"&amp;CP$9)</f>
        <v>0</v>
      </c>
      <c r="CQ109" s="7">
        <f ca="1">COUNTIFS($C$10:$C108,"&lt;"&amp;$C109,$M$10:$M108,$D109&amp;"_"&amp;CQ$9)</f>
        <v>0</v>
      </c>
      <c r="CR109" s="7">
        <f ca="1">COUNTIFS($C$10:$C108,"&lt;"&amp;$C109,$M$10:$M108,$D109&amp;"_"&amp;CR$9)</f>
        <v>0</v>
      </c>
      <c r="CS109" s="17">
        <f ca="1">COUNTIFS($C$10:$C108,"&lt;"&amp;$C109,$M$10:$M108,$D109&amp;"_"&amp;CS$9)</f>
        <v>0</v>
      </c>
      <c r="CT109" s="7">
        <f ca="1">COUNTIFS($C$10:$C108,"&lt;"&amp;$C109,$M$10:$M108,$D109&amp;"_"&amp;CT$9)</f>
        <v>0</v>
      </c>
      <c r="CU109" s="18">
        <f ca="1">COUNTIFS($C$10:$C108,"&lt;"&amp;$C109,$M$10:$M108,$D109&amp;"_"&amp;CU$9)</f>
        <v>0</v>
      </c>
      <c r="CV109" s="7">
        <f ca="1">COUNTIFS($C$10:$C108,"&lt;"&amp;$C109,$M$10:$M108,$D109&amp;"_"&amp;CV$9)</f>
        <v>0</v>
      </c>
      <c r="CW109" s="7">
        <f ca="1">COUNTIFS($C$10:$C108,"&lt;"&amp;$C109,$M$10:$M108,$D109&amp;"_"&amp;CW$9)</f>
        <v>0</v>
      </c>
      <c r="CX109" s="7">
        <f ca="1">COUNTIFS($C$10:$C108,"&lt;"&amp;$C109,$M$10:$M108,$D109&amp;"_"&amp;CX$9)</f>
        <v>0</v>
      </c>
      <c r="CY109" s="221">
        <f ca="1">COUNTIFS($C$10:$C108,"&lt;"&amp;$C109,$M$10:$M108,$D109&amp;"_"&amp;CY$9)</f>
        <v>98</v>
      </c>
      <c r="DA109" s="20"/>
      <c r="DB109" s="308">
        <f ca="1">IF(CP109=0,0,SUMIFS($P$10:$P108, $C$10:$C108,"&lt;"&amp;$C109, $M$10:$M108,$D109&amp;"_"&amp;DB$9)/CP109)</f>
        <v>0</v>
      </c>
      <c r="DC109" s="263">
        <f ca="1">IF(CQ109=0,0,SUMIFS($P$10:$P108, $C$10:$C108,"&lt;"&amp;$C109, $M$10:$M108,$D109&amp;"_"&amp;DC$9)/CQ109)</f>
        <v>0</v>
      </c>
      <c r="DD109" s="263">
        <f ca="1">IF(CR109=0,0,SUMIFS($P$10:$P108, $C$10:$C108,"&lt;"&amp;$C109, $M$10:$M108,$D109&amp;"_"&amp;DD$9)/CR109)</f>
        <v>0</v>
      </c>
      <c r="DE109" s="262">
        <f ca="1">IF(CS109=0,0,SUMIFS($P$10:$P108, $C$10:$C108,"&lt;"&amp;$C109, $M$10:$M108,$D109&amp;"_"&amp;DE$9)/CS109)</f>
        <v>0</v>
      </c>
      <c r="DF109" s="263">
        <f ca="1">IF(CT109=0,0,SUMIFS($P$10:$P108, $C$10:$C108,"&lt;"&amp;$C109, $M$10:$M108,$D109&amp;"_"&amp;DF$9)/CT109)</f>
        <v>0</v>
      </c>
      <c r="DG109" s="310">
        <f ca="1">IF(CU109=0,0,SUMIFS($P$10:$P108, $C$10:$C108,"&lt;"&amp;$C109, $M$10:$M108,$D109&amp;"_"&amp;DG$9)/CU109)</f>
        <v>0</v>
      </c>
      <c r="DH109" s="263">
        <f ca="1">IF(CV109=0,0,SUMIFS($P$10:$P108, $C$10:$C108,"&lt;"&amp;$C109, $M$10:$M108,$D109&amp;"_"&amp;DH$9)/CV109)</f>
        <v>0</v>
      </c>
      <c r="DI109" s="263">
        <f ca="1">IF(CW109=0,0,SUMIFS($P$10:$P108, $C$10:$C108,"&lt;"&amp;$C109, $M$10:$M108,$D109&amp;"_"&amp;DI$9)/CW109)</f>
        <v>0</v>
      </c>
      <c r="DJ109" s="264">
        <f ca="1">IF(CX109=0,0,SUMIFS($P$10:$P108, $C$10:$C108,"&lt;"&amp;$C109, $M$10:$M108,$D109&amp;"_"&amp;DJ$9)/CX109)</f>
        <v>0</v>
      </c>
      <c r="DK109" s="264">
        <f ca="1">IF(CY109=0,0,SUMIFS($P$10:$P108, $C$10:$C108,"&lt;"&amp;$C109, $M$10:$M108,$D109&amp;"_"&amp;DK$9)/CY109)</f>
        <v>-1</v>
      </c>
      <c r="DM109" s="104"/>
      <c r="DN109" s="306">
        <f t="shared" ca="1" si="222"/>
        <v>-9999</v>
      </c>
      <c r="DO109" s="15">
        <f t="shared" ca="1" si="188"/>
        <v>-9999</v>
      </c>
      <c r="DP109" s="15">
        <f t="shared" ca="1" si="189"/>
        <v>-9999</v>
      </c>
      <c r="DQ109" s="15">
        <f t="shared" ca="1" si="190"/>
        <v>-9999</v>
      </c>
      <c r="DR109" s="15">
        <f t="shared" ca="1" si="191"/>
        <v>-9999</v>
      </c>
      <c r="DS109" s="15">
        <f t="shared" ca="1" si="192"/>
        <v>-9999</v>
      </c>
      <c r="DT109" s="15">
        <f t="shared" ca="1" si="193"/>
        <v>-9999</v>
      </c>
      <c r="DU109" s="15">
        <f t="shared" ca="1" si="194"/>
        <v>-9999</v>
      </c>
      <c r="DV109" s="52">
        <f t="shared" ca="1" si="195"/>
        <v>-9999</v>
      </c>
      <c r="DW109" s="313">
        <f t="shared" ca="1" si="196"/>
        <v>-0.90000510165038716</v>
      </c>
      <c r="DX109" s="52"/>
      <c r="DY109" s="402">
        <f t="shared" ca="1" si="223"/>
        <v>9</v>
      </c>
      <c r="ED109" s="19">
        <f t="shared" ca="1" si="241"/>
        <v>-1</v>
      </c>
      <c r="EE109" s="1">
        <f t="shared" ca="1" si="242"/>
        <v>1</v>
      </c>
      <c r="EF109" s="1">
        <f t="shared" ca="1" si="243"/>
        <v>-1</v>
      </c>
      <c r="EG109" s="2">
        <f t="shared" ca="1" si="244"/>
        <v>1</v>
      </c>
      <c r="EH109" s="1">
        <f t="shared" ca="1" si="245"/>
        <v>-1</v>
      </c>
      <c r="EI109" s="3">
        <f t="shared" ca="1" si="246"/>
        <v>1</v>
      </c>
      <c r="EJ109" s="1">
        <f t="shared" ca="1" si="247"/>
        <v>0</v>
      </c>
      <c r="EK109" s="1">
        <f t="shared" ca="1" si="248"/>
        <v>0</v>
      </c>
      <c r="EL109" s="20">
        <f t="shared" ca="1" si="249"/>
        <v>-1</v>
      </c>
      <c r="EN109" s="86">
        <f ca="1">MAX(0, SUMPRODUCT($ED109:$EL109,OFFSET(DNN!$E$9:$M$9,EN$9,0)) + OFFSET(DNN!$D$9,EN$9,0))</f>
        <v>0</v>
      </c>
      <c r="EO109" s="84">
        <f ca="1">MAX(0, SUMPRODUCT($ED109:$EL109,OFFSET(DNN!$E$9:$M$9,EO$9,0)) + OFFSET(DNN!$D$9,EO$9,0))</f>
        <v>7.2346022384755949E-3</v>
      </c>
      <c r="EP109" s="84">
        <f ca="1">MAX(0, SUMPRODUCT($ED109:$EL109,OFFSET(DNN!$E$9:$M$9,EP$9,0)) + OFFSET(DNN!$D$9,EP$9,0))</f>
        <v>3.6951849750035152E-3</v>
      </c>
      <c r="EQ109" s="84">
        <f ca="1">MAX(0, SUMPRODUCT($ED109:$EL109,OFFSET(DNN!$E$9:$M$9,EQ$9,0)) + OFFSET(DNN!$D$9,EQ$9,0))</f>
        <v>0</v>
      </c>
      <c r="ER109" s="85">
        <f ca="1">MAX(0, SUMPRODUCT($ED109:$EL109,OFFSET(DNN!$E$9:$M$9,ER$9,0)) + OFFSET(DNN!$D$9,ER$9,0))</f>
        <v>0</v>
      </c>
      <c r="ET109" s="86">
        <f ca="1">MAX(0, SUMPRODUCT($EN109:$ER109,OFFSET(DNN!$Q$9:$U$9,ET$9,0)) + OFFSET(DNN!$P$9,ET$9,0))</f>
        <v>4.3954959453478351E-4</v>
      </c>
      <c r="EU109" s="84">
        <f ca="1">MAX(0, SUMPRODUCT($EN109:$ER109,OFFSET(DNN!$Q$9:$U$9,EU$9,0)) + OFFSET(DNN!$P$9,EU$9,0))</f>
        <v>0</v>
      </c>
      <c r="EV109" s="84">
        <f ca="1">MAX(0, SUMPRODUCT($EN109:$ER109,OFFSET(DNN!$Q$9:$U$9,EV$9,0)) + OFFSET(DNN!$P$9,EV$9,0))</f>
        <v>1.2810123361902579E-3</v>
      </c>
      <c r="EW109" s="84">
        <f ca="1">MAX(0, SUMPRODUCT($EN109:$ER109,OFFSET(DNN!$Q$9:$U$9,EW$9,0)) + OFFSET(DNN!$P$9,EW$9,0))</f>
        <v>7.8382123007882457E-4</v>
      </c>
      <c r="EX109" s="85">
        <f ca="1">MAX(0, SUMPRODUCT($EN109:$ER109,OFFSET(DNN!$Q$9:$U$9,EX$9,0)) + OFFSET(DNN!$P$9,EX$9,0))</f>
        <v>0</v>
      </c>
      <c r="EZ109" s="111">
        <f ca="1">SUMPRODUCT($ET109:$EX109,OFFSET(DNN!$Y$9:$AC$9,EZ$9,0)) + OFFSET(DNN!$X$9,EZ$9,0)</f>
        <v>0.43031618918982212</v>
      </c>
      <c r="FA109" s="97">
        <f ca="1">SUMPRODUCT($ET109:$EX109,OFFSET(DNN!$Y$9:$AC$9,FA$9,0)) + OFFSET(DNN!$X$9,FA$9,0)</f>
        <v>-1.2643439935754107E-5</v>
      </c>
      <c r="FB109" s="97">
        <f ca="1">SUMPRODUCT($ET109:$EX109,OFFSET(DNN!$Y$9:$AC$9,FB$9,0)) + OFFSET(DNN!$X$9,FB$9,0)</f>
        <v>1.5239793458415756E-2</v>
      </c>
      <c r="FC109" s="97">
        <f ca="1">SUMPRODUCT($ET109:$EX109,OFFSET(DNN!$Y$9:$AC$9,FC$9,0)) + OFFSET(DNN!$X$9,FC$9,0)</f>
        <v>-8.8749521084055777E-4</v>
      </c>
      <c r="FD109" s="97">
        <f ca="1">SUMPRODUCT($ET109:$EX109,OFFSET(DNN!$Y$9:$AC$9,FD$9,0)) + OFFSET(DNN!$X$9,FD$9,0)</f>
        <v>-4.235816470721872E-4</v>
      </c>
      <c r="FE109" s="97">
        <f ca="1">SUMPRODUCT($ET109:$EX109,OFFSET(DNN!$Y$9:$AC$9,FE$9,0)) + OFFSET(DNN!$X$9,FE$9,0)</f>
        <v>-1.574182761064886E-5</v>
      </c>
      <c r="FF109" s="97">
        <f ca="1">SUMPRODUCT($ET109:$EX109,OFFSET(DNN!$Y$9:$AC$9,FF$9,0)) + OFFSET(DNN!$X$9,FF$9,0)</f>
        <v>-1.3491460223194656E-3</v>
      </c>
      <c r="FG109" s="97">
        <f ca="1">SUMPRODUCT($ET109:$EX109,OFFSET(DNN!$Y$9:$AC$9,FG$9,0)) + OFFSET(DNN!$X$9,FG$9,0)</f>
        <v>-6.2604808096248285E-2</v>
      </c>
      <c r="FH109" s="97">
        <f ca="1">SUMPRODUCT($ET109:$EX109,OFFSET(DNN!$Y$9:$AC$9,FH$9,0)) + OFFSET(DNN!$X$9,FH$9,0)</f>
        <v>8.6810016937029894E-4</v>
      </c>
      <c r="FI109" s="108">
        <f ca="1">SUMPRODUCT($ET109:$EX109,OFFSET(DNN!$Y$9:$AC$9,FI$9,0)) + OFFSET(DNN!$X$9,FI$9,0)</f>
        <v>-1.3182687612562751</v>
      </c>
      <c r="FJ109" s="98">
        <f ca="1">SUMPRODUCT($ET109:$EX109,OFFSET(DNN!$Y$9:$AC$9,FJ$9,0)) + OFFSET(DNN!$X$9,FJ$9,0)</f>
        <v>-2.2535161745939301E-5</v>
      </c>
      <c r="FL109" s="415">
        <f t="shared" ca="1" si="224"/>
        <v>0.43031618918982212</v>
      </c>
      <c r="FM109" s="130">
        <f t="shared" ca="1" si="225"/>
        <v>1</v>
      </c>
      <c r="FN109" s="131">
        <f t="shared" ca="1" si="226"/>
        <v>0.65029522127322903</v>
      </c>
      <c r="FO109" s="131">
        <f t="shared" ca="1" si="227"/>
        <v>0.66028983545318687</v>
      </c>
      <c r="FP109" s="131">
        <f t="shared" ca="1" si="228"/>
        <v>0.64972655813153501</v>
      </c>
      <c r="FQ109" s="131">
        <f t="shared" ca="1" si="229"/>
        <v>0.65002804502111444</v>
      </c>
      <c r="FR109" s="131">
        <f t="shared" ca="1" si="230"/>
        <v>0.65029320640965171</v>
      </c>
      <c r="FS109" s="131">
        <f t="shared" ca="1" si="231"/>
        <v>0.64942668056342145</v>
      </c>
      <c r="FT109" s="131">
        <f t="shared" ca="1" si="232"/>
        <v>0.61083952513994022</v>
      </c>
      <c r="FU109" s="132">
        <f t="shared" ca="1" si="233"/>
        <v>0.6508682169276182</v>
      </c>
      <c r="FV109" s="131">
        <f t="shared" ca="1" si="234"/>
        <v>0.17402001625314881</v>
      </c>
      <c r="FW109" s="83">
        <f t="shared" ca="1" si="235"/>
        <v>-2.2535161742124597E-5</v>
      </c>
    </row>
    <row r="110" spans="1:179">
      <c r="A110" s="19">
        <f t="shared" si="240"/>
        <v>100</v>
      </c>
      <c r="B110" s="1">
        <f t="shared" ca="1" si="236"/>
        <v>0</v>
      </c>
      <c r="C110" s="20">
        <f t="shared" ca="1" si="237"/>
        <v>100</v>
      </c>
      <c r="D110" s="19" t="str">
        <f t="shared" ca="1" si="238"/>
        <v>〇×〇×〇×--〇</v>
      </c>
      <c r="E110" s="7">
        <f t="shared" ca="1" si="206"/>
        <v>9</v>
      </c>
      <c r="F110" s="7">
        <f t="shared" ca="1" si="207"/>
        <v>1</v>
      </c>
      <c r="G110" s="1" t="str">
        <f t="shared" ca="1" si="139"/>
        <v>〇×〇×〇×--〇</v>
      </c>
      <c r="H110" s="20" t="b">
        <f t="shared" ca="1" si="140"/>
        <v>1</v>
      </c>
      <c r="I110" s="22">
        <f t="shared" ca="1" si="239"/>
        <v>-1</v>
      </c>
      <c r="J110" s="1" t="b">
        <f ca="1">(1&lt;COUNTIF(D$10:D110,D110))</f>
        <v>1</v>
      </c>
      <c r="K110" s="1" t="b">
        <f t="shared" ca="1" si="141"/>
        <v>1</v>
      </c>
      <c r="L110" s="7">
        <f ca="1">MATCH(TRUE,K110:K$1048576,FALSE)-1</f>
        <v>0</v>
      </c>
      <c r="M110" s="24" t="str">
        <f t="shared" ca="1" si="142"/>
        <v>〇×〇×〇×--〇_9</v>
      </c>
      <c r="N110" s="25">
        <f t="shared" ca="1" si="208"/>
        <v>-2.2535161742124597E-5</v>
      </c>
      <c r="O110" s="26">
        <f t="shared" ca="1" si="209"/>
        <v>-1</v>
      </c>
      <c r="P110" s="27">
        <f t="shared" ca="1" si="210"/>
        <v>-1</v>
      </c>
      <c r="R110" s="41" t="str">
        <f ca="1">VLOOKUP(S110,cvt!$B$2:$C$4,2,FALSE)&amp;VLOOKUP(T110,cvt!$B$2:$C$4,2,FALSE)&amp;VLOOKUP(U110,cvt!$B$2:$C$4,2,FALSE)
&amp;VLOOKUP(V110,cvt!$B$2:$C$4,2,FALSE)&amp;VLOOKUP(W110,cvt!$B$2:$C$4,2,FALSE)&amp;VLOOKUP(X110,cvt!$B$2:$C$4,2,FALSE)
&amp;VLOOKUP(Y110,cvt!$B$2:$C$4,2,FALSE)&amp;VLOOKUP(Z110,cvt!$B$2:$C$4,2,FALSE)&amp;VLOOKUP(AA110,cvt!$B$2:$C$4,2,FALSE)</f>
        <v>〇×〇×〇×--〇</v>
      </c>
      <c r="S110" s="7">
        <f ca="1">VLOOKUP(MID($D110,S$9+1,1), cvt!$A$2:$B$4,2, FALSE)</f>
        <v>1</v>
      </c>
      <c r="T110" s="7">
        <f ca="1">VLOOKUP(MID($D110,T$9+1,1), cvt!$A$2:$B$4,2, FALSE)</f>
        <v>-1</v>
      </c>
      <c r="U110" s="7">
        <f ca="1">VLOOKUP(MID($D110,U$9+1,1), cvt!$A$2:$B$4,2, FALSE)</f>
        <v>1</v>
      </c>
      <c r="V110" s="17">
        <f ca="1">VLOOKUP(MID($D110,V$9+1,1), cvt!$A$2:$B$4,2, FALSE)</f>
        <v>-1</v>
      </c>
      <c r="W110" s="7">
        <f ca="1">VLOOKUP(MID($D110,W$9+1,1), cvt!$A$2:$B$4,2, FALSE)</f>
        <v>1</v>
      </c>
      <c r="X110" s="18">
        <f ca="1">VLOOKUP(MID($D110,X$9+1,1), cvt!$A$2:$B$4,2, FALSE)</f>
        <v>-1</v>
      </c>
      <c r="Y110" s="7">
        <f ca="1">VLOOKUP(MID($D110,Y$9+1,1), cvt!$A$2:$B$4,2, FALSE)</f>
        <v>0</v>
      </c>
      <c r="Z110" s="7">
        <f ca="1">VLOOKUP(MID($D110,Z$9+1,1), cvt!$A$2:$B$4,2, FALSE)</f>
        <v>0</v>
      </c>
      <c r="AA110" s="42">
        <f ca="1">VLOOKUP(MID($D110,AA$9+1,1), cvt!$A$2:$B$4,2, FALSE)</f>
        <v>1</v>
      </c>
      <c r="AB110" s="7">
        <f t="shared" ca="1" si="211"/>
        <v>1</v>
      </c>
      <c r="AC110" s="50" t="b">
        <f t="shared" ca="1" si="212"/>
        <v>1</v>
      </c>
      <c r="AE110" s="19" t="str">
        <f ca="1">VLOOKUP(AF110,cvt!$B$2:$C$4,2,FALSE)&amp;VLOOKUP(AG110,cvt!$B$2:$C$4,2,FALSE)&amp;VLOOKUP(AH110,cvt!$B$2:$C$4,2,FALSE)
&amp;VLOOKUP(AI110,cvt!$B$2:$C$4,2,FALSE)&amp;VLOOKUP(AJ110,cvt!$B$2:$C$4,2,FALSE)&amp;VLOOKUP(AK110,cvt!$B$2:$C$4,2,FALSE)
&amp;VLOOKUP(AL110,cvt!$B$2:$C$4,2,FALSE)&amp;VLOOKUP(AM110,cvt!$B$2:$C$4,2,FALSE)&amp;VLOOKUP(AN110,cvt!$B$2:$C$4,2,FALSE)</f>
        <v>〇×〇×〇×--〇</v>
      </c>
      <c r="AF110" s="17">
        <f t="shared" ca="1" si="143"/>
        <v>1</v>
      </c>
      <c r="AG110" s="7">
        <f t="shared" ca="1" si="144"/>
        <v>-1</v>
      </c>
      <c r="AH110" s="7">
        <f t="shared" ca="1" si="145"/>
        <v>1</v>
      </c>
      <c r="AI110" s="17">
        <f t="shared" ca="1" si="146"/>
        <v>-1</v>
      </c>
      <c r="AJ110" s="7">
        <f t="shared" ca="1" si="147"/>
        <v>1</v>
      </c>
      <c r="AK110" s="18">
        <f t="shared" ca="1" si="148"/>
        <v>-1</v>
      </c>
      <c r="AL110" s="7">
        <f t="shared" ca="1" si="149"/>
        <v>0</v>
      </c>
      <c r="AM110" s="7">
        <f t="shared" ca="1" si="150"/>
        <v>0</v>
      </c>
      <c r="AN110" s="18">
        <f t="shared" ca="1" si="151"/>
        <v>1</v>
      </c>
      <c r="AO110" s="7">
        <f t="shared" ca="1" si="213"/>
        <v>1</v>
      </c>
      <c r="AP110" s="50" t="b">
        <f t="shared" ca="1" si="152"/>
        <v>1</v>
      </c>
      <c r="AS110" s="22">
        <f t="shared" ca="1" si="214"/>
        <v>0</v>
      </c>
      <c r="AT110" s="7">
        <f t="shared" ca="1" si="153"/>
        <v>0</v>
      </c>
      <c r="AU110" s="7">
        <f t="shared" ca="1" si="154"/>
        <v>0</v>
      </c>
      <c r="AV110" s="7">
        <f t="shared" ca="1" si="155"/>
        <v>0</v>
      </c>
      <c r="AW110" s="7">
        <f t="shared" ca="1" si="156"/>
        <v>0</v>
      </c>
      <c r="AX110" s="7">
        <f t="shared" ca="1" si="157"/>
        <v>0</v>
      </c>
      <c r="AY110" s="7">
        <f t="shared" ca="1" si="158"/>
        <v>0</v>
      </c>
      <c r="AZ110" s="7">
        <f t="shared" ca="1" si="159"/>
        <v>0</v>
      </c>
      <c r="BA110" s="18">
        <f t="shared" ca="1" si="160"/>
        <v>0</v>
      </c>
      <c r="BB110" s="295">
        <f t="shared" ca="1" si="215"/>
        <v>1</v>
      </c>
      <c r="BD110" s="132"/>
      <c r="BE110" s="297">
        <f t="shared" ca="1" si="216"/>
        <v>1</v>
      </c>
      <c r="BF110" s="298">
        <f t="shared" ca="1" si="161"/>
        <v>0.65029522127322903</v>
      </c>
      <c r="BG110" s="298">
        <f t="shared" ca="1" si="162"/>
        <v>0.66028983545318687</v>
      </c>
      <c r="BH110" s="318">
        <f t="shared" ca="1" si="163"/>
        <v>0.64972655813153501</v>
      </c>
      <c r="BI110" s="298">
        <f t="shared" ca="1" si="164"/>
        <v>0.65002804502111444</v>
      </c>
      <c r="BJ110" s="299">
        <f t="shared" ca="1" si="165"/>
        <v>0.65029320640965171</v>
      </c>
      <c r="BK110" s="298">
        <f t="shared" ca="1" si="166"/>
        <v>0.64942668056342145</v>
      </c>
      <c r="BL110" s="298">
        <f t="shared" ca="1" si="167"/>
        <v>0.61083952513994022</v>
      </c>
      <c r="BM110" s="299">
        <f t="shared" ca="1" si="168"/>
        <v>0.6508682169276182</v>
      </c>
      <c r="BN110" s="295">
        <f t="shared" ca="1" si="169"/>
        <v>0.17402001625314881</v>
      </c>
      <c r="BO110" s="248">
        <f t="shared" ca="1" si="217"/>
        <v>-2.2535161742124597E-5</v>
      </c>
      <c r="BQ110" s="304">
        <f t="shared" ca="1" si="218"/>
        <v>0.42412001625314877</v>
      </c>
      <c r="BR110" s="297">
        <f t="shared" ca="1" si="219"/>
        <v>0</v>
      </c>
      <c r="BS110" s="298">
        <f t="shared" ca="1" si="170"/>
        <v>0</v>
      </c>
      <c r="BT110" s="298">
        <f t="shared" ca="1" si="171"/>
        <v>0</v>
      </c>
      <c r="BU110" s="318">
        <f t="shared" ca="1" si="172"/>
        <v>0</v>
      </c>
      <c r="BV110" s="298">
        <f t="shared" ca="1" si="173"/>
        <v>0</v>
      </c>
      <c r="BW110" s="299">
        <f t="shared" ca="1" si="174"/>
        <v>0</v>
      </c>
      <c r="BX110" s="298">
        <f t="shared" ca="1" si="175"/>
        <v>0</v>
      </c>
      <c r="BY110" s="298">
        <f t="shared" ca="1" si="176"/>
        <v>0</v>
      </c>
      <c r="BZ110" s="298">
        <f t="shared" ca="1" si="177"/>
        <v>0</v>
      </c>
      <c r="CA110" s="315">
        <f t="shared" ca="1" si="178"/>
        <v>0.42412001625314877</v>
      </c>
      <c r="CC110" s="52"/>
      <c r="CD110" s="306">
        <f t="shared" ca="1" si="220"/>
        <v>0</v>
      </c>
      <c r="CE110" s="15">
        <f t="shared" ca="1" si="179"/>
        <v>0</v>
      </c>
      <c r="CF110" s="15">
        <f t="shared" ca="1" si="180"/>
        <v>0</v>
      </c>
      <c r="CG110" s="286">
        <f t="shared" ca="1" si="181"/>
        <v>0</v>
      </c>
      <c r="CH110" s="15">
        <f t="shared" ca="1" si="182"/>
        <v>0</v>
      </c>
      <c r="CI110" s="288">
        <f t="shared" ca="1" si="183"/>
        <v>0</v>
      </c>
      <c r="CJ110" s="15">
        <f t="shared" ca="1" si="184"/>
        <v>0</v>
      </c>
      <c r="CK110" s="15">
        <f t="shared" ca="1" si="185"/>
        <v>0</v>
      </c>
      <c r="CL110" s="15">
        <f t="shared" ca="1" si="186"/>
        <v>0</v>
      </c>
      <c r="CM110" s="313">
        <f t="shared" ca="1" si="187"/>
        <v>1</v>
      </c>
      <c r="CO110" s="320">
        <f t="shared" ca="1" si="221"/>
        <v>99</v>
      </c>
      <c r="CP110" s="22">
        <f ca="1">COUNTIFS($C$10:$C109,"&lt;"&amp;$C110,$M$10:$M109,$D110&amp;"_"&amp;CP$9)</f>
        <v>0</v>
      </c>
      <c r="CQ110" s="7">
        <f ca="1">COUNTIFS($C$10:$C109,"&lt;"&amp;$C110,$M$10:$M109,$D110&amp;"_"&amp;CQ$9)</f>
        <v>0</v>
      </c>
      <c r="CR110" s="7">
        <f ca="1">COUNTIFS($C$10:$C109,"&lt;"&amp;$C110,$M$10:$M109,$D110&amp;"_"&amp;CR$9)</f>
        <v>0</v>
      </c>
      <c r="CS110" s="17">
        <f ca="1">COUNTIFS($C$10:$C109,"&lt;"&amp;$C110,$M$10:$M109,$D110&amp;"_"&amp;CS$9)</f>
        <v>0</v>
      </c>
      <c r="CT110" s="7">
        <f ca="1">COUNTIFS($C$10:$C109,"&lt;"&amp;$C110,$M$10:$M109,$D110&amp;"_"&amp;CT$9)</f>
        <v>0</v>
      </c>
      <c r="CU110" s="18">
        <f ca="1">COUNTIFS($C$10:$C109,"&lt;"&amp;$C110,$M$10:$M109,$D110&amp;"_"&amp;CU$9)</f>
        <v>0</v>
      </c>
      <c r="CV110" s="7">
        <f ca="1">COUNTIFS($C$10:$C109,"&lt;"&amp;$C110,$M$10:$M109,$D110&amp;"_"&amp;CV$9)</f>
        <v>0</v>
      </c>
      <c r="CW110" s="7">
        <f ca="1">COUNTIFS($C$10:$C109,"&lt;"&amp;$C110,$M$10:$M109,$D110&amp;"_"&amp;CW$9)</f>
        <v>0</v>
      </c>
      <c r="CX110" s="7">
        <f ca="1">COUNTIFS($C$10:$C109,"&lt;"&amp;$C110,$M$10:$M109,$D110&amp;"_"&amp;CX$9)</f>
        <v>0</v>
      </c>
      <c r="CY110" s="221">
        <f ca="1">COUNTIFS($C$10:$C109,"&lt;"&amp;$C110,$M$10:$M109,$D110&amp;"_"&amp;CY$9)</f>
        <v>99</v>
      </c>
      <c r="DA110" s="20"/>
      <c r="DB110" s="308">
        <f ca="1">IF(CP110=0,0,SUMIFS($P$10:$P109, $C$10:$C109,"&lt;"&amp;$C110, $M$10:$M109,$D110&amp;"_"&amp;DB$9)/CP110)</f>
        <v>0</v>
      </c>
      <c r="DC110" s="263">
        <f ca="1">IF(CQ110=0,0,SUMIFS($P$10:$P109, $C$10:$C109,"&lt;"&amp;$C110, $M$10:$M109,$D110&amp;"_"&amp;DC$9)/CQ110)</f>
        <v>0</v>
      </c>
      <c r="DD110" s="263">
        <f ca="1">IF(CR110=0,0,SUMIFS($P$10:$P109, $C$10:$C109,"&lt;"&amp;$C110, $M$10:$M109,$D110&amp;"_"&amp;DD$9)/CR110)</f>
        <v>0</v>
      </c>
      <c r="DE110" s="262">
        <f ca="1">IF(CS110=0,0,SUMIFS($P$10:$P109, $C$10:$C109,"&lt;"&amp;$C110, $M$10:$M109,$D110&amp;"_"&amp;DE$9)/CS110)</f>
        <v>0</v>
      </c>
      <c r="DF110" s="263">
        <f ca="1">IF(CT110=0,0,SUMIFS($P$10:$P109, $C$10:$C109,"&lt;"&amp;$C110, $M$10:$M109,$D110&amp;"_"&amp;DF$9)/CT110)</f>
        <v>0</v>
      </c>
      <c r="DG110" s="310">
        <f ca="1">IF(CU110=0,0,SUMIFS($P$10:$P109, $C$10:$C109,"&lt;"&amp;$C110, $M$10:$M109,$D110&amp;"_"&amp;DG$9)/CU110)</f>
        <v>0</v>
      </c>
      <c r="DH110" s="263">
        <f ca="1">IF(CV110=0,0,SUMIFS($P$10:$P109, $C$10:$C109,"&lt;"&amp;$C110, $M$10:$M109,$D110&amp;"_"&amp;DH$9)/CV110)</f>
        <v>0</v>
      </c>
      <c r="DI110" s="263">
        <f ca="1">IF(CW110=0,0,SUMIFS($P$10:$P109, $C$10:$C109,"&lt;"&amp;$C110, $M$10:$M109,$D110&amp;"_"&amp;DI$9)/CW110)</f>
        <v>0</v>
      </c>
      <c r="DJ110" s="264">
        <f ca="1">IF(CX110=0,0,SUMIFS($P$10:$P109, $C$10:$C109,"&lt;"&amp;$C110, $M$10:$M109,$D110&amp;"_"&amp;DJ$9)/CX110)</f>
        <v>0</v>
      </c>
      <c r="DK110" s="264">
        <f ca="1">IF(CY110=0,0,SUMIFS($P$10:$P109, $C$10:$C109,"&lt;"&amp;$C110, $M$10:$M109,$D110&amp;"_"&amp;DK$9)/CY110)</f>
        <v>-1</v>
      </c>
      <c r="DM110" s="104"/>
      <c r="DN110" s="306">
        <f t="shared" ca="1" si="222"/>
        <v>-9999</v>
      </c>
      <c r="DO110" s="15">
        <f t="shared" ca="1" si="188"/>
        <v>-9999</v>
      </c>
      <c r="DP110" s="15">
        <f t="shared" ca="1" si="189"/>
        <v>-9999</v>
      </c>
      <c r="DQ110" s="15">
        <f t="shared" ca="1" si="190"/>
        <v>-9999</v>
      </c>
      <c r="DR110" s="15">
        <f t="shared" ca="1" si="191"/>
        <v>-9999</v>
      </c>
      <c r="DS110" s="15">
        <f t="shared" ca="1" si="192"/>
        <v>-9999</v>
      </c>
      <c r="DT110" s="15">
        <f t="shared" ca="1" si="193"/>
        <v>-9999</v>
      </c>
      <c r="DU110" s="15">
        <f t="shared" ca="1" si="194"/>
        <v>-9999</v>
      </c>
      <c r="DV110" s="52">
        <f t="shared" ca="1" si="195"/>
        <v>-9999</v>
      </c>
      <c r="DW110" s="313">
        <f t="shared" ca="1" si="196"/>
        <v>-0.90050125628933797</v>
      </c>
      <c r="DX110" s="52"/>
      <c r="DY110" s="402">
        <f t="shared" ca="1" si="223"/>
        <v>9</v>
      </c>
      <c r="ED110" s="19">
        <f t="shared" ca="1" si="241"/>
        <v>-1</v>
      </c>
      <c r="EE110" s="1">
        <f t="shared" ca="1" si="242"/>
        <v>1</v>
      </c>
      <c r="EF110" s="1">
        <f t="shared" ca="1" si="243"/>
        <v>-1</v>
      </c>
      <c r="EG110" s="2">
        <f t="shared" ca="1" si="244"/>
        <v>1</v>
      </c>
      <c r="EH110" s="1">
        <f t="shared" ca="1" si="245"/>
        <v>-1</v>
      </c>
      <c r="EI110" s="3">
        <f t="shared" ca="1" si="246"/>
        <v>1</v>
      </c>
      <c r="EJ110" s="1">
        <f t="shared" ca="1" si="247"/>
        <v>0</v>
      </c>
      <c r="EK110" s="1">
        <f t="shared" ca="1" si="248"/>
        <v>0</v>
      </c>
      <c r="EL110" s="20">
        <f t="shared" ca="1" si="249"/>
        <v>-1</v>
      </c>
      <c r="EN110" s="86">
        <f ca="1">MAX(0, SUMPRODUCT($ED110:$EL110,OFFSET(DNN!$E$9:$M$9,EN$9,0)) + OFFSET(DNN!$D$9,EN$9,0))</f>
        <v>0</v>
      </c>
      <c r="EO110" s="84">
        <f ca="1">MAX(0, SUMPRODUCT($ED110:$EL110,OFFSET(DNN!$E$9:$M$9,EO$9,0)) + OFFSET(DNN!$D$9,EO$9,0))</f>
        <v>7.2346022384755949E-3</v>
      </c>
      <c r="EP110" s="84">
        <f ca="1">MAX(0, SUMPRODUCT($ED110:$EL110,OFFSET(DNN!$E$9:$M$9,EP$9,0)) + OFFSET(DNN!$D$9,EP$9,0))</f>
        <v>3.6951849750035152E-3</v>
      </c>
      <c r="EQ110" s="84">
        <f ca="1">MAX(0, SUMPRODUCT($ED110:$EL110,OFFSET(DNN!$E$9:$M$9,EQ$9,0)) + OFFSET(DNN!$D$9,EQ$9,0))</f>
        <v>0</v>
      </c>
      <c r="ER110" s="85">
        <f ca="1">MAX(0, SUMPRODUCT($ED110:$EL110,OFFSET(DNN!$E$9:$M$9,ER$9,0)) + OFFSET(DNN!$D$9,ER$9,0))</f>
        <v>0</v>
      </c>
      <c r="ET110" s="86">
        <f ca="1">MAX(0, SUMPRODUCT($EN110:$ER110,OFFSET(DNN!$Q$9:$U$9,ET$9,0)) + OFFSET(DNN!$P$9,ET$9,0))</f>
        <v>4.3954959453478351E-4</v>
      </c>
      <c r="EU110" s="84">
        <f ca="1">MAX(0, SUMPRODUCT($EN110:$ER110,OFFSET(DNN!$Q$9:$U$9,EU$9,0)) + OFFSET(DNN!$P$9,EU$9,0))</f>
        <v>0</v>
      </c>
      <c r="EV110" s="84">
        <f ca="1">MAX(0, SUMPRODUCT($EN110:$ER110,OFFSET(DNN!$Q$9:$U$9,EV$9,0)) + OFFSET(DNN!$P$9,EV$9,0))</f>
        <v>1.2810123361902579E-3</v>
      </c>
      <c r="EW110" s="84">
        <f ca="1">MAX(0, SUMPRODUCT($EN110:$ER110,OFFSET(DNN!$Q$9:$U$9,EW$9,0)) + OFFSET(DNN!$P$9,EW$9,0))</f>
        <v>7.8382123007882457E-4</v>
      </c>
      <c r="EX110" s="85">
        <f ca="1">MAX(0, SUMPRODUCT($EN110:$ER110,OFFSET(DNN!$Q$9:$U$9,EX$9,0)) + OFFSET(DNN!$P$9,EX$9,0))</f>
        <v>0</v>
      </c>
      <c r="EZ110" s="111">
        <f ca="1">SUMPRODUCT($ET110:$EX110,OFFSET(DNN!$Y$9:$AC$9,EZ$9,0)) + OFFSET(DNN!$X$9,EZ$9,0)</f>
        <v>0.43031618918982212</v>
      </c>
      <c r="FA110" s="97">
        <f ca="1">SUMPRODUCT($ET110:$EX110,OFFSET(DNN!$Y$9:$AC$9,FA$9,0)) + OFFSET(DNN!$X$9,FA$9,0)</f>
        <v>-1.2643439935754107E-5</v>
      </c>
      <c r="FB110" s="97">
        <f ca="1">SUMPRODUCT($ET110:$EX110,OFFSET(DNN!$Y$9:$AC$9,FB$9,0)) + OFFSET(DNN!$X$9,FB$9,0)</f>
        <v>1.5239793458415756E-2</v>
      </c>
      <c r="FC110" s="97">
        <f ca="1">SUMPRODUCT($ET110:$EX110,OFFSET(DNN!$Y$9:$AC$9,FC$9,0)) + OFFSET(DNN!$X$9,FC$9,0)</f>
        <v>-8.8749521084055777E-4</v>
      </c>
      <c r="FD110" s="97">
        <f ca="1">SUMPRODUCT($ET110:$EX110,OFFSET(DNN!$Y$9:$AC$9,FD$9,0)) + OFFSET(DNN!$X$9,FD$9,0)</f>
        <v>-4.235816470721872E-4</v>
      </c>
      <c r="FE110" s="97">
        <f ca="1">SUMPRODUCT($ET110:$EX110,OFFSET(DNN!$Y$9:$AC$9,FE$9,0)) + OFFSET(DNN!$X$9,FE$9,0)</f>
        <v>-1.574182761064886E-5</v>
      </c>
      <c r="FF110" s="97">
        <f ca="1">SUMPRODUCT($ET110:$EX110,OFFSET(DNN!$Y$9:$AC$9,FF$9,0)) + OFFSET(DNN!$X$9,FF$9,0)</f>
        <v>-1.3491460223194656E-3</v>
      </c>
      <c r="FG110" s="97">
        <f ca="1">SUMPRODUCT($ET110:$EX110,OFFSET(DNN!$Y$9:$AC$9,FG$9,0)) + OFFSET(DNN!$X$9,FG$9,0)</f>
        <v>-6.2604808096248285E-2</v>
      </c>
      <c r="FH110" s="97">
        <f ca="1">SUMPRODUCT($ET110:$EX110,OFFSET(DNN!$Y$9:$AC$9,FH$9,0)) + OFFSET(DNN!$X$9,FH$9,0)</f>
        <v>8.6810016937029894E-4</v>
      </c>
      <c r="FI110" s="108">
        <f ca="1">SUMPRODUCT($ET110:$EX110,OFFSET(DNN!$Y$9:$AC$9,FI$9,0)) + OFFSET(DNN!$X$9,FI$9,0)</f>
        <v>-1.3182687612562751</v>
      </c>
      <c r="FJ110" s="98">
        <f ca="1">SUMPRODUCT($ET110:$EX110,OFFSET(DNN!$Y$9:$AC$9,FJ$9,0)) + OFFSET(DNN!$X$9,FJ$9,0)</f>
        <v>-2.2535161745939301E-5</v>
      </c>
      <c r="FL110" s="415">
        <f t="shared" ca="1" si="224"/>
        <v>0.43031618918982212</v>
      </c>
      <c r="FM110" s="130">
        <f t="shared" ca="1" si="225"/>
        <v>1</v>
      </c>
      <c r="FN110" s="131">
        <f t="shared" ca="1" si="226"/>
        <v>0.65029522127322903</v>
      </c>
      <c r="FO110" s="131">
        <f t="shared" ca="1" si="227"/>
        <v>0.66028983545318687</v>
      </c>
      <c r="FP110" s="131">
        <f t="shared" ca="1" si="228"/>
        <v>0.64972655813153501</v>
      </c>
      <c r="FQ110" s="131">
        <f t="shared" ca="1" si="229"/>
        <v>0.65002804502111444</v>
      </c>
      <c r="FR110" s="131">
        <f t="shared" ca="1" si="230"/>
        <v>0.65029320640965171</v>
      </c>
      <c r="FS110" s="131">
        <f t="shared" ca="1" si="231"/>
        <v>0.64942668056342145</v>
      </c>
      <c r="FT110" s="131">
        <f t="shared" ca="1" si="232"/>
        <v>0.61083952513994022</v>
      </c>
      <c r="FU110" s="132">
        <f t="shared" ca="1" si="233"/>
        <v>0.6508682169276182</v>
      </c>
      <c r="FV110" s="131">
        <f t="shared" ca="1" si="234"/>
        <v>0.17402001625314881</v>
      </c>
      <c r="FW110" s="83">
        <f t="shared" ca="1" si="235"/>
        <v>-2.2535161742124597E-5</v>
      </c>
    </row>
    <row r="111" spans="1:179">
      <c r="A111" s="19">
        <f t="shared" si="240"/>
        <v>101</v>
      </c>
      <c r="B111" s="1">
        <f t="shared" ca="1" si="236"/>
        <v>0</v>
      </c>
      <c r="C111" s="20">
        <f t="shared" ca="1" si="237"/>
        <v>101</v>
      </c>
      <c r="D111" s="19" t="str">
        <f t="shared" ca="1" si="238"/>
        <v>〇×〇×〇×--〇</v>
      </c>
      <c r="E111" s="7">
        <f t="shared" ca="1" si="206"/>
        <v>9</v>
      </c>
      <c r="F111" s="7">
        <f t="shared" ca="1" si="207"/>
        <v>1</v>
      </c>
      <c r="G111" s="1" t="str">
        <f t="shared" ca="1" si="139"/>
        <v>〇×〇×〇×--〇</v>
      </c>
      <c r="H111" s="20" t="b">
        <f t="shared" ca="1" si="140"/>
        <v>1</v>
      </c>
      <c r="I111" s="22">
        <f t="shared" ca="1" si="239"/>
        <v>-1</v>
      </c>
      <c r="J111" s="1" t="b">
        <f ca="1">(1&lt;COUNTIF(D$10:D111,D111))</f>
        <v>1</v>
      </c>
      <c r="K111" s="1" t="b">
        <f t="shared" ca="1" si="141"/>
        <v>1</v>
      </c>
      <c r="L111" s="7">
        <f ca="1">MATCH(TRUE,K111:K$1048576,FALSE)-1</f>
        <v>0</v>
      </c>
      <c r="M111" s="24" t="str">
        <f t="shared" ca="1" si="142"/>
        <v>〇×〇×〇×--〇_9</v>
      </c>
      <c r="N111" s="25">
        <f t="shared" ca="1" si="208"/>
        <v>-2.2535161742124597E-5</v>
      </c>
      <c r="O111" s="26">
        <f t="shared" ca="1" si="209"/>
        <v>-1</v>
      </c>
      <c r="P111" s="27">
        <f t="shared" ca="1" si="210"/>
        <v>-1</v>
      </c>
      <c r="R111" s="41" t="str">
        <f ca="1">VLOOKUP(S111,cvt!$B$2:$C$4,2,FALSE)&amp;VLOOKUP(T111,cvt!$B$2:$C$4,2,FALSE)&amp;VLOOKUP(U111,cvt!$B$2:$C$4,2,FALSE)
&amp;VLOOKUP(V111,cvt!$B$2:$C$4,2,FALSE)&amp;VLOOKUP(W111,cvt!$B$2:$C$4,2,FALSE)&amp;VLOOKUP(X111,cvt!$B$2:$C$4,2,FALSE)
&amp;VLOOKUP(Y111,cvt!$B$2:$C$4,2,FALSE)&amp;VLOOKUP(Z111,cvt!$B$2:$C$4,2,FALSE)&amp;VLOOKUP(AA111,cvt!$B$2:$C$4,2,FALSE)</f>
        <v>〇×〇×〇×--〇</v>
      </c>
      <c r="S111" s="7">
        <f ca="1">VLOOKUP(MID($D111,S$9+1,1), cvt!$A$2:$B$4,2, FALSE)</f>
        <v>1</v>
      </c>
      <c r="T111" s="7">
        <f ca="1">VLOOKUP(MID($D111,T$9+1,1), cvt!$A$2:$B$4,2, FALSE)</f>
        <v>-1</v>
      </c>
      <c r="U111" s="7">
        <f ca="1">VLOOKUP(MID($D111,U$9+1,1), cvt!$A$2:$B$4,2, FALSE)</f>
        <v>1</v>
      </c>
      <c r="V111" s="17">
        <f ca="1">VLOOKUP(MID($D111,V$9+1,1), cvt!$A$2:$B$4,2, FALSE)</f>
        <v>-1</v>
      </c>
      <c r="W111" s="7">
        <f ca="1">VLOOKUP(MID($D111,W$9+1,1), cvt!$A$2:$B$4,2, FALSE)</f>
        <v>1</v>
      </c>
      <c r="X111" s="18">
        <f ca="1">VLOOKUP(MID($D111,X$9+1,1), cvt!$A$2:$B$4,2, FALSE)</f>
        <v>-1</v>
      </c>
      <c r="Y111" s="7">
        <f ca="1">VLOOKUP(MID($D111,Y$9+1,1), cvt!$A$2:$B$4,2, FALSE)</f>
        <v>0</v>
      </c>
      <c r="Z111" s="7">
        <f ca="1">VLOOKUP(MID($D111,Z$9+1,1), cvt!$A$2:$B$4,2, FALSE)</f>
        <v>0</v>
      </c>
      <c r="AA111" s="42">
        <f ca="1">VLOOKUP(MID($D111,AA$9+1,1), cvt!$A$2:$B$4,2, FALSE)</f>
        <v>1</v>
      </c>
      <c r="AB111" s="7">
        <f t="shared" ca="1" si="211"/>
        <v>1</v>
      </c>
      <c r="AC111" s="50" t="b">
        <f t="shared" ca="1" si="212"/>
        <v>1</v>
      </c>
      <c r="AE111" s="19" t="str">
        <f ca="1">VLOOKUP(AF111,cvt!$B$2:$C$4,2,FALSE)&amp;VLOOKUP(AG111,cvt!$B$2:$C$4,2,FALSE)&amp;VLOOKUP(AH111,cvt!$B$2:$C$4,2,FALSE)
&amp;VLOOKUP(AI111,cvt!$B$2:$C$4,2,FALSE)&amp;VLOOKUP(AJ111,cvt!$B$2:$C$4,2,FALSE)&amp;VLOOKUP(AK111,cvt!$B$2:$C$4,2,FALSE)
&amp;VLOOKUP(AL111,cvt!$B$2:$C$4,2,FALSE)&amp;VLOOKUP(AM111,cvt!$B$2:$C$4,2,FALSE)&amp;VLOOKUP(AN111,cvt!$B$2:$C$4,2,FALSE)</f>
        <v>〇×〇×〇×--〇</v>
      </c>
      <c r="AF111" s="17">
        <f t="shared" ca="1" si="143"/>
        <v>1</v>
      </c>
      <c r="AG111" s="7">
        <f t="shared" ca="1" si="144"/>
        <v>-1</v>
      </c>
      <c r="AH111" s="7">
        <f t="shared" ca="1" si="145"/>
        <v>1</v>
      </c>
      <c r="AI111" s="17">
        <f t="shared" ca="1" si="146"/>
        <v>-1</v>
      </c>
      <c r="AJ111" s="7">
        <f t="shared" ca="1" si="147"/>
        <v>1</v>
      </c>
      <c r="AK111" s="18">
        <f t="shared" ca="1" si="148"/>
        <v>-1</v>
      </c>
      <c r="AL111" s="7">
        <f t="shared" ca="1" si="149"/>
        <v>0</v>
      </c>
      <c r="AM111" s="7">
        <f t="shared" ca="1" si="150"/>
        <v>0</v>
      </c>
      <c r="AN111" s="18">
        <f t="shared" ca="1" si="151"/>
        <v>1</v>
      </c>
      <c r="AO111" s="7">
        <f t="shared" ca="1" si="213"/>
        <v>1</v>
      </c>
      <c r="AP111" s="50" t="b">
        <f t="shared" ca="1" si="152"/>
        <v>1</v>
      </c>
      <c r="AS111" s="22">
        <f t="shared" ca="1" si="214"/>
        <v>0</v>
      </c>
      <c r="AT111" s="7">
        <f t="shared" ca="1" si="153"/>
        <v>0</v>
      </c>
      <c r="AU111" s="7">
        <f t="shared" ca="1" si="154"/>
        <v>0</v>
      </c>
      <c r="AV111" s="7">
        <f t="shared" ca="1" si="155"/>
        <v>0</v>
      </c>
      <c r="AW111" s="7">
        <f t="shared" ca="1" si="156"/>
        <v>0</v>
      </c>
      <c r="AX111" s="7">
        <f t="shared" ca="1" si="157"/>
        <v>0</v>
      </c>
      <c r="AY111" s="7">
        <f t="shared" ca="1" si="158"/>
        <v>0</v>
      </c>
      <c r="AZ111" s="7">
        <f t="shared" ca="1" si="159"/>
        <v>0</v>
      </c>
      <c r="BA111" s="18">
        <f t="shared" ca="1" si="160"/>
        <v>0</v>
      </c>
      <c r="BB111" s="295">
        <f t="shared" ca="1" si="215"/>
        <v>1</v>
      </c>
      <c r="BD111" s="132"/>
      <c r="BE111" s="297">
        <f t="shared" ca="1" si="216"/>
        <v>1</v>
      </c>
      <c r="BF111" s="298">
        <f t="shared" ca="1" si="161"/>
        <v>0.65029522127322903</v>
      </c>
      <c r="BG111" s="298">
        <f t="shared" ca="1" si="162"/>
        <v>0.66028983545318687</v>
      </c>
      <c r="BH111" s="318">
        <f t="shared" ca="1" si="163"/>
        <v>0.64972655813153501</v>
      </c>
      <c r="BI111" s="298">
        <f t="shared" ca="1" si="164"/>
        <v>0.65002804502111444</v>
      </c>
      <c r="BJ111" s="299">
        <f t="shared" ca="1" si="165"/>
        <v>0.65029320640965171</v>
      </c>
      <c r="BK111" s="298">
        <f t="shared" ca="1" si="166"/>
        <v>0.64942668056342145</v>
      </c>
      <c r="BL111" s="298">
        <f t="shared" ca="1" si="167"/>
        <v>0.61083952513994022</v>
      </c>
      <c r="BM111" s="299">
        <f t="shared" ca="1" si="168"/>
        <v>0.6508682169276182</v>
      </c>
      <c r="BN111" s="295">
        <f t="shared" ca="1" si="169"/>
        <v>0.17402001625314881</v>
      </c>
      <c r="BO111" s="248">
        <f t="shared" ca="1" si="217"/>
        <v>-2.2535161742124597E-5</v>
      </c>
      <c r="BQ111" s="304">
        <f t="shared" ca="1" si="218"/>
        <v>0.1741200162531488</v>
      </c>
      <c r="BR111" s="297">
        <f t="shared" ca="1" si="219"/>
        <v>0</v>
      </c>
      <c r="BS111" s="298">
        <f t="shared" ca="1" si="170"/>
        <v>0</v>
      </c>
      <c r="BT111" s="298">
        <f t="shared" ca="1" si="171"/>
        <v>0</v>
      </c>
      <c r="BU111" s="318">
        <f t="shared" ca="1" si="172"/>
        <v>0</v>
      </c>
      <c r="BV111" s="298">
        <f t="shared" ca="1" si="173"/>
        <v>0</v>
      </c>
      <c r="BW111" s="299">
        <f t="shared" ca="1" si="174"/>
        <v>0</v>
      </c>
      <c r="BX111" s="298">
        <f t="shared" ca="1" si="175"/>
        <v>0</v>
      </c>
      <c r="BY111" s="298">
        <f t="shared" ca="1" si="176"/>
        <v>0</v>
      </c>
      <c r="BZ111" s="298">
        <f t="shared" ca="1" si="177"/>
        <v>0</v>
      </c>
      <c r="CA111" s="315">
        <f t="shared" ca="1" si="178"/>
        <v>0.1741200162531488</v>
      </c>
      <c r="CC111" s="52"/>
      <c r="CD111" s="306">
        <f t="shared" ca="1" si="220"/>
        <v>0</v>
      </c>
      <c r="CE111" s="15">
        <f t="shared" ca="1" si="179"/>
        <v>0</v>
      </c>
      <c r="CF111" s="15">
        <f t="shared" ca="1" si="180"/>
        <v>0</v>
      </c>
      <c r="CG111" s="286">
        <f t="shared" ca="1" si="181"/>
        <v>0</v>
      </c>
      <c r="CH111" s="15">
        <f t="shared" ca="1" si="182"/>
        <v>0</v>
      </c>
      <c r="CI111" s="288">
        <f t="shared" ca="1" si="183"/>
        <v>0</v>
      </c>
      <c r="CJ111" s="15">
        <f t="shared" ca="1" si="184"/>
        <v>0</v>
      </c>
      <c r="CK111" s="15">
        <f t="shared" ca="1" si="185"/>
        <v>0</v>
      </c>
      <c r="CL111" s="15">
        <f t="shared" ca="1" si="186"/>
        <v>0</v>
      </c>
      <c r="CM111" s="313">
        <f t="shared" ca="1" si="187"/>
        <v>1</v>
      </c>
      <c r="CO111" s="320">
        <f t="shared" ca="1" si="221"/>
        <v>100</v>
      </c>
      <c r="CP111" s="22">
        <f ca="1">COUNTIFS($C$10:$C110,"&lt;"&amp;$C111,$M$10:$M110,$D111&amp;"_"&amp;CP$9)</f>
        <v>0</v>
      </c>
      <c r="CQ111" s="7">
        <f ca="1">COUNTIFS($C$10:$C110,"&lt;"&amp;$C111,$M$10:$M110,$D111&amp;"_"&amp;CQ$9)</f>
        <v>0</v>
      </c>
      <c r="CR111" s="7">
        <f ca="1">COUNTIFS($C$10:$C110,"&lt;"&amp;$C111,$M$10:$M110,$D111&amp;"_"&amp;CR$9)</f>
        <v>0</v>
      </c>
      <c r="CS111" s="17">
        <f ca="1">COUNTIFS($C$10:$C110,"&lt;"&amp;$C111,$M$10:$M110,$D111&amp;"_"&amp;CS$9)</f>
        <v>0</v>
      </c>
      <c r="CT111" s="7">
        <f ca="1">COUNTIFS($C$10:$C110,"&lt;"&amp;$C111,$M$10:$M110,$D111&amp;"_"&amp;CT$9)</f>
        <v>0</v>
      </c>
      <c r="CU111" s="18">
        <f ca="1">COUNTIFS($C$10:$C110,"&lt;"&amp;$C111,$M$10:$M110,$D111&amp;"_"&amp;CU$9)</f>
        <v>0</v>
      </c>
      <c r="CV111" s="7">
        <f ca="1">COUNTIFS($C$10:$C110,"&lt;"&amp;$C111,$M$10:$M110,$D111&amp;"_"&amp;CV$9)</f>
        <v>0</v>
      </c>
      <c r="CW111" s="7">
        <f ca="1">COUNTIFS($C$10:$C110,"&lt;"&amp;$C111,$M$10:$M110,$D111&amp;"_"&amp;CW$9)</f>
        <v>0</v>
      </c>
      <c r="CX111" s="7">
        <f ca="1">COUNTIFS($C$10:$C110,"&lt;"&amp;$C111,$M$10:$M110,$D111&amp;"_"&amp;CX$9)</f>
        <v>0</v>
      </c>
      <c r="CY111" s="221">
        <f ca="1">COUNTIFS($C$10:$C110,"&lt;"&amp;$C111,$M$10:$M110,$D111&amp;"_"&amp;CY$9)</f>
        <v>100</v>
      </c>
      <c r="DA111" s="20"/>
      <c r="DB111" s="308">
        <f ca="1">IF(CP111=0,0,SUMIFS($P$10:$P110, $C$10:$C110,"&lt;"&amp;$C111, $M$10:$M110,$D111&amp;"_"&amp;DB$9)/CP111)</f>
        <v>0</v>
      </c>
      <c r="DC111" s="263">
        <f ca="1">IF(CQ111=0,0,SUMIFS($P$10:$P110, $C$10:$C110,"&lt;"&amp;$C111, $M$10:$M110,$D111&amp;"_"&amp;DC$9)/CQ111)</f>
        <v>0</v>
      </c>
      <c r="DD111" s="263">
        <f ca="1">IF(CR111=0,0,SUMIFS($P$10:$P110, $C$10:$C110,"&lt;"&amp;$C111, $M$10:$M110,$D111&amp;"_"&amp;DD$9)/CR111)</f>
        <v>0</v>
      </c>
      <c r="DE111" s="262">
        <f ca="1">IF(CS111=0,0,SUMIFS($P$10:$P110, $C$10:$C110,"&lt;"&amp;$C111, $M$10:$M110,$D111&amp;"_"&amp;DE$9)/CS111)</f>
        <v>0</v>
      </c>
      <c r="DF111" s="263">
        <f ca="1">IF(CT111=0,0,SUMIFS($P$10:$P110, $C$10:$C110,"&lt;"&amp;$C111, $M$10:$M110,$D111&amp;"_"&amp;DF$9)/CT111)</f>
        <v>0</v>
      </c>
      <c r="DG111" s="310">
        <f ca="1">IF(CU111=0,0,SUMIFS($P$10:$P110, $C$10:$C110,"&lt;"&amp;$C111, $M$10:$M110,$D111&amp;"_"&amp;DG$9)/CU111)</f>
        <v>0</v>
      </c>
      <c r="DH111" s="263">
        <f ca="1">IF(CV111=0,0,SUMIFS($P$10:$P110, $C$10:$C110,"&lt;"&amp;$C111, $M$10:$M110,$D111&amp;"_"&amp;DH$9)/CV111)</f>
        <v>0</v>
      </c>
      <c r="DI111" s="263">
        <f ca="1">IF(CW111=0,0,SUMIFS($P$10:$P110, $C$10:$C110,"&lt;"&amp;$C111, $M$10:$M110,$D111&amp;"_"&amp;DI$9)/CW111)</f>
        <v>0</v>
      </c>
      <c r="DJ111" s="264">
        <f ca="1">IF(CX111=0,0,SUMIFS($P$10:$P110, $C$10:$C110,"&lt;"&amp;$C111, $M$10:$M110,$D111&amp;"_"&amp;DJ$9)/CX111)</f>
        <v>0</v>
      </c>
      <c r="DK111" s="264">
        <f ca="1">IF(CY111=0,0,SUMIFS($P$10:$P110, $C$10:$C110,"&lt;"&amp;$C111, $M$10:$M110,$D111&amp;"_"&amp;DK$9)/CY111)</f>
        <v>-1</v>
      </c>
      <c r="DM111" s="104"/>
      <c r="DN111" s="306">
        <f t="shared" ca="1" si="222"/>
        <v>-9999</v>
      </c>
      <c r="DO111" s="15">
        <f t="shared" ca="1" si="188"/>
        <v>-9999</v>
      </c>
      <c r="DP111" s="15">
        <f t="shared" ca="1" si="189"/>
        <v>-9999</v>
      </c>
      <c r="DQ111" s="15">
        <f t="shared" ca="1" si="190"/>
        <v>-9999</v>
      </c>
      <c r="DR111" s="15">
        <f t="shared" ca="1" si="191"/>
        <v>-9999</v>
      </c>
      <c r="DS111" s="15">
        <f t="shared" ca="1" si="192"/>
        <v>-9999</v>
      </c>
      <c r="DT111" s="15">
        <f t="shared" ca="1" si="193"/>
        <v>-9999</v>
      </c>
      <c r="DU111" s="15">
        <f t="shared" ca="1" si="194"/>
        <v>-9999</v>
      </c>
      <c r="DV111" s="52">
        <f t="shared" ca="1" si="195"/>
        <v>-9999</v>
      </c>
      <c r="DW111" s="313">
        <f t="shared" ca="1" si="196"/>
        <v>-0.90099009900990101</v>
      </c>
      <c r="DX111" s="52"/>
      <c r="DY111" s="402">
        <f t="shared" ca="1" si="223"/>
        <v>9</v>
      </c>
      <c r="ED111" s="19">
        <f t="shared" ca="1" si="241"/>
        <v>-1</v>
      </c>
      <c r="EE111" s="1">
        <f t="shared" ca="1" si="242"/>
        <v>1</v>
      </c>
      <c r="EF111" s="1">
        <f t="shared" ca="1" si="243"/>
        <v>-1</v>
      </c>
      <c r="EG111" s="2">
        <f t="shared" ca="1" si="244"/>
        <v>1</v>
      </c>
      <c r="EH111" s="1">
        <f t="shared" ca="1" si="245"/>
        <v>-1</v>
      </c>
      <c r="EI111" s="3">
        <f t="shared" ca="1" si="246"/>
        <v>1</v>
      </c>
      <c r="EJ111" s="1">
        <f t="shared" ca="1" si="247"/>
        <v>0</v>
      </c>
      <c r="EK111" s="1">
        <f t="shared" ca="1" si="248"/>
        <v>0</v>
      </c>
      <c r="EL111" s="20">
        <f t="shared" ca="1" si="249"/>
        <v>-1</v>
      </c>
      <c r="EN111" s="86">
        <f ca="1">MAX(0, SUMPRODUCT($ED111:$EL111,OFFSET(DNN!$E$9:$M$9,EN$9,0)) + OFFSET(DNN!$D$9,EN$9,0))</f>
        <v>0</v>
      </c>
      <c r="EO111" s="84">
        <f ca="1">MAX(0, SUMPRODUCT($ED111:$EL111,OFFSET(DNN!$E$9:$M$9,EO$9,0)) + OFFSET(DNN!$D$9,EO$9,0))</f>
        <v>7.2346022384755949E-3</v>
      </c>
      <c r="EP111" s="84">
        <f ca="1">MAX(0, SUMPRODUCT($ED111:$EL111,OFFSET(DNN!$E$9:$M$9,EP$9,0)) + OFFSET(DNN!$D$9,EP$9,0))</f>
        <v>3.6951849750035152E-3</v>
      </c>
      <c r="EQ111" s="84">
        <f ca="1">MAX(0, SUMPRODUCT($ED111:$EL111,OFFSET(DNN!$E$9:$M$9,EQ$9,0)) + OFFSET(DNN!$D$9,EQ$9,0))</f>
        <v>0</v>
      </c>
      <c r="ER111" s="85">
        <f ca="1">MAX(0, SUMPRODUCT($ED111:$EL111,OFFSET(DNN!$E$9:$M$9,ER$9,0)) + OFFSET(DNN!$D$9,ER$9,0))</f>
        <v>0</v>
      </c>
      <c r="ET111" s="86">
        <f ca="1">MAX(0, SUMPRODUCT($EN111:$ER111,OFFSET(DNN!$Q$9:$U$9,ET$9,0)) + OFFSET(DNN!$P$9,ET$9,0))</f>
        <v>4.3954959453478351E-4</v>
      </c>
      <c r="EU111" s="84">
        <f ca="1">MAX(0, SUMPRODUCT($EN111:$ER111,OFFSET(DNN!$Q$9:$U$9,EU$9,0)) + OFFSET(DNN!$P$9,EU$9,0))</f>
        <v>0</v>
      </c>
      <c r="EV111" s="84">
        <f ca="1">MAX(0, SUMPRODUCT($EN111:$ER111,OFFSET(DNN!$Q$9:$U$9,EV$9,0)) + OFFSET(DNN!$P$9,EV$9,0))</f>
        <v>1.2810123361902579E-3</v>
      </c>
      <c r="EW111" s="84">
        <f ca="1">MAX(0, SUMPRODUCT($EN111:$ER111,OFFSET(DNN!$Q$9:$U$9,EW$9,0)) + OFFSET(DNN!$P$9,EW$9,0))</f>
        <v>7.8382123007882457E-4</v>
      </c>
      <c r="EX111" s="85">
        <f ca="1">MAX(0, SUMPRODUCT($EN111:$ER111,OFFSET(DNN!$Q$9:$U$9,EX$9,0)) + OFFSET(DNN!$P$9,EX$9,0))</f>
        <v>0</v>
      </c>
      <c r="EZ111" s="111">
        <f ca="1">SUMPRODUCT($ET111:$EX111,OFFSET(DNN!$Y$9:$AC$9,EZ$9,0)) + OFFSET(DNN!$X$9,EZ$9,0)</f>
        <v>0.43031618918982212</v>
      </c>
      <c r="FA111" s="97">
        <f ca="1">SUMPRODUCT($ET111:$EX111,OFFSET(DNN!$Y$9:$AC$9,FA$9,0)) + OFFSET(DNN!$X$9,FA$9,0)</f>
        <v>-1.2643439935754107E-5</v>
      </c>
      <c r="FB111" s="97">
        <f ca="1">SUMPRODUCT($ET111:$EX111,OFFSET(DNN!$Y$9:$AC$9,FB$9,0)) + OFFSET(DNN!$X$9,FB$9,0)</f>
        <v>1.5239793458415756E-2</v>
      </c>
      <c r="FC111" s="97">
        <f ca="1">SUMPRODUCT($ET111:$EX111,OFFSET(DNN!$Y$9:$AC$9,FC$9,0)) + OFFSET(DNN!$X$9,FC$9,0)</f>
        <v>-8.8749521084055777E-4</v>
      </c>
      <c r="FD111" s="97">
        <f ca="1">SUMPRODUCT($ET111:$EX111,OFFSET(DNN!$Y$9:$AC$9,FD$9,0)) + OFFSET(DNN!$X$9,FD$9,0)</f>
        <v>-4.235816470721872E-4</v>
      </c>
      <c r="FE111" s="97">
        <f ca="1">SUMPRODUCT($ET111:$EX111,OFFSET(DNN!$Y$9:$AC$9,FE$9,0)) + OFFSET(DNN!$X$9,FE$9,0)</f>
        <v>-1.574182761064886E-5</v>
      </c>
      <c r="FF111" s="97">
        <f ca="1">SUMPRODUCT($ET111:$EX111,OFFSET(DNN!$Y$9:$AC$9,FF$9,0)) + OFFSET(DNN!$X$9,FF$9,0)</f>
        <v>-1.3491460223194656E-3</v>
      </c>
      <c r="FG111" s="97">
        <f ca="1">SUMPRODUCT($ET111:$EX111,OFFSET(DNN!$Y$9:$AC$9,FG$9,0)) + OFFSET(DNN!$X$9,FG$9,0)</f>
        <v>-6.2604808096248285E-2</v>
      </c>
      <c r="FH111" s="97">
        <f ca="1">SUMPRODUCT($ET111:$EX111,OFFSET(DNN!$Y$9:$AC$9,FH$9,0)) + OFFSET(DNN!$X$9,FH$9,0)</f>
        <v>8.6810016937029894E-4</v>
      </c>
      <c r="FI111" s="108">
        <f ca="1">SUMPRODUCT($ET111:$EX111,OFFSET(DNN!$Y$9:$AC$9,FI$9,0)) + OFFSET(DNN!$X$9,FI$9,0)</f>
        <v>-1.3182687612562751</v>
      </c>
      <c r="FJ111" s="98">
        <f ca="1">SUMPRODUCT($ET111:$EX111,OFFSET(DNN!$Y$9:$AC$9,FJ$9,0)) + OFFSET(DNN!$X$9,FJ$9,0)</f>
        <v>-2.2535161745939301E-5</v>
      </c>
      <c r="FL111" s="415">
        <f t="shared" ca="1" si="224"/>
        <v>0.43031618918982212</v>
      </c>
      <c r="FM111" s="130">
        <f t="shared" ca="1" si="225"/>
        <v>1</v>
      </c>
      <c r="FN111" s="131">
        <f t="shared" ca="1" si="226"/>
        <v>0.65029522127322903</v>
      </c>
      <c r="FO111" s="131">
        <f t="shared" ca="1" si="227"/>
        <v>0.66028983545318687</v>
      </c>
      <c r="FP111" s="131">
        <f t="shared" ca="1" si="228"/>
        <v>0.64972655813153501</v>
      </c>
      <c r="FQ111" s="131">
        <f t="shared" ca="1" si="229"/>
        <v>0.65002804502111444</v>
      </c>
      <c r="FR111" s="131">
        <f t="shared" ca="1" si="230"/>
        <v>0.65029320640965171</v>
      </c>
      <c r="FS111" s="131">
        <f t="shared" ca="1" si="231"/>
        <v>0.64942668056342145</v>
      </c>
      <c r="FT111" s="131">
        <f t="shared" ca="1" si="232"/>
        <v>0.61083952513994022</v>
      </c>
      <c r="FU111" s="132">
        <f t="shared" ca="1" si="233"/>
        <v>0.6508682169276182</v>
      </c>
      <c r="FV111" s="131">
        <f t="shared" ca="1" si="234"/>
        <v>0.17402001625314881</v>
      </c>
      <c r="FW111" s="83">
        <f t="shared" ca="1" si="235"/>
        <v>-2.2535161742124597E-5</v>
      </c>
    </row>
    <row r="112" spans="1:179">
      <c r="A112" s="19">
        <f t="shared" si="240"/>
        <v>102</v>
      </c>
      <c r="B112" s="1">
        <f t="shared" ca="1" si="236"/>
        <v>0</v>
      </c>
      <c r="C112" s="20">
        <f t="shared" ca="1" si="237"/>
        <v>102</v>
      </c>
      <c r="D112" s="19" t="str">
        <f t="shared" ca="1" si="238"/>
        <v>〇×〇×〇×--〇</v>
      </c>
      <c r="E112" s="7">
        <f t="shared" ca="1" si="206"/>
        <v>9</v>
      </c>
      <c r="F112" s="7">
        <f t="shared" ca="1" si="207"/>
        <v>1</v>
      </c>
      <c r="G112" s="1" t="str">
        <f t="shared" ca="1" si="139"/>
        <v>〇×〇×〇×--〇</v>
      </c>
      <c r="H112" s="20" t="b">
        <f t="shared" ca="1" si="140"/>
        <v>1</v>
      </c>
      <c r="I112" s="22">
        <f t="shared" ca="1" si="239"/>
        <v>-1</v>
      </c>
      <c r="J112" s="1" t="b">
        <f ca="1">(1&lt;COUNTIF(D$10:D112,D112))</f>
        <v>1</v>
      </c>
      <c r="K112" s="1" t="b">
        <f t="shared" ca="1" si="141"/>
        <v>1</v>
      </c>
      <c r="L112" s="7">
        <f ca="1">MATCH(TRUE,K112:K$1048576,FALSE)-1</f>
        <v>0</v>
      </c>
      <c r="M112" s="24" t="str">
        <f t="shared" ca="1" si="142"/>
        <v>〇×〇×〇×--〇_9</v>
      </c>
      <c r="N112" s="25">
        <f t="shared" ca="1" si="208"/>
        <v>-2.2535161742124597E-5</v>
      </c>
      <c r="O112" s="26">
        <f t="shared" ca="1" si="209"/>
        <v>-1</v>
      </c>
      <c r="P112" s="27">
        <f t="shared" ca="1" si="210"/>
        <v>-1</v>
      </c>
      <c r="R112" s="41" t="str">
        <f ca="1">VLOOKUP(S112,cvt!$B$2:$C$4,2,FALSE)&amp;VLOOKUP(T112,cvt!$B$2:$C$4,2,FALSE)&amp;VLOOKUP(U112,cvt!$B$2:$C$4,2,FALSE)
&amp;VLOOKUP(V112,cvt!$B$2:$C$4,2,FALSE)&amp;VLOOKUP(W112,cvt!$B$2:$C$4,2,FALSE)&amp;VLOOKUP(X112,cvt!$B$2:$C$4,2,FALSE)
&amp;VLOOKUP(Y112,cvt!$B$2:$C$4,2,FALSE)&amp;VLOOKUP(Z112,cvt!$B$2:$C$4,2,FALSE)&amp;VLOOKUP(AA112,cvt!$B$2:$C$4,2,FALSE)</f>
        <v>〇×〇×〇×--〇</v>
      </c>
      <c r="S112" s="7">
        <f ca="1">VLOOKUP(MID($D112,S$9+1,1), cvt!$A$2:$B$4,2, FALSE)</f>
        <v>1</v>
      </c>
      <c r="T112" s="7">
        <f ca="1">VLOOKUP(MID($D112,T$9+1,1), cvt!$A$2:$B$4,2, FALSE)</f>
        <v>-1</v>
      </c>
      <c r="U112" s="7">
        <f ca="1">VLOOKUP(MID($D112,U$9+1,1), cvt!$A$2:$B$4,2, FALSE)</f>
        <v>1</v>
      </c>
      <c r="V112" s="17">
        <f ca="1">VLOOKUP(MID($D112,V$9+1,1), cvt!$A$2:$B$4,2, FALSE)</f>
        <v>-1</v>
      </c>
      <c r="W112" s="7">
        <f ca="1">VLOOKUP(MID($D112,W$9+1,1), cvt!$A$2:$B$4,2, FALSE)</f>
        <v>1</v>
      </c>
      <c r="X112" s="18">
        <f ca="1">VLOOKUP(MID($D112,X$9+1,1), cvt!$A$2:$B$4,2, FALSE)</f>
        <v>-1</v>
      </c>
      <c r="Y112" s="7">
        <f ca="1">VLOOKUP(MID($D112,Y$9+1,1), cvt!$A$2:$B$4,2, FALSE)</f>
        <v>0</v>
      </c>
      <c r="Z112" s="7">
        <f ca="1">VLOOKUP(MID($D112,Z$9+1,1), cvt!$A$2:$B$4,2, FALSE)</f>
        <v>0</v>
      </c>
      <c r="AA112" s="42">
        <f ca="1">VLOOKUP(MID($D112,AA$9+1,1), cvt!$A$2:$B$4,2, FALSE)</f>
        <v>1</v>
      </c>
      <c r="AB112" s="7">
        <f t="shared" ca="1" si="211"/>
        <v>1</v>
      </c>
      <c r="AC112" s="50" t="b">
        <f t="shared" ca="1" si="212"/>
        <v>1</v>
      </c>
      <c r="AE112" s="19" t="str">
        <f ca="1">VLOOKUP(AF112,cvt!$B$2:$C$4,2,FALSE)&amp;VLOOKUP(AG112,cvt!$B$2:$C$4,2,FALSE)&amp;VLOOKUP(AH112,cvt!$B$2:$C$4,2,FALSE)
&amp;VLOOKUP(AI112,cvt!$B$2:$C$4,2,FALSE)&amp;VLOOKUP(AJ112,cvt!$B$2:$C$4,2,FALSE)&amp;VLOOKUP(AK112,cvt!$B$2:$C$4,2,FALSE)
&amp;VLOOKUP(AL112,cvt!$B$2:$C$4,2,FALSE)&amp;VLOOKUP(AM112,cvt!$B$2:$C$4,2,FALSE)&amp;VLOOKUP(AN112,cvt!$B$2:$C$4,2,FALSE)</f>
        <v>〇×〇×〇×--〇</v>
      </c>
      <c r="AF112" s="17">
        <f t="shared" ca="1" si="143"/>
        <v>1</v>
      </c>
      <c r="AG112" s="7">
        <f t="shared" ca="1" si="144"/>
        <v>-1</v>
      </c>
      <c r="AH112" s="7">
        <f t="shared" ca="1" si="145"/>
        <v>1</v>
      </c>
      <c r="AI112" s="17">
        <f t="shared" ca="1" si="146"/>
        <v>-1</v>
      </c>
      <c r="AJ112" s="7">
        <f t="shared" ca="1" si="147"/>
        <v>1</v>
      </c>
      <c r="AK112" s="18">
        <f t="shared" ca="1" si="148"/>
        <v>-1</v>
      </c>
      <c r="AL112" s="7">
        <f t="shared" ca="1" si="149"/>
        <v>0</v>
      </c>
      <c r="AM112" s="7">
        <f t="shared" ca="1" si="150"/>
        <v>0</v>
      </c>
      <c r="AN112" s="18">
        <f t="shared" ca="1" si="151"/>
        <v>1</v>
      </c>
      <c r="AO112" s="7">
        <f t="shared" ca="1" si="213"/>
        <v>1</v>
      </c>
      <c r="AP112" s="50" t="b">
        <f t="shared" ca="1" si="152"/>
        <v>1</v>
      </c>
      <c r="AS112" s="22">
        <f t="shared" ca="1" si="214"/>
        <v>0</v>
      </c>
      <c r="AT112" s="7">
        <f t="shared" ca="1" si="153"/>
        <v>0</v>
      </c>
      <c r="AU112" s="7">
        <f t="shared" ca="1" si="154"/>
        <v>0</v>
      </c>
      <c r="AV112" s="7">
        <f t="shared" ca="1" si="155"/>
        <v>0</v>
      </c>
      <c r="AW112" s="7">
        <f t="shared" ca="1" si="156"/>
        <v>0</v>
      </c>
      <c r="AX112" s="7">
        <f t="shared" ca="1" si="157"/>
        <v>0</v>
      </c>
      <c r="AY112" s="7">
        <f t="shared" ca="1" si="158"/>
        <v>0</v>
      </c>
      <c r="AZ112" s="7">
        <f t="shared" ca="1" si="159"/>
        <v>0</v>
      </c>
      <c r="BA112" s="18">
        <f t="shared" ca="1" si="160"/>
        <v>0</v>
      </c>
      <c r="BB112" s="295">
        <f t="shared" ca="1" si="215"/>
        <v>1</v>
      </c>
      <c r="BD112" s="132"/>
      <c r="BE112" s="297">
        <f t="shared" ca="1" si="216"/>
        <v>1</v>
      </c>
      <c r="BF112" s="298">
        <f t="shared" ca="1" si="161"/>
        <v>0.65029522127322903</v>
      </c>
      <c r="BG112" s="298">
        <f t="shared" ca="1" si="162"/>
        <v>0.66028983545318687</v>
      </c>
      <c r="BH112" s="318">
        <f t="shared" ca="1" si="163"/>
        <v>0.64972655813153501</v>
      </c>
      <c r="BI112" s="298">
        <f t="shared" ca="1" si="164"/>
        <v>0.65002804502111444</v>
      </c>
      <c r="BJ112" s="299">
        <f t="shared" ca="1" si="165"/>
        <v>0.65029320640965171</v>
      </c>
      <c r="BK112" s="298">
        <f t="shared" ca="1" si="166"/>
        <v>0.64942668056342145</v>
      </c>
      <c r="BL112" s="298">
        <f t="shared" ca="1" si="167"/>
        <v>0.61083952513994022</v>
      </c>
      <c r="BM112" s="299">
        <f t="shared" ca="1" si="168"/>
        <v>0.6508682169276182</v>
      </c>
      <c r="BN112" s="295">
        <f t="shared" ca="1" si="169"/>
        <v>0.17402001625314881</v>
      </c>
      <c r="BO112" s="248">
        <f t="shared" ca="1" si="217"/>
        <v>-2.2535161742124597E-5</v>
      </c>
      <c r="BQ112" s="304">
        <f t="shared" ca="1" si="218"/>
        <v>0.42412001625314877</v>
      </c>
      <c r="BR112" s="297">
        <f t="shared" ca="1" si="219"/>
        <v>0</v>
      </c>
      <c r="BS112" s="298">
        <f t="shared" ca="1" si="170"/>
        <v>0</v>
      </c>
      <c r="BT112" s="298">
        <f t="shared" ca="1" si="171"/>
        <v>0</v>
      </c>
      <c r="BU112" s="318">
        <f t="shared" ca="1" si="172"/>
        <v>0</v>
      </c>
      <c r="BV112" s="298">
        <f t="shared" ca="1" si="173"/>
        <v>0</v>
      </c>
      <c r="BW112" s="299">
        <f t="shared" ca="1" si="174"/>
        <v>0</v>
      </c>
      <c r="BX112" s="298">
        <f t="shared" ca="1" si="175"/>
        <v>0</v>
      </c>
      <c r="BY112" s="298">
        <f t="shared" ca="1" si="176"/>
        <v>0</v>
      </c>
      <c r="BZ112" s="298">
        <f t="shared" ca="1" si="177"/>
        <v>0</v>
      </c>
      <c r="CA112" s="315">
        <f t="shared" ca="1" si="178"/>
        <v>0.42412001625314877</v>
      </c>
      <c r="CC112" s="52"/>
      <c r="CD112" s="306">
        <f t="shared" ca="1" si="220"/>
        <v>0</v>
      </c>
      <c r="CE112" s="15">
        <f t="shared" ca="1" si="179"/>
        <v>0</v>
      </c>
      <c r="CF112" s="15">
        <f t="shared" ca="1" si="180"/>
        <v>0</v>
      </c>
      <c r="CG112" s="286">
        <f t="shared" ca="1" si="181"/>
        <v>0</v>
      </c>
      <c r="CH112" s="15">
        <f t="shared" ca="1" si="182"/>
        <v>0</v>
      </c>
      <c r="CI112" s="288">
        <f t="shared" ca="1" si="183"/>
        <v>0</v>
      </c>
      <c r="CJ112" s="15">
        <f t="shared" ca="1" si="184"/>
        <v>0</v>
      </c>
      <c r="CK112" s="15">
        <f t="shared" ca="1" si="185"/>
        <v>0</v>
      </c>
      <c r="CL112" s="15">
        <f t="shared" ca="1" si="186"/>
        <v>0</v>
      </c>
      <c r="CM112" s="313">
        <f t="shared" ca="1" si="187"/>
        <v>1</v>
      </c>
      <c r="CO112" s="320">
        <f t="shared" ca="1" si="221"/>
        <v>101</v>
      </c>
      <c r="CP112" s="22">
        <f ca="1">COUNTIFS($C$10:$C111,"&lt;"&amp;$C112,$M$10:$M111,$D112&amp;"_"&amp;CP$9)</f>
        <v>0</v>
      </c>
      <c r="CQ112" s="7">
        <f ca="1">COUNTIFS($C$10:$C111,"&lt;"&amp;$C112,$M$10:$M111,$D112&amp;"_"&amp;CQ$9)</f>
        <v>0</v>
      </c>
      <c r="CR112" s="7">
        <f ca="1">COUNTIFS($C$10:$C111,"&lt;"&amp;$C112,$M$10:$M111,$D112&amp;"_"&amp;CR$9)</f>
        <v>0</v>
      </c>
      <c r="CS112" s="17">
        <f ca="1">COUNTIFS($C$10:$C111,"&lt;"&amp;$C112,$M$10:$M111,$D112&amp;"_"&amp;CS$9)</f>
        <v>0</v>
      </c>
      <c r="CT112" s="7">
        <f ca="1">COUNTIFS($C$10:$C111,"&lt;"&amp;$C112,$M$10:$M111,$D112&amp;"_"&amp;CT$9)</f>
        <v>0</v>
      </c>
      <c r="CU112" s="18">
        <f ca="1">COUNTIFS($C$10:$C111,"&lt;"&amp;$C112,$M$10:$M111,$D112&amp;"_"&amp;CU$9)</f>
        <v>0</v>
      </c>
      <c r="CV112" s="7">
        <f ca="1">COUNTIFS($C$10:$C111,"&lt;"&amp;$C112,$M$10:$M111,$D112&amp;"_"&amp;CV$9)</f>
        <v>0</v>
      </c>
      <c r="CW112" s="7">
        <f ca="1">COUNTIFS($C$10:$C111,"&lt;"&amp;$C112,$M$10:$M111,$D112&amp;"_"&amp;CW$9)</f>
        <v>0</v>
      </c>
      <c r="CX112" s="7">
        <f ca="1">COUNTIFS($C$10:$C111,"&lt;"&amp;$C112,$M$10:$M111,$D112&amp;"_"&amp;CX$9)</f>
        <v>0</v>
      </c>
      <c r="CY112" s="221">
        <f ca="1">COUNTIFS($C$10:$C111,"&lt;"&amp;$C112,$M$10:$M111,$D112&amp;"_"&amp;CY$9)</f>
        <v>101</v>
      </c>
      <c r="DA112" s="20"/>
      <c r="DB112" s="308">
        <f ca="1">IF(CP112=0,0,SUMIFS($P$10:$P111, $C$10:$C111,"&lt;"&amp;$C112, $M$10:$M111,$D112&amp;"_"&amp;DB$9)/CP112)</f>
        <v>0</v>
      </c>
      <c r="DC112" s="263">
        <f ca="1">IF(CQ112=0,0,SUMIFS($P$10:$P111, $C$10:$C111,"&lt;"&amp;$C112, $M$10:$M111,$D112&amp;"_"&amp;DC$9)/CQ112)</f>
        <v>0</v>
      </c>
      <c r="DD112" s="263">
        <f ca="1">IF(CR112=0,0,SUMIFS($P$10:$P111, $C$10:$C111,"&lt;"&amp;$C112, $M$10:$M111,$D112&amp;"_"&amp;DD$9)/CR112)</f>
        <v>0</v>
      </c>
      <c r="DE112" s="262">
        <f ca="1">IF(CS112=0,0,SUMIFS($P$10:$P111, $C$10:$C111,"&lt;"&amp;$C112, $M$10:$M111,$D112&amp;"_"&amp;DE$9)/CS112)</f>
        <v>0</v>
      </c>
      <c r="DF112" s="263">
        <f ca="1">IF(CT112=0,0,SUMIFS($P$10:$P111, $C$10:$C111,"&lt;"&amp;$C112, $M$10:$M111,$D112&amp;"_"&amp;DF$9)/CT112)</f>
        <v>0</v>
      </c>
      <c r="DG112" s="310">
        <f ca="1">IF(CU112=0,0,SUMIFS($P$10:$P111, $C$10:$C111,"&lt;"&amp;$C112, $M$10:$M111,$D112&amp;"_"&amp;DG$9)/CU112)</f>
        <v>0</v>
      </c>
      <c r="DH112" s="263">
        <f ca="1">IF(CV112=0,0,SUMIFS($P$10:$P111, $C$10:$C111,"&lt;"&amp;$C112, $M$10:$M111,$D112&amp;"_"&amp;DH$9)/CV112)</f>
        <v>0</v>
      </c>
      <c r="DI112" s="263">
        <f ca="1">IF(CW112=0,0,SUMIFS($P$10:$P111, $C$10:$C111,"&lt;"&amp;$C112, $M$10:$M111,$D112&amp;"_"&amp;DI$9)/CW112)</f>
        <v>0</v>
      </c>
      <c r="DJ112" s="264">
        <f ca="1">IF(CX112=0,0,SUMIFS($P$10:$P111, $C$10:$C111,"&lt;"&amp;$C112, $M$10:$M111,$D112&amp;"_"&amp;DJ$9)/CX112)</f>
        <v>0</v>
      </c>
      <c r="DK112" s="264">
        <f ca="1">IF(CY112=0,0,SUMIFS($P$10:$P111, $C$10:$C111,"&lt;"&amp;$C112, $M$10:$M111,$D112&amp;"_"&amp;DK$9)/CY112)</f>
        <v>-1</v>
      </c>
      <c r="DM112" s="104"/>
      <c r="DN112" s="306">
        <f t="shared" ca="1" si="222"/>
        <v>-9999</v>
      </c>
      <c r="DO112" s="15">
        <f t="shared" ca="1" si="188"/>
        <v>-9999</v>
      </c>
      <c r="DP112" s="15">
        <f t="shared" ca="1" si="189"/>
        <v>-9999</v>
      </c>
      <c r="DQ112" s="15">
        <f t="shared" ca="1" si="190"/>
        <v>-9999</v>
      </c>
      <c r="DR112" s="15">
        <f t="shared" ca="1" si="191"/>
        <v>-9999</v>
      </c>
      <c r="DS112" s="15">
        <f t="shared" ca="1" si="192"/>
        <v>-9999</v>
      </c>
      <c r="DT112" s="15">
        <f t="shared" ca="1" si="193"/>
        <v>-9999</v>
      </c>
      <c r="DU112" s="15">
        <f t="shared" ca="1" si="194"/>
        <v>-9999</v>
      </c>
      <c r="DV112" s="52">
        <f t="shared" ca="1" si="195"/>
        <v>-9999</v>
      </c>
      <c r="DW112" s="313">
        <f t="shared" ca="1" si="196"/>
        <v>-0.90147180763606971</v>
      </c>
      <c r="DX112" s="52"/>
      <c r="DY112" s="402">
        <f t="shared" ca="1" si="223"/>
        <v>9</v>
      </c>
      <c r="ED112" s="19">
        <f t="shared" ca="1" si="241"/>
        <v>-1</v>
      </c>
      <c r="EE112" s="1">
        <f t="shared" ca="1" si="242"/>
        <v>1</v>
      </c>
      <c r="EF112" s="1">
        <f t="shared" ca="1" si="243"/>
        <v>-1</v>
      </c>
      <c r="EG112" s="2">
        <f t="shared" ca="1" si="244"/>
        <v>1</v>
      </c>
      <c r="EH112" s="1">
        <f t="shared" ca="1" si="245"/>
        <v>-1</v>
      </c>
      <c r="EI112" s="3">
        <f t="shared" ca="1" si="246"/>
        <v>1</v>
      </c>
      <c r="EJ112" s="1">
        <f t="shared" ca="1" si="247"/>
        <v>0</v>
      </c>
      <c r="EK112" s="1">
        <f t="shared" ca="1" si="248"/>
        <v>0</v>
      </c>
      <c r="EL112" s="20">
        <f t="shared" ca="1" si="249"/>
        <v>-1</v>
      </c>
      <c r="EN112" s="86">
        <f ca="1">MAX(0, SUMPRODUCT($ED112:$EL112,OFFSET(DNN!$E$9:$M$9,EN$9,0)) + OFFSET(DNN!$D$9,EN$9,0))</f>
        <v>0</v>
      </c>
      <c r="EO112" s="84">
        <f ca="1">MAX(0, SUMPRODUCT($ED112:$EL112,OFFSET(DNN!$E$9:$M$9,EO$9,0)) + OFFSET(DNN!$D$9,EO$9,0))</f>
        <v>7.2346022384755949E-3</v>
      </c>
      <c r="EP112" s="84">
        <f ca="1">MAX(0, SUMPRODUCT($ED112:$EL112,OFFSET(DNN!$E$9:$M$9,EP$9,0)) + OFFSET(DNN!$D$9,EP$9,0))</f>
        <v>3.6951849750035152E-3</v>
      </c>
      <c r="EQ112" s="84">
        <f ca="1">MAX(0, SUMPRODUCT($ED112:$EL112,OFFSET(DNN!$E$9:$M$9,EQ$9,0)) + OFFSET(DNN!$D$9,EQ$9,0))</f>
        <v>0</v>
      </c>
      <c r="ER112" s="85">
        <f ca="1">MAX(0, SUMPRODUCT($ED112:$EL112,OFFSET(DNN!$E$9:$M$9,ER$9,0)) + OFFSET(DNN!$D$9,ER$9,0))</f>
        <v>0</v>
      </c>
      <c r="ET112" s="86">
        <f ca="1">MAX(0, SUMPRODUCT($EN112:$ER112,OFFSET(DNN!$Q$9:$U$9,ET$9,0)) + OFFSET(DNN!$P$9,ET$9,0))</f>
        <v>4.3954959453478351E-4</v>
      </c>
      <c r="EU112" s="84">
        <f ca="1">MAX(0, SUMPRODUCT($EN112:$ER112,OFFSET(DNN!$Q$9:$U$9,EU$9,0)) + OFFSET(DNN!$P$9,EU$9,0))</f>
        <v>0</v>
      </c>
      <c r="EV112" s="84">
        <f ca="1">MAX(0, SUMPRODUCT($EN112:$ER112,OFFSET(DNN!$Q$9:$U$9,EV$9,0)) + OFFSET(DNN!$P$9,EV$9,0))</f>
        <v>1.2810123361902579E-3</v>
      </c>
      <c r="EW112" s="84">
        <f ca="1">MAX(0, SUMPRODUCT($EN112:$ER112,OFFSET(DNN!$Q$9:$U$9,EW$9,0)) + OFFSET(DNN!$P$9,EW$9,0))</f>
        <v>7.8382123007882457E-4</v>
      </c>
      <c r="EX112" s="85">
        <f ca="1">MAX(0, SUMPRODUCT($EN112:$ER112,OFFSET(DNN!$Q$9:$U$9,EX$9,0)) + OFFSET(DNN!$P$9,EX$9,0))</f>
        <v>0</v>
      </c>
      <c r="EZ112" s="111">
        <f ca="1">SUMPRODUCT($ET112:$EX112,OFFSET(DNN!$Y$9:$AC$9,EZ$9,0)) + OFFSET(DNN!$X$9,EZ$9,0)</f>
        <v>0.43031618918982212</v>
      </c>
      <c r="FA112" s="97">
        <f ca="1">SUMPRODUCT($ET112:$EX112,OFFSET(DNN!$Y$9:$AC$9,FA$9,0)) + OFFSET(DNN!$X$9,FA$9,0)</f>
        <v>-1.2643439935754107E-5</v>
      </c>
      <c r="FB112" s="97">
        <f ca="1">SUMPRODUCT($ET112:$EX112,OFFSET(DNN!$Y$9:$AC$9,FB$9,0)) + OFFSET(DNN!$X$9,FB$9,0)</f>
        <v>1.5239793458415756E-2</v>
      </c>
      <c r="FC112" s="97">
        <f ca="1">SUMPRODUCT($ET112:$EX112,OFFSET(DNN!$Y$9:$AC$9,FC$9,0)) + OFFSET(DNN!$X$9,FC$9,0)</f>
        <v>-8.8749521084055777E-4</v>
      </c>
      <c r="FD112" s="97">
        <f ca="1">SUMPRODUCT($ET112:$EX112,OFFSET(DNN!$Y$9:$AC$9,FD$9,0)) + OFFSET(DNN!$X$9,FD$9,0)</f>
        <v>-4.235816470721872E-4</v>
      </c>
      <c r="FE112" s="97">
        <f ca="1">SUMPRODUCT($ET112:$EX112,OFFSET(DNN!$Y$9:$AC$9,FE$9,0)) + OFFSET(DNN!$X$9,FE$9,0)</f>
        <v>-1.574182761064886E-5</v>
      </c>
      <c r="FF112" s="97">
        <f ca="1">SUMPRODUCT($ET112:$EX112,OFFSET(DNN!$Y$9:$AC$9,FF$9,0)) + OFFSET(DNN!$X$9,FF$9,0)</f>
        <v>-1.3491460223194656E-3</v>
      </c>
      <c r="FG112" s="97">
        <f ca="1">SUMPRODUCT($ET112:$EX112,OFFSET(DNN!$Y$9:$AC$9,FG$9,0)) + OFFSET(DNN!$X$9,FG$9,0)</f>
        <v>-6.2604808096248285E-2</v>
      </c>
      <c r="FH112" s="97">
        <f ca="1">SUMPRODUCT($ET112:$EX112,OFFSET(DNN!$Y$9:$AC$9,FH$9,0)) + OFFSET(DNN!$X$9,FH$9,0)</f>
        <v>8.6810016937029894E-4</v>
      </c>
      <c r="FI112" s="108">
        <f ca="1">SUMPRODUCT($ET112:$EX112,OFFSET(DNN!$Y$9:$AC$9,FI$9,0)) + OFFSET(DNN!$X$9,FI$9,0)</f>
        <v>-1.3182687612562751</v>
      </c>
      <c r="FJ112" s="98">
        <f ca="1">SUMPRODUCT($ET112:$EX112,OFFSET(DNN!$Y$9:$AC$9,FJ$9,0)) + OFFSET(DNN!$X$9,FJ$9,0)</f>
        <v>-2.2535161745939301E-5</v>
      </c>
      <c r="FL112" s="415">
        <f t="shared" ca="1" si="224"/>
        <v>0.43031618918982212</v>
      </c>
      <c r="FM112" s="130">
        <f t="shared" ca="1" si="225"/>
        <v>1</v>
      </c>
      <c r="FN112" s="131">
        <f t="shared" ca="1" si="226"/>
        <v>0.65029522127322903</v>
      </c>
      <c r="FO112" s="131">
        <f t="shared" ca="1" si="227"/>
        <v>0.66028983545318687</v>
      </c>
      <c r="FP112" s="131">
        <f t="shared" ca="1" si="228"/>
        <v>0.64972655813153501</v>
      </c>
      <c r="FQ112" s="131">
        <f t="shared" ca="1" si="229"/>
        <v>0.65002804502111444</v>
      </c>
      <c r="FR112" s="131">
        <f t="shared" ca="1" si="230"/>
        <v>0.65029320640965171</v>
      </c>
      <c r="FS112" s="131">
        <f t="shared" ca="1" si="231"/>
        <v>0.64942668056342145</v>
      </c>
      <c r="FT112" s="131">
        <f t="shared" ca="1" si="232"/>
        <v>0.61083952513994022</v>
      </c>
      <c r="FU112" s="132">
        <f t="shared" ca="1" si="233"/>
        <v>0.6508682169276182</v>
      </c>
      <c r="FV112" s="131">
        <f t="shared" ca="1" si="234"/>
        <v>0.17402001625314881</v>
      </c>
      <c r="FW112" s="83">
        <f t="shared" ca="1" si="235"/>
        <v>-2.2535161742124597E-5</v>
      </c>
    </row>
    <row r="113" spans="1:179">
      <c r="A113" s="19">
        <f t="shared" si="240"/>
        <v>103</v>
      </c>
      <c r="B113" s="1">
        <f t="shared" ca="1" si="236"/>
        <v>0</v>
      </c>
      <c r="C113" s="20">
        <f t="shared" ca="1" si="237"/>
        <v>103</v>
      </c>
      <c r="D113" s="19" t="str">
        <f t="shared" ca="1" si="238"/>
        <v>〇×〇×〇×--〇</v>
      </c>
      <c r="E113" s="7">
        <f t="shared" ca="1" si="206"/>
        <v>9</v>
      </c>
      <c r="F113" s="7">
        <f t="shared" ca="1" si="207"/>
        <v>1</v>
      </c>
      <c r="G113" s="1" t="str">
        <f t="shared" ca="1" si="139"/>
        <v>〇×〇×〇×--〇</v>
      </c>
      <c r="H113" s="20" t="b">
        <f t="shared" ca="1" si="140"/>
        <v>1</v>
      </c>
      <c r="I113" s="22">
        <f t="shared" ca="1" si="239"/>
        <v>-1</v>
      </c>
      <c r="J113" s="1" t="b">
        <f ca="1">(1&lt;COUNTIF(D$10:D113,D113))</f>
        <v>1</v>
      </c>
      <c r="K113" s="1" t="b">
        <f t="shared" ca="1" si="141"/>
        <v>1</v>
      </c>
      <c r="L113" s="7">
        <f ca="1">MATCH(TRUE,K113:K$1048576,FALSE)-1</f>
        <v>0</v>
      </c>
      <c r="M113" s="24" t="str">
        <f t="shared" ca="1" si="142"/>
        <v>〇×〇×〇×--〇_9</v>
      </c>
      <c r="N113" s="25">
        <f t="shared" ca="1" si="208"/>
        <v>-2.2535161742124597E-5</v>
      </c>
      <c r="O113" s="26">
        <f t="shared" ca="1" si="209"/>
        <v>-1</v>
      </c>
      <c r="P113" s="27">
        <f t="shared" ca="1" si="210"/>
        <v>-1</v>
      </c>
      <c r="R113" s="41" t="str">
        <f ca="1">VLOOKUP(S113,cvt!$B$2:$C$4,2,FALSE)&amp;VLOOKUP(T113,cvt!$B$2:$C$4,2,FALSE)&amp;VLOOKUP(U113,cvt!$B$2:$C$4,2,FALSE)
&amp;VLOOKUP(V113,cvt!$B$2:$C$4,2,FALSE)&amp;VLOOKUP(W113,cvt!$B$2:$C$4,2,FALSE)&amp;VLOOKUP(X113,cvt!$B$2:$C$4,2,FALSE)
&amp;VLOOKUP(Y113,cvt!$B$2:$C$4,2,FALSE)&amp;VLOOKUP(Z113,cvt!$B$2:$C$4,2,FALSE)&amp;VLOOKUP(AA113,cvt!$B$2:$C$4,2,FALSE)</f>
        <v>〇×〇×〇×--〇</v>
      </c>
      <c r="S113" s="7">
        <f ca="1">VLOOKUP(MID($D113,S$9+1,1), cvt!$A$2:$B$4,2, FALSE)</f>
        <v>1</v>
      </c>
      <c r="T113" s="7">
        <f ca="1">VLOOKUP(MID($D113,T$9+1,1), cvt!$A$2:$B$4,2, FALSE)</f>
        <v>-1</v>
      </c>
      <c r="U113" s="7">
        <f ca="1">VLOOKUP(MID($D113,U$9+1,1), cvt!$A$2:$B$4,2, FALSE)</f>
        <v>1</v>
      </c>
      <c r="V113" s="17">
        <f ca="1">VLOOKUP(MID($D113,V$9+1,1), cvt!$A$2:$B$4,2, FALSE)</f>
        <v>-1</v>
      </c>
      <c r="W113" s="7">
        <f ca="1">VLOOKUP(MID($D113,W$9+1,1), cvt!$A$2:$B$4,2, FALSE)</f>
        <v>1</v>
      </c>
      <c r="X113" s="18">
        <f ca="1">VLOOKUP(MID($D113,X$9+1,1), cvt!$A$2:$B$4,2, FALSE)</f>
        <v>-1</v>
      </c>
      <c r="Y113" s="7">
        <f ca="1">VLOOKUP(MID($D113,Y$9+1,1), cvt!$A$2:$B$4,2, FALSE)</f>
        <v>0</v>
      </c>
      <c r="Z113" s="7">
        <f ca="1">VLOOKUP(MID($D113,Z$9+1,1), cvt!$A$2:$B$4,2, FALSE)</f>
        <v>0</v>
      </c>
      <c r="AA113" s="42">
        <f ca="1">VLOOKUP(MID($D113,AA$9+1,1), cvt!$A$2:$B$4,2, FALSE)</f>
        <v>1</v>
      </c>
      <c r="AB113" s="7">
        <f t="shared" ca="1" si="211"/>
        <v>1</v>
      </c>
      <c r="AC113" s="50" t="b">
        <f t="shared" ca="1" si="212"/>
        <v>1</v>
      </c>
      <c r="AE113" s="19" t="str">
        <f ca="1">VLOOKUP(AF113,cvt!$B$2:$C$4,2,FALSE)&amp;VLOOKUP(AG113,cvt!$B$2:$C$4,2,FALSE)&amp;VLOOKUP(AH113,cvt!$B$2:$C$4,2,FALSE)
&amp;VLOOKUP(AI113,cvt!$B$2:$C$4,2,FALSE)&amp;VLOOKUP(AJ113,cvt!$B$2:$C$4,2,FALSE)&amp;VLOOKUP(AK113,cvt!$B$2:$C$4,2,FALSE)
&amp;VLOOKUP(AL113,cvt!$B$2:$C$4,2,FALSE)&amp;VLOOKUP(AM113,cvt!$B$2:$C$4,2,FALSE)&amp;VLOOKUP(AN113,cvt!$B$2:$C$4,2,FALSE)</f>
        <v>〇×〇×〇×--〇</v>
      </c>
      <c r="AF113" s="17">
        <f t="shared" ca="1" si="143"/>
        <v>1</v>
      </c>
      <c r="AG113" s="7">
        <f t="shared" ca="1" si="144"/>
        <v>-1</v>
      </c>
      <c r="AH113" s="7">
        <f t="shared" ca="1" si="145"/>
        <v>1</v>
      </c>
      <c r="AI113" s="17">
        <f t="shared" ca="1" si="146"/>
        <v>-1</v>
      </c>
      <c r="AJ113" s="7">
        <f t="shared" ca="1" si="147"/>
        <v>1</v>
      </c>
      <c r="AK113" s="18">
        <f t="shared" ca="1" si="148"/>
        <v>-1</v>
      </c>
      <c r="AL113" s="7">
        <f t="shared" ca="1" si="149"/>
        <v>0</v>
      </c>
      <c r="AM113" s="7">
        <f t="shared" ca="1" si="150"/>
        <v>0</v>
      </c>
      <c r="AN113" s="18">
        <f t="shared" ca="1" si="151"/>
        <v>1</v>
      </c>
      <c r="AO113" s="7">
        <f t="shared" ca="1" si="213"/>
        <v>1</v>
      </c>
      <c r="AP113" s="50" t="b">
        <f t="shared" ca="1" si="152"/>
        <v>1</v>
      </c>
      <c r="AS113" s="22">
        <f t="shared" ca="1" si="214"/>
        <v>0</v>
      </c>
      <c r="AT113" s="7">
        <f t="shared" ca="1" si="153"/>
        <v>0</v>
      </c>
      <c r="AU113" s="7">
        <f t="shared" ca="1" si="154"/>
        <v>0</v>
      </c>
      <c r="AV113" s="7">
        <f t="shared" ca="1" si="155"/>
        <v>0</v>
      </c>
      <c r="AW113" s="7">
        <f t="shared" ca="1" si="156"/>
        <v>0</v>
      </c>
      <c r="AX113" s="7">
        <f t="shared" ca="1" si="157"/>
        <v>0</v>
      </c>
      <c r="AY113" s="7">
        <f t="shared" ca="1" si="158"/>
        <v>0</v>
      </c>
      <c r="AZ113" s="7">
        <f t="shared" ca="1" si="159"/>
        <v>0</v>
      </c>
      <c r="BA113" s="18">
        <f t="shared" ca="1" si="160"/>
        <v>0</v>
      </c>
      <c r="BB113" s="295">
        <f t="shared" ca="1" si="215"/>
        <v>1</v>
      </c>
      <c r="BD113" s="132"/>
      <c r="BE113" s="297">
        <f t="shared" ca="1" si="216"/>
        <v>1</v>
      </c>
      <c r="BF113" s="298">
        <f t="shared" ca="1" si="161"/>
        <v>0.65029522127322903</v>
      </c>
      <c r="BG113" s="298">
        <f t="shared" ca="1" si="162"/>
        <v>0.66028983545318687</v>
      </c>
      <c r="BH113" s="318">
        <f t="shared" ca="1" si="163"/>
        <v>0.64972655813153501</v>
      </c>
      <c r="BI113" s="298">
        <f t="shared" ca="1" si="164"/>
        <v>0.65002804502111444</v>
      </c>
      <c r="BJ113" s="299">
        <f t="shared" ca="1" si="165"/>
        <v>0.65029320640965171</v>
      </c>
      <c r="BK113" s="298">
        <f t="shared" ca="1" si="166"/>
        <v>0.64942668056342145</v>
      </c>
      <c r="BL113" s="298">
        <f t="shared" ca="1" si="167"/>
        <v>0.61083952513994022</v>
      </c>
      <c r="BM113" s="299">
        <f t="shared" ca="1" si="168"/>
        <v>0.6508682169276182</v>
      </c>
      <c r="BN113" s="295">
        <f t="shared" ca="1" si="169"/>
        <v>0.17402001625314881</v>
      </c>
      <c r="BO113" s="248">
        <f t="shared" ca="1" si="217"/>
        <v>-2.2535161742124597E-5</v>
      </c>
      <c r="BQ113" s="304">
        <f t="shared" ca="1" si="218"/>
        <v>0.42412001625314877</v>
      </c>
      <c r="BR113" s="297">
        <f t="shared" ca="1" si="219"/>
        <v>0</v>
      </c>
      <c r="BS113" s="298">
        <f t="shared" ca="1" si="170"/>
        <v>0</v>
      </c>
      <c r="BT113" s="298">
        <f t="shared" ca="1" si="171"/>
        <v>0</v>
      </c>
      <c r="BU113" s="318">
        <f t="shared" ca="1" si="172"/>
        <v>0</v>
      </c>
      <c r="BV113" s="298">
        <f t="shared" ca="1" si="173"/>
        <v>0</v>
      </c>
      <c r="BW113" s="299">
        <f t="shared" ca="1" si="174"/>
        <v>0</v>
      </c>
      <c r="BX113" s="298">
        <f t="shared" ca="1" si="175"/>
        <v>0</v>
      </c>
      <c r="BY113" s="298">
        <f t="shared" ca="1" si="176"/>
        <v>0</v>
      </c>
      <c r="BZ113" s="298">
        <f t="shared" ca="1" si="177"/>
        <v>0</v>
      </c>
      <c r="CA113" s="315">
        <f t="shared" ca="1" si="178"/>
        <v>0.42412001625314877</v>
      </c>
      <c r="CC113" s="52"/>
      <c r="CD113" s="306">
        <f t="shared" ca="1" si="220"/>
        <v>0</v>
      </c>
      <c r="CE113" s="15">
        <f t="shared" ca="1" si="179"/>
        <v>0</v>
      </c>
      <c r="CF113" s="15">
        <f t="shared" ca="1" si="180"/>
        <v>0</v>
      </c>
      <c r="CG113" s="286">
        <f t="shared" ca="1" si="181"/>
        <v>0</v>
      </c>
      <c r="CH113" s="15">
        <f t="shared" ca="1" si="182"/>
        <v>0</v>
      </c>
      <c r="CI113" s="288">
        <f t="shared" ca="1" si="183"/>
        <v>0</v>
      </c>
      <c r="CJ113" s="15">
        <f t="shared" ca="1" si="184"/>
        <v>0</v>
      </c>
      <c r="CK113" s="15">
        <f t="shared" ca="1" si="185"/>
        <v>0</v>
      </c>
      <c r="CL113" s="15">
        <f t="shared" ca="1" si="186"/>
        <v>0</v>
      </c>
      <c r="CM113" s="313">
        <f t="shared" ca="1" si="187"/>
        <v>1</v>
      </c>
      <c r="CO113" s="320">
        <f t="shared" ca="1" si="221"/>
        <v>102</v>
      </c>
      <c r="CP113" s="22">
        <f ca="1">COUNTIFS($C$10:$C112,"&lt;"&amp;$C113,$M$10:$M112,$D113&amp;"_"&amp;CP$9)</f>
        <v>0</v>
      </c>
      <c r="CQ113" s="7">
        <f ca="1">COUNTIFS($C$10:$C112,"&lt;"&amp;$C113,$M$10:$M112,$D113&amp;"_"&amp;CQ$9)</f>
        <v>0</v>
      </c>
      <c r="CR113" s="7">
        <f ca="1">COUNTIFS($C$10:$C112,"&lt;"&amp;$C113,$M$10:$M112,$D113&amp;"_"&amp;CR$9)</f>
        <v>0</v>
      </c>
      <c r="CS113" s="17">
        <f ca="1">COUNTIFS($C$10:$C112,"&lt;"&amp;$C113,$M$10:$M112,$D113&amp;"_"&amp;CS$9)</f>
        <v>0</v>
      </c>
      <c r="CT113" s="7">
        <f ca="1">COUNTIFS($C$10:$C112,"&lt;"&amp;$C113,$M$10:$M112,$D113&amp;"_"&amp;CT$9)</f>
        <v>0</v>
      </c>
      <c r="CU113" s="18">
        <f ca="1">COUNTIFS($C$10:$C112,"&lt;"&amp;$C113,$M$10:$M112,$D113&amp;"_"&amp;CU$9)</f>
        <v>0</v>
      </c>
      <c r="CV113" s="7">
        <f ca="1">COUNTIFS($C$10:$C112,"&lt;"&amp;$C113,$M$10:$M112,$D113&amp;"_"&amp;CV$9)</f>
        <v>0</v>
      </c>
      <c r="CW113" s="7">
        <f ca="1">COUNTIFS($C$10:$C112,"&lt;"&amp;$C113,$M$10:$M112,$D113&amp;"_"&amp;CW$9)</f>
        <v>0</v>
      </c>
      <c r="CX113" s="7">
        <f ca="1">COUNTIFS($C$10:$C112,"&lt;"&amp;$C113,$M$10:$M112,$D113&amp;"_"&amp;CX$9)</f>
        <v>0</v>
      </c>
      <c r="CY113" s="221">
        <f ca="1">COUNTIFS($C$10:$C112,"&lt;"&amp;$C113,$M$10:$M112,$D113&amp;"_"&amp;CY$9)</f>
        <v>102</v>
      </c>
      <c r="DA113" s="20"/>
      <c r="DB113" s="308">
        <f ca="1">IF(CP113=0,0,SUMIFS($P$10:$P112, $C$10:$C112,"&lt;"&amp;$C113, $M$10:$M112,$D113&amp;"_"&amp;DB$9)/CP113)</f>
        <v>0</v>
      </c>
      <c r="DC113" s="263">
        <f ca="1">IF(CQ113=0,0,SUMIFS($P$10:$P112, $C$10:$C112,"&lt;"&amp;$C113, $M$10:$M112,$D113&amp;"_"&amp;DC$9)/CQ113)</f>
        <v>0</v>
      </c>
      <c r="DD113" s="263">
        <f ca="1">IF(CR113=0,0,SUMIFS($P$10:$P112, $C$10:$C112,"&lt;"&amp;$C113, $M$10:$M112,$D113&amp;"_"&amp;DD$9)/CR113)</f>
        <v>0</v>
      </c>
      <c r="DE113" s="262">
        <f ca="1">IF(CS113=0,0,SUMIFS($P$10:$P112, $C$10:$C112,"&lt;"&amp;$C113, $M$10:$M112,$D113&amp;"_"&amp;DE$9)/CS113)</f>
        <v>0</v>
      </c>
      <c r="DF113" s="263">
        <f ca="1">IF(CT113=0,0,SUMIFS($P$10:$P112, $C$10:$C112,"&lt;"&amp;$C113, $M$10:$M112,$D113&amp;"_"&amp;DF$9)/CT113)</f>
        <v>0</v>
      </c>
      <c r="DG113" s="310">
        <f ca="1">IF(CU113=0,0,SUMIFS($P$10:$P112, $C$10:$C112,"&lt;"&amp;$C113, $M$10:$M112,$D113&amp;"_"&amp;DG$9)/CU113)</f>
        <v>0</v>
      </c>
      <c r="DH113" s="263">
        <f ca="1">IF(CV113=0,0,SUMIFS($P$10:$P112, $C$10:$C112,"&lt;"&amp;$C113, $M$10:$M112,$D113&amp;"_"&amp;DH$9)/CV113)</f>
        <v>0</v>
      </c>
      <c r="DI113" s="263">
        <f ca="1">IF(CW113=0,0,SUMIFS($P$10:$P112, $C$10:$C112,"&lt;"&amp;$C113, $M$10:$M112,$D113&amp;"_"&amp;DI$9)/CW113)</f>
        <v>0</v>
      </c>
      <c r="DJ113" s="264">
        <f ca="1">IF(CX113=0,0,SUMIFS($P$10:$P112, $C$10:$C112,"&lt;"&amp;$C113, $M$10:$M112,$D113&amp;"_"&amp;DJ$9)/CX113)</f>
        <v>0</v>
      </c>
      <c r="DK113" s="264">
        <f ca="1">IF(CY113=0,0,SUMIFS($P$10:$P112, $C$10:$C112,"&lt;"&amp;$C113, $M$10:$M112,$D113&amp;"_"&amp;DK$9)/CY113)</f>
        <v>-1</v>
      </c>
      <c r="DM113" s="104"/>
      <c r="DN113" s="306">
        <f t="shared" ca="1" si="222"/>
        <v>-9999</v>
      </c>
      <c r="DO113" s="15">
        <f t="shared" ca="1" si="188"/>
        <v>-9999</v>
      </c>
      <c r="DP113" s="15">
        <f t="shared" ca="1" si="189"/>
        <v>-9999</v>
      </c>
      <c r="DQ113" s="15">
        <f t="shared" ca="1" si="190"/>
        <v>-9999</v>
      </c>
      <c r="DR113" s="15">
        <f t="shared" ca="1" si="191"/>
        <v>-9999</v>
      </c>
      <c r="DS113" s="15">
        <f t="shared" ca="1" si="192"/>
        <v>-9999</v>
      </c>
      <c r="DT113" s="15">
        <f t="shared" ca="1" si="193"/>
        <v>-9999</v>
      </c>
      <c r="DU113" s="15">
        <f t="shared" ca="1" si="194"/>
        <v>-9999</v>
      </c>
      <c r="DV113" s="52">
        <f t="shared" ca="1" si="195"/>
        <v>-9999</v>
      </c>
      <c r="DW113" s="313">
        <f t="shared" ca="1" si="196"/>
        <v>-0.90194655399648471</v>
      </c>
      <c r="DX113" s="52"/>
      <c r="DY113" s="402">
        <f t="shared" ca="1" si="223"/>
        <v>9</v>
      </c>
      <c r="ED113" s="19">
        <f t="shared" ca="1" si="241"/>
        <v>-1</v>
      </c>
      <c r="EE113" s="1">
        <f t="shared" ca="1" si="242"/>
        <v>1</v>
      </c>
      <c r="EF113" s="1">
        <f t="shared" ca="1" si="243"/>
        <v>-1</v>
      </c>
      <c r="EG113" s="2">
        <f t="shared" ca="1" si="244"/>
        <v>1</v>
      </c>
      <c r="EH113" s="1">
        <f t="shared" ca="1" si="245"/>
        <v>-1</v>
      </c>
      <c r="EI113" s="3">
        <f t="shared" ca="1" si="246"/>
        <v>1</v>
      </c>
      <c r="EJ113" s="1">
        <f t="shared" ca="1" si="247"/>
        <v>0</v>
      </c>
      <c r="EK113" s="1">
        <f t="shared" ca="1" si="248"/>
        <v>0</v>
      </c>
      <c r="EL113" s="20">
        <f t="shared" ca="1" si="249"/>
        <v>-1</v>
      </c>
      <c r="EN113" s="86">
        <f ca="1">MAX(0, SUMPRODUCT($ED113:$EL113,OFFSET(DNN!$E$9:$M$9,EN$9,0)) + OFFSET(DNN!$D$9,EN$9,0))</f>
        <v>0</v>
      </c>
      <c r="EO113" s="84">
        <f ca="1">MAX(0, SUMPRODUCT($ED113:$EL113,OFFSET(DNN!$E$9:$M$9,EO$9,0)) + OFFSET(DNN!$D$9,EO$9,0))</f>
        <v>7.2346022384755949E-3</v>
      </c>
      <c r="EP113" s="84">
        <f ca="1">MAX(0, SUMPRODUCT($ED113:$EL113,OFFSET(DNN!$E$9:$M$9,EP$9,0)) + OFFSET(DNN!$D$9,EP$9,0))</f>
        <v>3.6951849750035152E-3</v>
      </c>
      <c r="EQ113" s="84">
        <f ca="1">MAX(0, SUMPRODUCT($ED113:$EL113,OFFSET(DNN!$E$9:$M$9,EQ$9,0)) + OFFSET(DNN!$D$9,EQ$9,0))</f>
        <v>0</v>
      </c>
      <c r="ER113" s="85">
        <f ca="1">MAX(0, SUMPRODUCT($ED113:$EL113,OFFSET(DNN!$E$9:$M$9,ER$9,0)) + OFFSET(DNN!$D$9,ER$9,0))</f>
        <v>0</v>
      </c>
      <c r="ET113" s="86">
        <f ca="1">MAX(0, SUMPRODUCT($EN113:$ER113,OFFSET(DNN!$Q$9:$U$9,ET$9,0)) + OFFSET(DNN!$P$9,ET$9,0))</f>
        <v>4.3954959453478351E-4</v>
      </c>
      <c r="EU113" s="84">
        <f ca="1">MAX(0, SUMPRODUCT($EN113:$ER113,OFFSET(DNN!$Q$9:$U$9,EU$9,0)) + OFFSET(DNN!$P$9,EU$9,0))</f>
        <v>0</v>
      </c>
      <c r="EV113" s="84">
        <f ca="1">MAX(0, SUMPRODUCT($EN113:$ER113,OFFSET(DNN!$Q$9:$U$9,EV$9,0)) + OFFSET(DNN!$P$9,EV$9,0))</f>
        <v>1.2810123361902579E-3</v>
      </c>
      <c r="EW113" s="84">
        <f ca="1">MAX(0, SUMPRODUCT($EN113:$ER113,OFFSET(DNN!$Q$9:$U$9,EW$9,0)) + OFFSET(DNN!$P$9,EW$9,0))</f>
        <v>7.8382123007882457E-4</v>
      </c>
      <c r="EX113" s="85">
        <f ca="1">MAX(0, SUMPRODUCT($EN113:$ER113,OFFSET(DNN!$Q$9:$U$9,EX$9,0)) + OFFSET(DNN!$P$9,EX$9,0))</f>
        <v>0</v>
      </c>
      <c r="EZ113" s="111">
        <f ca="1">SUMPRODUCT($ET113:$EX113,OFFSET(DNN!$Y$9:$AC$9,EZ$9,0)) + OFFSET(DNN!$X$9,EZ$9,0)</f>
        <v>0.43031618918982212</v>
      </c>
      <c r="FA113" s="97">
        <f ca="1">SUMPRODUCT($ET113:$EX113,OFFSET(DNN!$Y$9:$AC$9,FA$9,0)) + OFFSET(DNN!$X$9,FA$9,0)</f>
        <v>-1.2643439935754107E-5</v>
      </c>
      <c r="FB113" s="97">
        <f ca="1">SUMPRODUCT($ET113:$EX113,OFFSET(DNN!$Y$9:$AC$9,FB$9,0)) + OFFSET(DNN!$X$9,FB$9,0)</f>
        <v>1.5239793458415756E-2</v>
      </c>
      <c r="FC113" s="97">
        <f ca="1">SUMPRODUCT($ET113:$EX113,OFFSET(DNN!$Y$9:$AC$9,FC$9,0)) + OFFSET(DNN!$X$9,FC$9,0)</f>
        <v>-8.8749521084055777E-4</v>
      </c>
      <c r="FD113" s="97">
        <f ca="1">SUMPRODUCT($ET113:$EX113,OFFSET(DNN!$Y$9:$AC$9,FD$9,0)) + OFFSET(DNN!$X$9,FD$9,0)</f>
        <v>-4.235816470721872E-4</v>
      </c>
      <c r="FE113" s="97">
        <f ca="1">SUMPRODUCT($ET113:$EX113,OFFSET(DNN!$Y$9:$AC$9,FE$9,0)) + OFFSET(DNN!$X$9,FE$9,0)</f>
        <v>-1.574182761064886E-5</v>
      </c>
      <c r="FF113" s="97">
        <f ca="1">SUMPRODUCT($ET113:$EX113,OFFSET(DNN!$Y$9:$AC$9,FF$9,0)) + OFFSET(DNN!$X$9,FF$9,0)</f>
        <v>-1.3491460223194656E-3</v>
      </c>
      <c r="FG113" s="97">
        <f ca="1">SUMPRODUCT($ET113:$EX113,OFFSET(DNN!$Y$9:$AC$9,FG$9,0)) + OFFSET(DNN!$X$9,FG$9,0)</f>
        <v>-6.2604808096248285E-2</v>
      </c>
      <c r="FH113" s="97">
        <f ca="1">SUMPRODUCT($ET113:$EX113,OFFSET(DNN!$Y$9:$AC$9,FH$9,0)) + OFFSET(DNN!$X$9,FH$9,0)</f>
        <v>8.6810016937029894E-4</v>
      </c>
      <c r="FI113" s="108">
        <f ca="1">SUMPRODUCT($ET113:$EX113,OFFSET(DNN!$Y$9:$AC$9,FI$9,0)) + OFFSET(DNN!$X$9,FI$9,0)</f>
        <v>-1.3182687612562751</v>
      </c>
      <c r="FJ113" s="98">
        <f ca="1">SUMPRODUCT($ET113:$EX113,OFFSET(DNN!$Y$9:$AC$9,FJ$9,0)) + OFFSET(DNN!$X$9,FJ$9,0)</f>
        <v>-2.2535161745939301E-5</v>
      </c>
      <c r="FL113" s="415">
        <f t="shared" ca="1" si="224"/>
        <v>0.43031618918982212</v>
      </c>
      <c r="FM113" s="130">
        <f t="shared" ca="1" si="225"/>
        <v>1</v>
      </c>
      <c r="FN113" s="131">
        <f t="shared" ca="1" si="226"/>
        <v>0.65029522127322903</v>
      </c>
      <c r="FO113" s="131">
        <f t="shared" ca="1" si="227"/>
        <v>0.66028983545318687</v>
      </c>
      <c r="FP113" s="131">
        <f t="shared" ca="1" si="228"/>
        <v>0.64972655813153501</v>
      </c>
      <c r="FQ113" s="131">
        <f t="shared" ca="1" si="229"/>
        <v>0.65002804502111444</v>
      </c>
      <c r="FR113" s="131">
        <f t="shared" ca="1" si="230"/>
        <v>0.65029320640965171</v>
      </c>
      <c r="FS113" s="131">
        <f t="shared" ca="1" si="231"/>
        <v>0.64942668056342145</v>
      </c>
      <c r="FT113" s="131">
        <f t="shared" ca="1" si="232"/>
        <v>0.61083952513994022</v>
      </c>
      <c r="FU113" s="132">
        <f t="shared" ca="1" si="233"/>
        <v>0.6508682169276182</v>
      </c>
      <c r="FV113" s="131">
        <f t="shared" ca="1" si="234"/>
        <v>0.17402001625314881</v>
      </c>
      <c r="FW113" s="83">
        <f t="shared" ca="1" si="235"/>
        <v>-2.2535161742124597E-5</v>
      </c>
    </row>
    <row r="114" spans="1:179">
      <c r="A114" s="19">
        <f t="shared" si="240"/>
        <v>104</v>
      </c>
      <c r="B114" s="1">
        <f t="shared" ca="1" si="236"/>
        <v>0</v>
      </c>
      <c r="C114" s="20">
        <f t="shared" ca="1" si="237"/>
        <v>104</v>
      </c>
      <c r="D114" s="19" t="str">
        <f t="shared" ca="1" si="238"/>
        <v>〇×〇×〇×--〇</v>
      </c>
      <c r="E114" s="7">
        <f t="shared" ca="1" si="206"/>
        <v>9</v>
      </c>
      <c r="F114" s="7">
        <f t="shared" ca="1" si="207"/>
        <v>1</v>
      </c>
      <c r="G114" s="1" t="str">
        <f t="shared" ca="1" si="139"/>
        <v>〇×〇×〇×--〇</v>
      </c>
      <c r="H114" s="20" t="b">
        <f t="shared" ca="1" si="140"/>
        <v>1</v>
      </c>
      <c r="I114" s="22">
        <f t="shared" ca="1" si="239"/>
        <v>-1</v>
      </c>
      <c r="J114" s="1" t="b">
        <f ca="1">(1&lt;COUNTIF(D$10:D114,D114))</f>
        <v>1</v>
      </c>
      <c r="K114" s="1" t="b">
        <f t="shared" ca="1" si="141"/>
        <v>1</v>
      </c>
      <c r="L114" s="7">
        <f ca="1">MATCH(TRUE,K114:K$1048576,FALSE)-1</f>
        <v>0</v>
      </c>
      <c r="M114" s="24" t="str">
        <f t="shared" ca="1" si="142"/>
        <v>〇×〇×〇×--〇_9</v>
      </c>
      <c r="N114" s="25">
        <f t="shared" ca="1" si="208"/>
        <v>-2.2535161742124597E-5</v>
      </c>
      <c r="O114" s="26">
        <f t="shared" ca="1" si="209"/>
        <v>-1</v>
      </c>
      <c r="P114" s="27">
        <f t="shared" ca="1" si="210"/>
        <v>-1</v>
      </c>
      <c r="R114" s="41" t="str">
        <f ca="1">VLOOKUP(S114,cvt!$B$2:$C$4,2,FALSE)&amp;VLOOKUP(T114,cvt!$B$2:$C$4,2,FALSE)&amp;VLOOKUP(U114,cvt!$B$2:$C$4,2,FALSE)
&amp;VLOOKUP(V114,cvt!$B$2:$C$4,2,FALSE)&amp;VLOOKUP(W114,cvt!$B$2:$C$4,2,FALSE)&amp;VLOOKUP(X114,cvt!$B$2:$C$4,2,FALSE)
&amp;VLOOKUP(Y114,cvt!$B$2:$C$4,2,FALSE)&amp;VLOOKUP(Z114,cvt!$B$2:$C$4,2,FALSE)&amp;VLOOKUP(AA114,cvt!$B$2:$C$4,2,FALSE)</f>
        <v>〇×〇×〇×--〇</v>
      </c>
      <c r="S114" s="7">
        <f ca="1">VLOOKUP(MID($D114,S$9+1,1), cvt!$A$2:$B$4,2, FALSE)</f>
        <v>1</v>
      </c>
      <c r="T114" s="7">
        <f ca="1">VLOOKUP(MID($D114,T$9+1,1), cvt!$A$2:$B$4,2, FALSE)</f>
        <v>-1</v>
      </c>
      <c r="U114" s="7">
        <f ca="1">VLOOKUP(MID($D114,U$9+1,1), cvt!$A$2:$B$4,2, FALSE)</f>
        <v>1</v>
      </c>
      <c r="V114" s="17">
        <f ca="1">VLOOKUP(MID($D114,V$9+1,1), cvt!$A$2:$B$4,2, FALSE)</f>
        <v>-1</v>
      </c>
      <c r="W114" s="7">
        <f ca="1">VLOOKUP(MID($D114,W$9+1,1), cvt!$A$2:$B$4,2, FALSE)</f>
        <v>1</v>
      </c>
      <c r="X114" s="18">
        <f ca="1">VLOOKUP(MID($D114,X$9+1,1), cvt!$A$2:$B$4,2, FALSE)</f>
        <v>-1</v>
      </c>
      <c r="Y114" s="7">
        <f ca="1">VLOOKUP(MID($D114,Y$9+1,1), cvt!$A$2:$B$4,2, FALSE)</f>
        <v>0</v>
      </c>
      <c r="Z114" s="7">
        <f ca="1">VLOOKUP(MID($D114,Z$9+1,1), cvt!$A$2:$B$4,2, FALSE)</f>
        <v>0</v>
      </c>
      <c r="AA114" s="42">
        <f ca="1">VLOOKUP(MID($D114,AA$9+1,1), cvt!$A$2:$B$4,2, FALSE)</f>
        <v>1</v>
      </c>
      <c r="AB114" s="7">
        <f t="shared" ca="1" si="211"/>
        <v>1</v>
      </c>
      <c r="AC114" s="50" t="b">
        <f t="shared" ca="1" si="212"/>
        <v>1</v>
      </c>
      <c r="AE114" s="19" t="str">
        <f ca="1">VLOOKUP(AF114,cvt!$B$2:$C$4,2,FALSE)&amp;VLOOKUP(AG114,cvt!$B$2:$C$4,2,FALSE)&amp;VLOOKUP(AH114,cvt!$B$2:$C$4,2,FALSE)
&amp;VLOOKUP(AI114,cvt!$B$2:$C$4,2,FALSE)&amp;VLOOKUP(AJ114,cvt!$B$2:$C$4,2,FALSE)&amp;VLOOKUP(AK114,cvt!$B$2:$C$4,2,FALSE)
&amp;VLOOKUP(AL114,cvt!$B$2:$C$4,2,FALSE)&amp;VLOOKUP(AM114,cvt!$B$2:$C$4,2,FALSE)&amp;VLOOKUP(AN114,cvt!$B$2:$C$4,2,FALSE)</f>
        <v>〇×〇×〇×--〇</v>
      </c>
      <c r="AF114" s="17">
        <f t="shared" ca="1" si="143"/>
        <v>1</v>
      </c>
      <c r="AG114" s="7">
        <f t="shared" ca="1" si="144"/>
        <v>-1</v>
      </c>
      <c r="AH114" s="7">
        <f t="shared" ca="1" si="145"/>
        <v>1</v>
      </c>
      <c r="AI114" s="17">
        <f t="shared" ca="1" si="146"/>
        <v>-1</v>
      </c>
      <c r="AJ114" s="7">
        <f t="shared" ca="1" si="147"/>
        <v>1</v>
      </c>
      <c r="AK114" s="18">
        <f t="shared" ca="1" si="148"/>
        <v>-1</v>
      </c>
      <c r="AL114" s="7">
        <f t="shared" ca="1" si="149"/>
        <v>0</v>
      </c>
      <c r="AM114" s="7">
        <f t="shared" ca="1" si="150"/>
        <v>0</v>
      </c>
      <c r="AN114" s="18">
        <f t="shared" ca="1" si="151"/>
        <v>1</v>
      </c>
      <c r="AO114" s="7">
        <f t="shared" ca="1" si="213"/>
        <v>1</v>
      </c>
      <c r="AP114" s="50" t="b">
        <f t="shared" ca="1" si="152"/>
        <v>1</v>
      </c>
      <c r="AS114" s="22">
        <f t="shared" ca="1" si="214"/>
        <v>0</v>
      </c>
      <c r="AT114" s="7">
        <f t="shared" ca="1" si="153"/>
        <v>0</v>
      </c>
      <c r="AU114" s="7">
        <f t="shared" ca="1" si="154"/>
        <v>0</v>
      </c>
      <c r="AV114" s="7">
        <f t="shared" ca="1" si="155"/>
        <v>0</v>
      </c>
      <c r="AW114" s="7">
        <f t="shared" ca="1" si="156"/>
        <v>0</v>
      </c>
      <c r="AX114" s="7">
        <f t="shared" ca="1" si="157"/>
        <v>0</v>
      </c>
      <c r="AY114" s="7">
        <f t="shared" ca="1" si="158"/>
        <v>0</v>
      </c>
      <c r="AZ114" s="7">
        <f t="shared" ca="1" si="159"/>
        <v>0</v>
      </c>
      <c r="BA114" s="18">
        <f t="shared" ca="1" si="160"/>
        <v>0</v>
      </c>
      <c r="BB114" s="295">
        <f t="shared" ca="1" si="215"/>
        <v>1</v>
      </c>
      <c r="BD114" s="132"/>
      <c r="BE114" s="297">
        <f t="shared" ca="1" si="216"/>
        <v>1</v>
      </c>
      <c r="BF114" s="298">
        <f t="shared" ca="1" si="161"/>
        <v>0.65029522127322903</v>
      </c>
      <c r="BG114" s="298">
        <f t="shared" ca="1" si="162"/>
        <v>0.66028983545318687</v>
      </c>
      <c r="BH114" s="318">
        <f t="shared" ca="1" si="163"/>
        <v>0.64972655813153501</v>
      </c>
      <c r="BI114" s="298">
        <f t="shared" ca="1" si="164"/>
        <v>0.65002804502111444</v>
      </c>
      <c r="BJ114" s="299">
        <f t="shared" ca="1" si="165"/>
        <v>0.65029320640965171</v>
      </c>
      <c r="BK114" s="298">
        <f t="shared" ca="1" si="166"/>
        <v>0.64942668056342145</v>
      </c>
      <c r="BL114" s="298">
        <f t="shared" ca="1" si="167"/>
        <v>0.61083952513994022</v>
      </c>
      <c r="BM114" s="299">
        <f t="shared" ca="1" si="168"/>
        <v>0.6508682169276182</v>
      </c>
      <c r="BN114" s="295">
        <f t="shared" ca="1" si="169"/>
        <v>0.17402001625314881</v>
      </c>
      <c r="BO114" s="248">
        <f t="shared" ca="1" si="217"/>
        <v>-2.2535161742124597E-5</v>
      </c>
      <c r="BQ114" s="304">
        <f t="shared" ca="1" si="218"/>
        <v>0.1741200162531488</v>
      </c>
      <c r="BR114" s="297">
        <f t="shared" ca="1" si="219"/>
        <v>0</v>
      </c>
      <c r="BS114" s="298">
        <f t="shared" ca="1" si="170"/>
        <v>0</v>
      </c>
      <c r="BT114" s="298">
        <f t="shared" ca="1" si="171"/>
        <v>0</v>
      </c>
      <c r="BU114" s="318">
        <f t="shared" ca="1" si="172"/>
        <v>0</v>
      </c>
      <c r="BV114" s="298">
        <f t="shared" ca="1" si="173"/>
        <v>0</v>
      </c>
      <c r="BW114" s="299">
        <f t="shared" ca="1" si="174"/>
        <v>0</v>
      </c>
      <c r="BX114" s="298">
        <f t="shared" ca="1" si="175"/>
        <v>0</v>
      </c>
      <c r="BY114" s="298">
        <f t="shared" ca="1" si="176"/>
        <v>0</v>
      </c>
      <c r="BZ114" s="298">
        <f t="shared" ca="1" si="177"/>
        <v>0</v>
      </c>
      <c r="CA114" s="315">
        <f t="shared" ca="1" si="178"/>
        <v>0.1741200162531488</v>
      </c>
      <c r="CC114" s="52"/>
      <c r="CD114" s="306">
        <f t="shared" ca="1" si="220"/>
        <v>0</v>
      </c>
      <c r="CE114" s="15">
        <f t="shared" ca="1" si="179"/>
        <v>0</v>
      </c>
      <c r="CF114" s="15">
        <f t="shared" ca="1" si="180"/>
        <v>0</v>
      </c>
      <c r="CG114" s="286">
        <f t="shared" ca="1" si="181"/>
        <v>0</v>
      </c>
      <c r="CH114" s="15">
        <f t="shared" ca="1" si="182"/>
        <v>0</v>
      </c>
      <c r="CI114" s="288">
        <f t="shared" ca="1" si="183"/>
        <v>0</v>
      </c>
      <c r="CJ114" s="15">
        <f t="shared" ca="1" si="184"/>
        <v>0</v>
      </c>
      <c r="CK114" s="15">
        <f t="shared" ca="1" si="185"/>
        <v>0</v>
      </c>
      <c r="CL114" s="15">
        <f t="shared" ca="1" si="186"/>
        <v>0</v>
      </c>
      <c r="CM114" s="313">
        <f t="shared" ca="1" si="187"/>
        <v>1</v>
      </c>
      <c r="CO114" s="320">
        <f t="shared" ca="1" si="221"/>
        <v>103</v>
      </c>
      <c r="CP114" s="22">
        <f ca="1">COUNTIFS($C$10:$C113,"&lt;"&amp;$C114,$M$10:$M113,$D114&amp;"_"&amp;CP$9)</f>
        <v>0</v>
      </c>
      <c r="CQ114" s="7">
        <f ca="1">COUNTIFS($C$10:$C113,"&lt;"&amp;$C114,$M$10:$M113,$D114&amp;"_"&amp;CQ$9)</f>
        <v>0</v>
      </c>
      <c r="CR114" s="7">
        <f ca="1">COUNTIFS($C$10:$C113,"&lt;"&amp;$C114,$M$10:$M113,$D114&amp;"_"&amp;CR$9)</f>
        <v>0</v>
      </c>
      <c r="CS114" s="17">
        <f ca="1">COUNTIFS($C$10:$C113,"&lt;"&amp;$C114,$M$10:$M113,$D114&amp;"_"&amp;CS$9)</f>
        <v>0</v>
      </c>
      <c r="CT114" s="7">
        <f ca="1">COUNTIFS($C$10:$C113,"&lt;"&amp;$C114,$M$10:$M113,$D114&amp;"_"&amp;CT$9)</f>
        <v>0</v>
      </c>
      <c r="CU114" s="18">
        <f ca="1">COUNTIFS($C$10:$C113,"&lt;"&amp;$C114,$M$10:$M113,$D114&amp;"_"&amp;CU$9)</f>
        <v>0</v>
      </c>
      <c r="CV114" s="7">
        <f ca="1">COUNTIFS($C$10:$C113,"&lt;"&amp;$C114,$M$10:$M113,$D114&amp;"_"&amp;CV$9)</f>
        <v>0</v>
      </c>
      <c r="CW114" s="7">
        <f ca="1">COUNTIFS($C$10:$C113,"&lt;"&amp;$C114,$M$10:$M113,$D114&amp;"_"&amp;CW$9)</f>
        <v>0</v>
      </c>
      <c r="CX114" s="7">
        <f ca="1">COUNTIFS($C$10:$C113,"&lt;"&amp;$C114,$M$10:$M113,$D114&amp;"_"&amp;CX$9)</f>
        <v>0</v>
      </c>
      <c r="CY114" s="221">
        <f ca="1">COUNTIFS($C$10:$C113,"&lt;"&amp;$C114,$M$10:$M113,$D114&amp;"_"&amp;CY$9)</f>
        <v>103</v>
      </c>
      <c r="DA114" s="20"/>
      <c r="DB114" s="308">
        <f ca="1">IF(CP114=0,0,SUMIFS($P$10:$P113, $C$10:$C113,"&lt;"&amp;$C114, $M$10:$M113,$D114&amp;"_"&amp;DB$9)/CP114)</f>
        <v>0</v>
      </c>
      <c r="DC114" s="263">
        <f ca="1">IF(CQ114=0,0,SUMIFS($P$10:$P113, $C$10:$C113,"&lt;"&amp;$C114, $M$10:$M113,$D114&amp;"_"&amp;DC$9)/CQ114)</f>
        <v>0</v>
      </c>
      <c r="DD114" s="263">
        <f ca="1">IF(CR114=0,0,SUMIFS($P$10:$P113, $C$10:$C113,"&lt;"&amp;$C114, $M$10:$M113,$D114&amp;"_"&amp;DD$9)/CR114)</f>
        <v>0</v>
      </c>
      <c r="DE114" s="262">
        <f ca="1">IF(CS114=0,0,SUMIFS($P$10:$P113, $C$10:$C113,"&lt;"&amp;$C114, $M$10:$M113,$D114&amp;"_"&amp;DE$9)/CS114)</f>
        <v>0</v>
      </c>
      <c r="DF114" s="263">
        <f ca="1">IF(CT114=0,0,SUMIFS($P$10:$P113, $C$10:$C113,"&lt;"&amp;$C114, $M$10:$M113,$D114&amp;"_"&amp;DF$9)/CT114)</f>
        <v>0</v>
      </c>
      <c r="DG114" s="310">
        <f ca="1">IF(CU114=0,0,SUMIFS($P$10:$P113, $C$10:$C113,"&lt;"&amp;$C114, $M$10:$M113,$D114&amp;"_"&amp;DG$9)/CU114)</f>
        <v>0</v>
      </c>
      <c r="DH114" s="263">
        <f ca="1">IF(CV114=0,0,SUMIFS($P$10:$P113, $C$10:$C113,"&lt;"&amp;$C114, $M$10:$M113,$D114&amp;"_"&amp;DH$9)/CV114)</f>
        <v>0</v>
      </c>
      <c r="DI114" s="263">
        <f ca="1">IF(CW114=0,0,SUMIFS($P$10:$P113, $C$10:$C113,"&lt;"&amp;$C114, $M$10:$M113,$D114&amp;"_"&amp;DI$9)/CW114)</f>
        <v>0</v>
      </c>
      <c r="DJ114" s="264">
        <f ca="1">IF(CX114=0,0,SUMIFS($P$10:$P113, $C$10:$C113,"&lt;"&amp;$C114, $M$10:$M113,$D114&amp;"_"&amp;DJ$9)/CX114)</f>
        <v>0</v>
      </c>
      <c r="DK114" s="264">
        <f ca="1">IF(CY114=0,0,SUMIFS($P$10:$P113, $C$10:$C113,"&lt;"&amp;$C114, $M$10:$M113,$D114&amp;"_"&amp;DK$9)/CY114)</f>
        <v>-1</v>
      </c>
      <c r="DM114" s="104"/>
      <c r="DN114" s="306">
        <f t="shared" ca="1" si="222"/>
        <v>-9999</v>
      </c>
      <c r="DO114" s="15">
        <f t="shared" ca="1" si="188"/>
        <v>-9999</v>
      </c>
      <c r="DP114" s="15">
        <f t="shared" ca="1" si="189"/>
        <v>-9999</v>
      </c>
      <c r="DQ114" s="15">
        <f t="shared" ca="1" si="190"/>
        <v>-9999</v>
      </c>
      <c r="DR114" s="15">
        <f t="shared" ca="1" si="191"/>
        <v>-9999</v>
      </c>
      <c r="DS114" s="15">
        <f t="shared" ca="1" si="192"/>
        <v>-9999</v>
      </c>
      <c r="DT114" s="15">
        <f t="shared" ca="1" si="193"/>
        <v>-9999</v>
      </c>
      <c r="DU114" s="15">
        <f t="shared" ca="1" si="194"/>
        <v>-9999</v>
      </c>
      <c r="DV114" s="52">
        <f t="shared" ca="1" si="195"/>
        <v>-9999</v>
      </c>
      <c r="DW114" s="313">
        <f t="shared" ca="1" si="196"/>
        <v>-0.90241450418180558</v>
      </c>
      <c r="DX114" s="52"/>
      <c r="DY114" s="402">
        <f t="shared" ca="1" si="223"/>
        <v>9</v>
      </c>
      <c r="ED114" s="19">
        <f t="shared" ca="1" si="241"/>
        <v>-1</v>
      </c>
      <c r="EE114" s="1">
        <f t="shared" ca="1" si="242"/>
        <v>1</v>
      </c>
      <c r="EF114" s="1">
        <f t="shared" ca="1" si="243"/>
        <v>-1</v>
      </c>
      <c r="EG114" s="2">
        <f t="shared" ca="1" si="244"/>
        <v>1</v>
      </c>
      <c r="EH114" s="1">
        <f t="shared" ca="1" si="245"/>
        <v>-1</v>
      </c>
      <c r="EI114" s="3">
        <f t="shared" ca="1" si="246"/>
        <v>1</v>
      </c>
      <c r="EJ114" s="1">
        <f t="shared" ca="1" si="247"/>
        <v>0</v>
      </c>
      <c r="EK114" s="1">
        <f t="shared" ca="1" si="248"/>
        <v>0</v>
      </c>
      <c r="EL114" s="20">
        <f t="shared" ca="1" si="249"/>
        <v>-1</v>
      </c>
      <c r="EN114" s="86">
        <f ca="1">MAX(0, SUMPRODUCT($ED114:$EL114,OFFSET(DNN!$E$9:$M$9,EN$9,0)) + OFFSET(DNN!$D$9,EN$9,0))</f>
        <v>0</v>
      </c>
      <c r="EO114" s="84">
        <f ca="1">MAX(0, SUMPRODUCT($ED114:$EL114,OFFSET(DNN!$E$9:$M$9,EO$9,0)) + OFFSET(DNN!$D$9,EO$9,0))</f>
        <v>7.2346022384755949E-3</v>
      </c>
      <c r="EP114" s="84">
        <f ca="1">MAX(0, SUMPRODUCT($ED114:$EL114,OFFSET(DNN!$E$9:$M$9,EP$9,0)) + OFFSET(DNN!$D$9,EP$9,0))</f>
        <v>3.6951849750035152E-3</v>
      </c>
      <c r="EQ114" s="84">
        <f ca="1">MAX(0, SUMPRODUCT($ED114:$EL114,OFFSET(DNN!$E$9:$M$9,EQ$9,0)) + OFFSET(DNN!$D$9,EQ$9,0))</f>
        <v>0</v>
      </c>
      <c r="ER114" s="85">
        <f ca="1">MAX(0, SUMPRODUCT($ED114:$EL114,OFFSET(DNN!$E$9:$M$9,ER$9,0)) + OFFSET(DNN!$D$9,ER$9,0))</f>
        <v>0</v>
      </c>
      <c r="ET114" s="86">
        <f ca="1">MAX(0, SUMPRODUCT($EN114:$ER114,OFFSET(DNN!$Q$9:$U$9,ET$9,0)) + OFFSET(DNN!$P$9,ET$9,0))</f>
        <v>4.3954959453478351E-4</v>
      </c>
      <c r="EU114" s="84">
        <f ca="1">MAX(0, SUMPRODUCT($EN114:$ER114,OFFSET(DNN!$Q$9:$U$9,EU$9,0)) + OFFSET(DNN!$P$9,EU$9,0))</f>
        <v>0</v>
      </c>
      <c r="EV114" s="84">
        <f ca="1">MAX(0, SUMPRODUCT($EN114:$ER114,OFFSET(DNN!$Q$9:$U$9,EV$9,0)) + OFFSET(DNN!$P$9,EV$9,0))</f>
        <v>1.2810123361902579E-3</v>
      </c>
      <c r="EW114" s="84">
        <f ca="1">MAX(0, SUMPRODUCT($EN114:$ER114,OFFSET(DNN!$Q$9:$U$9,EW$9,0)) + OFFSET(DNN!$P$9,EW$9,0))</f>
        <v>7.8382123007882457E-4</v>
      </c>
      <c r="EX114" s="85">
        <f ca="1">MAX(0, SUMPRODUCT($EN114:$ER114,OFFSET(DNN!$Q$9:$U$9,EX$9,0)) + OFFSET(DNN!$P$9,EX$9,0))</f>
        <v>0</v>
      </c>
      <c r="EZ114" s="111">
        <f ca="1">SUMPRODUCT($ET114:$EX114,OFFSET(DNN!$Y$9:$AC$9,EZ$9,0)) + OFFSET(DNN!$X$9,EZ$9,0)</f>
        <v>0.43031618918982212</v>
      </c>
      <c r="FA114" s="97">
        <f ca="1">SUMPRODUCT($ET114:$EX114,OFFSET(DNN!$Y$9:$AC$9,FA$9,0)) + OFFSET(DNN!$X$9,FA$9,0)</f>
        <v>-1.2643439935754107E-5</v>
      </c>
      <c r="FB114" s="97">
        <f ca="1">SUMPRODUCT($ET114:$EX114,OFFSET(DNN!$Y$9:$AC$9,FB$9,0)) + OFFSET(DNN!$X$9,FB$9,0)</f>
        <v>1.5239793458415756E-2</v>
      </c>
      <c r="FC114" s="97">
        <f ca="1">SUMPRODUCT($ET114:$EX114,OFFSET(DNN!$Y$9:$AC$9,FC$9,0)) + OFFSET(DNN!$X$9,FC$9,0)</f>
        <v>-8.8749521084055777E-4</v>
      </c>
      <c r="FD114" s="97">
        <f ca="1">SUMPRODUCT($ET114:$EX114,OFFSET(DNN!$Y$9:$AC$9,FD$9,0)) + OFFSET(DNN!$X$9,FD$9,0)</f>
        <v>-4.235816470721872E-4</v>
      </c>
      <c r="FE114" s="97">
        <f ca="1">SUMPRODUCT($ET114:$EX114,OFFSET(DNN!$Y$9:$AC$9,FE$9,0)) + OFFSET(DNN!$X$9,FE$9,0)</f>
        <v>-1.574182761064886E-5</v>
      </c>
      <c r="FF114" s="97">
        <f ca="1">SUMPRODUCT($ET114:$EX114,OFFSET(DNN!$Y$9:$AC$9,FF$9,0)) + OFFSET(DNN!$X$9,FF$9,0)</f>
        <v>-1.3491460223194656E-3</v>
      </c>
      <c r="FG114" s="97">
        <f ca="1">SUMPRODUCT($ET114:$EX114,OFFSET(DNN!$Y$9:$AC$9,FG$9,0)) + OFFSET(DNN!$X$9,FG$9,0)</f>
        <v>-6.2604808096248285E-2</v>
      </c>
      <c r="FH114" s="97">
        <f ca="1">SUMPRODUCT($ET114:$EX114,OFFSET(DNN!$Y$9:$AC$9,FH$9,0)) + OFFSET(DNN!$X$9,FH$9,0)</f>
        <v>8.6810016937029894E-4</v>
      </c>
      <c r="FI114" s="108">
        <f ca="1">SUMPRODUCT($ET114:$EX114,OFFSET(DNN!$Y$9:$AC$9,FI$9,0)) + OFFSET(DNN!$X$9,FI$9,0)</f>
        <v>-1.3182687612562751</v>
      </c>
      <c r="FJ114" s="98">
        <f ca="1">SUMPRODUCT($ET114:$EX114,OFFSET(DNN!$Y$9:$AC$9,FJ$9,0)) + OFFSET(DNN!$X$9,FJ$9,0)</f>
        <v>-2.2535161745939301E-5</v>
      </c>
      <c r="FL114" s="415">
        <f t="shared" ca="1" si="224"/>
        <v>0.43031618918982212</v>
      </c>
      <c r="FM114" s="130">
        <f t="shared" ca="1" si="225"/>
        <v>1</v>
      </c>
      <c r="FN114" s="131">
        <f t="shared" ca="1" si="226"/>
        <v>0.65029522127322903</v>
      </c>
      <c r="FO114" s="131">
        <f t="shared" ca="1" si="227"/>
        <v>0.66028983545318687</v>
      </c>
      <c r="FP114" s="131">
        <f t="shared" ca="1" si="228"/>
        <v>0.64972655813153501</v>
      </c>
      <c r="FQ114" s="131">
        <f t="shared" ca="1" si="229"/>
        <v>0.65002804502111444</v>
      </c>
      <c r="FR114" s="131">
        <f t="shared" ca="1" si="230"/>
        <v>0.65029320640965171</v>
      </c>
      <c r="FS114" s="131">
        <f t="shared" ca="1" si="231"/>
        <v>0.64942668056342145</v>
      </c>
      <c r="FT114" s="131">
        <f t="shared" ca="1" si="232"/>
        <v>0.61083952513994022</v>
      </c>
      <c r="FU114" s="132">
        <f t="shared" ca="1" si="233"/>
        <v>0.6508682169276182</v>
      </c>
      <c r="FV114" s="131">
        <f t="shared" ca="1" si="234"/>
        <v>0.17402001625314881</v>
      </c>
      <c r="FW114" s="83">
        <f t="shared" ca="1" si="235"/>
        <v>-2.2535161742124597E-5</v>
      </c>
    </row>
    <row r="115" spans="1:179">
      <c r="A115" s="19">
        <f t="shared" si="240"/>
        <v>105</v>
      </c>
      <c r="B115" s="1">
        <f t="shared" ca="1" si="236"/>
        <v>0</v>
      </c>
      <c r="C115" s="20">
        <f t="shared" ca="1" si="237"/>
        <v>105</v>
      </c>
      <c r="D115" s="19" t="str">
        <f t="shared" ca="1" si="238"/>
        <v>〇×〇×〇×--〇</v>
      </c>
      <c r="E115" s="7">
        <f t="shared" ca="1" si="206"/>
        <v>9</v>
      </c>
      <c r="F115" s="7">
        <f t="shared" ca="1" si="207"/>
        <v>1</v>
      </c>
      <c r="G115" s="1" t="str">
        <f t="shared" ca="1" si="139"/>
        <v>〇×〇×〇×--〇</v>
      </c>
      <c r="H115" s="20" t="b">
        <f t="shared" ca="1" si="140"/>
        <v>1</v>
      </c>
      <c r="I115" s="22">
        <f t="shared" ca="1" si="239"/>
        <v>-1</v>
      </c>
      <c r="J115" s="1" t="b">
        <f ca="1">(1&lt;COUNTIF(D$10:D115,D115))</f>
        <v>1</v>
      </c>
      <c r="K115" s="1" t="b">
        <f t="shared" ca="1" si="141"/>
        <v>1</v>
      </c>
      <c r="L115" s="7">
        <f ca="1">MATCH(TRUE,K115:K$1048576,FALSE)-1</f>
        <v>0</v>
      </c>
      <c r="M115" s="24" t="str">
        <f t="shared" ca="1" si="142"/>
        <v>〇×〇×〇×--〇_9</v>
      </c>
      <c r="N115" s="25">
        <f t="shared" ca="1" si="208"/>
        <v>-2.2535161742124597E-5</v>
      </c>
      <c r="O115" s="26">
        <f t="shared" ca="1" si="209"/>
        <v>-1</v>
      </c>
      <c r="P115" s="27">
        <f t="shared" ca="1" si="210"/>
        <v>-1</v>
      </c>
      <c r="R115" s="41" t="str">
        <f ca="1">VLOOKUP(S115,cvt!$B$2:$C$4,2,FALSE)&amp;VLOOKUP(T115,cvt!$B$2:$C$4,2,FALSE)&amp;VLOOKUP(U115,cvt!$B$2:$C$4,2,FALSE)
&amp;VLOOKUP(V115,cvt!$B$2:$C$4,2,FALSE)&amp;VLOOKUP(W115,cvt!$B$2:$C$4,2,FALSE)&amp;VLOOKUP(X115,cvt!$B$2:$C$4,2,FALSE)
&amp;VLOOKUP(Y115,cvt!$B$2:$C$4,2,FALSE)&amp;VLOOKUP(Z115,cvt!$B$2:$C$4,2,FALSE)&amp;VLOOKUP(AA115,cvt!$B$2:$C$4,2,FALSE)</f>
        <v>〇×〇×〇×--〇</v>
      </c>
      <c r="S115" s="7">
        <f ca="1">VLOOKUP(MID($D115,S$9+1,1), cvt!$A$2:$B$4,2, FALSE)</f>
        <v>1</v>
      </c>
      <c r="T115" s="7">
        <f ca="1">VLOOKUP(MID($D115,T$9+1,1), cvt!$A$2:$B$4,2, FALSE)</f>
        <v>-1</v>
      </c>
      <c r="U115" s="7">
        <f ca="1">VLOOKUP(MID($D115,U$9+1,1), cvt!$A$2:$B$4,2, FALSE)</f>
        <v>1</v>
      </c>
      <c r="V115" s="17">
        <f ca="1">VLOOKUP(MID($D115,V$9+1,1), cvt!$A$2:$B$4,2, FALSE)</f>
        <v>-1</v>
      </c>
      <c r="W115" s="7">
        <f ca="1">VLOOKUP(MID($D115,W$9+1,1), cvt!$A$2:$B$4,2, FALSE)</f>
        <v>1</v>
      </c>
      <c r="X115" s="18">
        <f ca="1">VLOOKUP(MID($D115,X$9+1,1), cvt!$A$2:$B$4,2, FALSE)</f>
        <v>-1</v>
      </c>
      <c r="Y115" s="7">
        <f ca="1">VLOOKUP(MID($D115,Y$9+1,1), cvt!$A$2:$B$4,2, FALSE)</f>
        <v>0</v>
      </c>
      <c r="Z115" s="7">
        <f ca="1">VLOOKUP(MID($D115,Z$9+1,1), cvt!$A$2:$B$4,2, FALSE)</f>
        <v>0</v>
      </c>
      <c r="AA115" s="42">
        <f ca="1">VLOOKUP(MID($D115,AA$9+1,1), cvt!$A$2:$B$4,2, FALSE)</f>
        <v>1</v>
      </c>
      <c r="AB115" s="7">
        <f t="shared" ca="1" si="211"/>
        <v>1</v>
      </c>
      <c r="AC115" s="50" t="b">
        <f t="shared" ca="1" si="212"/>
        <v>1</v>
      </c>
      <c r="AE115" s="19" t="str">
        <f ca="1">VLOOKUP(AF115,cvt!$B$2:$C$4,2,FALSE)&amp;VLOOKUP(AG115,cvt!$B$2:$C$4,2,FALSE)&amp;VLOOKUP(AH115,cvt!$B$2:$C$4,2,FALSE)
&amp;VLOOKUP(AI115,cvt!$B$2:$C$4,2,FALSE)&amp;VLOOKUP(AJ115,cvt!$B$2:$C$4,2,FALSE)&amp;VLOOKUP(AK115,cvt!$B$2:$C$4,2,FALSE)
&amp;VLOOKUP(AL115,cvt!$B$2:$C$4,2,FALSE)&amp;VLOOKUP(AM115,cvt!$B$2:$C$4,2,FALSE)&amp;VLOOKUP(AN115,cvt!$B$2:$C$4,2,FALSE)</f>
        <v>〇×〇×〇×--〇</v>
      </c>
      <c r="AF115" s="17">
        <f t="shared" ca="1" si="143"/>
        <v>1</v>
      </c>
      <c r="AG115" s="7">
        <f t="shared" ca="1" si="144"/>
        <v>-1</v>
      </c>
      <c r="AH115" s="7">
        <f t="shared" ca="1" si="145"/>
        <v>1</v>
      </c>
      <c r="AI115" s="17">
        <f t="shared" ca="1" si="146"/>
        <v>-1</v>
      </c>
      <c r="AJ115" s="7">
        <f t="shared" ca="1" si="147"/>
        <v>1</v>
      </c>
      <c r="AK115" s="18">
        <f t="shared" ca="1" si="148"/>
        <v>-1</v>
      </c>
      <c r="AL115" s="7">
        <f t="shared" ca="1" si="149"/>
        <v>0</v>
      </c>
      <c r="AM115" s="7">
        <f t="shared" ca="1" si="150"/>
        <v>0</v>
      </c>
      <c r="AN115" s="18">
        <f t="shared" ca="1" si="151"/>
        <v>1</v>
      </c>
      <c r="AO115" s="7">
        <f t="shared" ca="1" si="213"/>
        <v>1</v>
      </c>
      <c r="AP115" s="50" t="b">
        <f t="shared" ca="1" si="152"/>
        <v>1</v>
      </c>
      <c r="AS115" s="22">
        <f t="shared" ca="1" si="214"/>
        <v>0</v>
      </c>
      <c r="AT115" s="7">
        <f t="shared" ca="1" si="153"/>
        <v>0</v>
      </c>
      <c r="AU115" s="7">
        <f t="shared" ca="1" si="154"/>
        <v>0</v>
      </c>
      <c r="AV115" s="7">
        <f t="shared" ca="1" si="155"/>
        <v>0</v>
      </c>
      <c r="AW115" s="7">
        <f t="shared" ca="1" si="156"/>
        <v>0</v>
      </c>
      <c r="AX115" s="7">
        <f t="shared" ca="1" si="157"/>
        <v>0</v>
      </c>
      <c r="AY115" s="7">
        <f t="shared" ca="1" si="158"/>
        <v>0</v>
      </c>
      <c r="AZ115" s="7">
        <f t="shared" ca="1" si="159"/>
        <v>0</v>
      </c>
      <c r="BA115" s="18">
        <f t="shared" ca="1" si="160"/>
        <v>0</v>
      </c>
      <c r="BB115" s="295">
        <f t="shared" ca="1" si="215"/>
        <v>1</v>
      </c>
      <c r="BD115" s="132"/>
      <c r="BE115" s="297">
        <f t="shared" ca="1" si="216"/>
        <v>1</v>
      </c>
      <c r="BF115" s="298">
        <f t="shared" ca="1" si="161"/>
        <v>0.65029522127322903</v>
      </c>
      <c r="BG115" s="298">
        <f t="shared" ca="1" si="162"/>
        <v>0.66028983545318687</v>
      </c>
      <c r="BH115" s="318">
        <f t="shared" ca="1" si="163"/>
        <v>0.64972655813153501</v>
      </c>
      <c r="BI115" s="298">
        <f t="shared" ca="1" si="164"/>
        <v>0.65002804502111444</v>
      </c>
      <c r="BJ115" s="299">
        <f t="shared" ca="1" si="165"/>
        <v>0.65029320640965171</v>
      </c>
      <c r="BK115" s="298">
        <f t="shared" ca="1" si="166"/>
        <v>0.64942668056342145</v>
      </c>
      <c r="BL115" s="298">
        <f t="shared" ca="1" si="167"/>
        <v>0.61083952513994022</v>
      </c>
      <c r="BM115" s="299">
        <f t="shared" ca="1" si="168"/>
        <v>0.6508682169276182</v>
      </c>
      <c r="BN115" s="295">
        <f t="shared" ca="1" si="169"/>
        <v>0.17402001625314881</v>
      </c>
      <c r="BO115" s="248">
        <f t="shared" ca="1" si="217"/>
        <v>-2.2535161742124597E-5</v>
      </c>
      <c r="BQ115" s="304">
        <f t="shared" ca="1" si="218"/>
        <v>0.42412001625314877</v>
      </c>
      <c r="BR115" s="297">
        <f t="shared" ca="1" si="219"/>
        <v>0</v>
      </c>
      <c r="BS115" s="298">
        <f t="shared" ca="1" si="170"/>
        <v>0</v>
      </c>
      <c r="BT115" s="298">
        <f t="shared" ca="1" si="171"/>
        <v>0</v>
      </c>
      <c r="BU115" s="318">
        <f t="shared" ca="1" si="172"/>
        <v>0</v>
      </c>
      <c r="BV115" s="298">
        <f t="shared" ca="1" si="173"/>
        <v>0</v>
      </c>
      <c r="BW115" s="299">
        <f t="shared" ca="1" si="174"/>
        <v>0</v>
      </c>
      <c r="BX115" s="298">
        <f t="shared" ca="1" si="175"/>
        <v>0</v>
      </c>
      <c r="BY115" s="298">
        <f t="shared" ca="1" si="176"/>
        <v>0</v>
      </c>
      <c r="BZ115" s="298">
        <f t="shared" ca="1" si="177"/>
        <v>0</v>
      </c>
      <c r="CA115" s="315">
        <f t="shared" ca="1" si="178"/>
        <v>0.42412001625314877</v>
      </c>
      <c r="CC115" s="52"/>
      <c r="CD115" s="306">
        <f t="shared" ca="1" si="220"/>
        <v>0</v>
      </c>
      <c r="CE115" s="15">
        <f t="shared" ca="1" si="179"/>
        <v>0</v>
      </c>
      <c r="CF115" s="15">
        <f t="shared" ca="1" si="180"/>
        <v>0</v>
      </c>
      <c r="CG115" s="286">
        <f t="shared" ca="1" si="181"/>
        <v>0</v>
      </c>
      <c r="CH115" s="15">
        <f t="shared" ca="1" si="182"/>
        <v>0</v>
      </c>
      <c r="CI115" s="288">
        <f t="shared" ca="1" si="183"/>
        <v>0</v>
      </c>
      <c r="CJ115" s="15">
        <f t="shared" ca="1" si="184"/>
        <v>0</v>
      </c>
      <c r="CK115" s="15">
        <f t="shared" ca="1" si="185"/>
        <v>0</v>
      </c>
      <c r="CL115" s="15">
        <f t="shared" ca="1" si="186"/>
        <v>0</v>
      </c>
      <c r="CM115" s="313">
        <f t="shared" ca="1" si="187"/>
        <v>1</v>
      </c>
      <c r="CO115" s="320">
        <f t="shared" ca="1" si="221"/>
        <v>104</v>
      </c>
      <c r="CP115" s="22">
        <f ca="1">COUNTIFS($C$10:$C114,"&lt;"&amp;$C115,$M$10:$M114,$D115&amp;"_"&amp;CP$9)</f>
        <v>0</v>
      </c>
      <c r="CQ115" s="7">
        <f ca="1">COUNTIFS($C$10:$C114,"&lt;"&amp;$C115,$M$10:$M114,$D115&amp;"_"&amp;CQ$9)</f>
        <v>0</v>
      </c>
      <c r="CR115" s="7">
        <f ca="1">COUNTIFS($C$10:$C114,"&lt;"&amp;$C115,$M$10:$M114,$D115&amp;"_"&amp;CR$9)</f>
        <v>0</v>
      </c>
      <c r="CS115" s="17">
        <f ca="1">COUNTIFS($C$10:$C114,"&lt;"&amp;$C115,$M$10:$M114,$D115&amp;"_"&amp;CS$9)</f>
        <v>0</v>
      </c>
      <c r="CT115" s="7">
        <f ca="1">COUNTIFS($C$10:$C114,"&lt;"&amp;$C115,$M$10:$M114,$D115&amp;"_"&amp;CT$9)</f>
        <v>0</v>
      </c>
      <c r="CU115" s="18">
        <f ca="1">COUNTIFS($C$10:$C114,"&lt;"&amp;$C115,$M$10:$M114,$D115&amp;"_"&amp;CU$9)</f>
        <v>0</v>
      </c>
      <c r="CV115" s="7">
        <f ca="1">COUNTIFS($C$10:$C114,"&lt;"&amp;$C115,$M$10:$M114,$D115&amp;"_"&amp;CV$9)</f>
        <v>0</v>
      </c>
      <c r="CW115" s="7">
        <f ca="1">COUNTIFS($C$10:$C114,"&lt;"&amp;$C115,$M$10:$M114,$D115&amp;"_"&amp;CW$9)</f>
        <v>0</v>
      </c>
      <c r="CX115" s="7">
        <f ca="1">COUNTIFS($C$10:$C114,"&lt;"&amp;$C115,$M$10:$M114,$D115&amp;"_"&amp;CX$9)</f>
        <v>0</v>
      </c>
      <c r="CY115" s="221">
        <f ca="1">COUNTIFS($C$10:$C114,"&lt;"&amp;$C115,$M$10:$M114,$D115&amp;"_"&amp;CY$9)</f>
        <v>104</v>
      </c>
      <c r="DA115" s="20"/>
      <c r="DB115" s="308">
        <f ca="1">IF(CP115=0,0,SUMIFS($P$10:$P114, $C$10:$C114,"&lt;"&amp;$C115, $M$10:$M114,$D115&amp;"_"&amp;DB$9)/CP115)</f>
        <v>0</v>
      </c>
      <c r="DC115" s="263">
        <f ca="1">IF(CQ115=0,0,SUMIFS($P$10:$P114, $C$10:$C114,"&lt;"&amp;$C115, $M$10:$M114,$D115&amp;"_"&amp;DC$9)/CQ115)</f>
        <v>0</v>
      </c>
      <c r="DD115" s="263">
        <f ca="1">IF(CR115=0,0,SUMIFS($P$10:$P114, $C$10:$C114,"&lt;"&amp;$C115, $M$10:$M114,$D115&amp;"_"&amp;DD$9)/CR115)</f>
        <v>0</v>
      </c>
      <c r="DE115" s="262">
        <f ca="1">IF(CS115=0,0,SUMIFS($P$10:$P114, $C$10:$C114,"&lt;"&amp;$C115, $M$10:$M114,$D115&amp;"_"&amp;DE$9)/CS115)</f>
        <v>0</v>
      </c>
      <c r="DF115" s="263">
        <f ca="1">IF(CT115=0,0,SUMIFS($P$10:$P114, $C$10:$C114,"&lt;"&amp;$C115, $M$10:$M114,$D115&amp;"_"&amp;DF$9)/CT115)</f>
        <v>0</v>
      </c>
      <c r="DG115" s="310">
        <f ca="1">IF(CU115=0,0,SUMIFS($P$10:$P114, $C$10:$C114,"&lt;"&amp;$C115, $M$10:$M114,$D115&amp;"_"&amp;DG$9)/CU115)</f>
        <v>0</v>
      </c>
      <c r="DH115" s="263">
        <f ca="1">IF(CV115=0,0,SUMIFS($P$10:$P114, $C$10:$C114,"&lt;"&amp;$C115, $M$10:$M114,$D115&amp;"_"&amp;DH$9)/CV115)</f>
        <v>0</v>
      </c>
      <c r="DI115" s="263">
        <f ca="1">IF(CW115=0,0,SUMIFS($P$10:$P114, $C$10:$C114,"&lt;"&amp;$C115, $M$10:$M114,$D115&amp;"_"&amp;DI$9)/CW115)</f>
        <v>0</v>
      </c>
      <c r="DJ115" s="264">
        <f ca="1">IF(CX115=0,0,SUMIFS($P$10:$P114, $C$10:$C114,"&lt;"&amp;$C115, $M$10:$M114,$D115&amp;"_"&amp;DJ$9)/CX115)</f>
        <v>0</v>
      </c>
      <c r="DK115" s="264">
        <f ca="1">IF(CY115=0,0,SUMIFS($P$10:$P114, $C$10:$C114,"&lt;"&amp;$C115, $M$10:$M114,$D115&amp;"_"&amp;DK$9)/CY115)</f>
        <v>-1</v>
      </c>
      <c r="DM115" s="104"/>
      <c r="DN115" s="306">
        <f t="shared" ca="1" si="222"/>
        <v>-9999</v>
      </c>
      <c r="DO115" s="15">
        <f t="shared" ca="1" si="188"/>
        <v>-9999</v>
      </c>
      <c r="DP115" s="15">
        <f t="shared" ca="1" si="189"/>
        <v>-9999</v>
      </c>
      <c r="DQ115" s="15">
        <f t="shared" ca="1" si="190"/>
        <v>-9999</v>
      </c>
      <c r="DR115" s="15">
        <f t="shared" ca="1" si="191"/>
        <v>-9999</v>
      </c>
      <c r="DS115" s="15">
        <f t="shared" ca="1" si="192"/>
        <v>-9999</v>
      </c>
      <c r="DT115" s="15">
        <f t="shared" ca="1" si="193"/>
        <v>-9999</v>
      </c>
      <c r="DU115" s="15">
        <f t="shared" ca="1" si="194"/>
        <v>-9999</v>
      </c>
      <c r="DV115" s="52">
        <f t="shared" ca="1" si="195"/>
        <v>-9999</v>
      </c>
      <c r="DW115" s="313">
        <f t="shared" ca="1" si="196"/>
        <v>-0.90287581878870893</v>
      </c>
      <c r="DX115" s="52"/>
      <c r="DY115" s="402">
        <f t="shared" ca="1" si="223"/>
        <v>9</v>
      </c>
      <c r="ED115" s="19">
        <f t="shared" ca="1" si="241"/>
        <v>-1</v>
      </c>
      <c r="EE115" s="1">
        <f t="shared" ca="1" si="242"/>
        <v>1</v>
      </c>
      <c r="EF115" s="1">
        <f t="shared" ca="1" si="243"/>
        <v>-1</v>
      </c>
      <c r="EG115" s="2">
        <f t="shared" ca="1" si="244"/>
        <v>1</v>
      </c>
      <c r="EH115" s="1">
        <f t="shared" ca="1" si="245"/>
        <v>-1</v>
      </c>
      <c r="EI115" s="3">
        <f t="shared" ca="1" si="246"/>
        <v>1</v>
      </c>
      <c r="EJ115" s="1">
        <f t="shared" ca="1" si="247"/>
        <v>0</v>
      </c>
      <c r="EK115" s="1">
        <f t="shared" ca="1" si="248"/>
        <v>0</v>
      </c>
      <c r="EL115" s="20">
        <f t="shared" ca="1" si="249"/>
        <v>-1</v>
      </c>
      <c r="EN115" s="86">
        <f ca="1">MAX(0, SUMPRODUCT($ED115:$EL115,OFFSET(DNN!$E$9:$M$9,EN$9,0)) + OFFSET(DNN!$D$9,EN$9,0))</f>
        <v>0</v>
      </c>
      <c r="EO115" s="84">
        <f ca="1">MAX(0, SUMPRODUCT($ED115:$EL115,OFFSET(DNN!$E$9:$M$9,EO$9,0)) + OFFSET(DNN!$D$9,EO$9,0))</f>
        <v>7.2346022384755949E-3</v>
      </c>
      <c r="EP115" s="84">
        <f ca="1">MAX(0, SUMPRODUCT($ED115:$EL115,OFFSET(DNN!$E$9:$M$9,EP$9,0)) + OFFSET(DNN!$D$9,EP$9,0))</f>
        <v>3.6951849750035152E-3</v>
      </c>
      <c r="EQ115" s="84">
        <f ca="1">MAX(0, SUMPRODUCT($ED115:$EL115,OFFSET(DNN!$E$9:$M$9,EQ$9,0)) + OFFSET(DNN!$D$9,EQ$9,0))</f>
        <v>0</v>
      </c>
      <c r="ER115" s="85">
        <f ca="1">MAX(0, SUMPRODUCT($ED115:$EL115,OFFSET(DNN!$E$9:$M$9,ER$9,0)) + OFFSET(DNN!$D$9,ER$9,0))</f>
        <v>0</v>
      </c>
      <c r="ET115" s="86">
        <f ca="1">MAX(0, SUMPRODUCT($EN115:$ER115,OFFSET(DNN!$Q$9:$U$9,ET$9,0)) + OFFSET(DNN!$P$9,ET$9,0))</f>
        <v>4.3954959453478351E-4</v>
      </c>
      <c r="EU115" s="84">
        <f ca="1">MAX(0, SUMPRODUCT($EN115:$ER115,OFFSET(DNN!$Q$9:$U$9,EU$9,0)) + OFFSET(DNN!$P$9,EU$9,0))</f>
        <v>0</v>
      </c>
      <c r="EV115" s="84">
        <f ca="1">MAX(0, SUMPRODUCT($EN115:$ER115,OFFSET(DNN!$Q$9:$U$9,EV$9,0)) + OFFSET(DNN!$P$9,EV$9,0))</f>
        <v>1.2810123361902579E-3</v>
      </c>
      <c r="EW115" s="84">
        <f ca="1">MAX(0, SUMPRODUCT($EN115:$ER115,OFFSET(DNN!$Q$9:$U$9,EW$9,0)) + OFFSET(DNN!$P$9,EW$9,0))</f>
        <v>7.8382123007882457E-4</v>
      </c>
      <c r="EX115" s="85">
        <f ca="1">MAX(0, SUMPRODUCT($EN115:$ER115,OFFSET(DNN!$Q$9:$U$9,EX$9,0)) + OFFSET(DNN!$P$9,EX$9,0))</f>
        <v>0</v>
      </c>
      <c r="EZ115" s="111">
        <f ca="1">SUMPRODUCT($ET115:$EX115,OFFSET(DNN!$Y$9:$AC$9,EZ$9,0)) + OFFSET(DNN!$X$9,EZ$9,0)</f>
        <v>0.43031618918982212</v>
      </c>
      <c r="FA115" s="97">
        <f ca="1">SUMPRODUCT($ET115:$EX115,OFFSET(DNN!$Y$9:$AC$9,FA$9,0)) + OFFSET(DNN!$X$9,FA$9,0)</f>
        <v>-1.2643439935754107E-5</v>
      </c>
      <c r="FB115" s="97">
        <f ca="1">SUMPRODUCT($ET115:$EX115,OFFSET(DNN!$Y$9:$AC$9,FB$9,0)) + OFFSET(DNN!$X$9,FB$9,0)</f>
        <v>1.5239793458415756E-2</v>
      </c>
      <c r="FC115" s="97">
        <f ca="1">SUMPRODUCT($ET115:$EX115,OFFSET(DNN!$Y$9:$AC$9,FC$9,0)) + OFFSET(DNN!$X$9,FC$9,0)</f>
        <v>-8.8749521084055777E-4</v>
      </c>
      <c r="FD115" s="97">
        <f ca="1">SUMPRODUCT($ET115:$EX115,OFFSET(DNN!$Y$9:$AC$9,FD$9,0)) + OFFSET(DNN!$X$9,FD$9,0)</f>
        <v>-4.235816470721872E-4</v>
      </c>
      <c r="FE115" s="97">
        <f ca="1">SUMPRODUCT($ET115:$EX115,OFFSET(DNN!$Y$9:$AC$9,FE$9,0)) + OFFSET(DNN!$X$9,FE$9,0)</f>
        <v>-1.574182761064886E-5</v>
      </c>
      <c r="FF115" s="97">
        <f ca="1">SUMPRODUCT($ET115:$EX115,OFFSET(DNN!$Y$9:$AC$9,FF$9,0)) + OFFSET(DNN!$X$9,FF$9,0)</f>
        <v>-1.3491460223194656E-3</v>
      </c>
      <c r="FG115" s="97">
        <f ca="1">SUMPRODUCT($ET115:$EX115,OFFSET(DNN!$Y$9:$AC$9,FG$9,0)) + OFFSET(DNN!$X$9,FG$9,0)</f>
        <v>-6.2604808096248285E-2</v>
      </c>
      <c r="FH115" s="97">
        <f ca="1">SUMPRODUCT($ET115:$EX115,OFFSET(DNN!$Y$9:$AC$9,FH$9,0)) + OFFSET(DNN!$X$9,FH$9,0)</f>
        <v>8.6810016937029894E-4</v>
      </c>
      <c r="FI115" s="108">
        <f ca="1">SUMPRODUCT($ET115:$EX115,OFFSET(DNN!$Y$9:$AC$9,FI$9,0)) + OFFSET(DNN!$X$9,FI$9,0)</f>
        <v>-1.3182687612562751</v>
      </c>
      <c r="FJ115" s="98">
        <f ca="1">SUMPRODUCT($ET115:$EX115,OFFSET(DNN!$Y$9:$AC$9,FJ$9,0)) + OFFSET(DNN!$X$9,FJ$9,0)</f>
        <v>-2.2535161745939301E-5</v>
      </c>
      <c r="FL115" s="415">
        <f t="shared" ca="1" si="224"/>
        <v>0.43031618918982212</v>
      </c>
      <c r="FM115" s="130">
        <f t="shared" ca="1" si="225"/>
        <v>1</v>
      </c>
      <c r="FN115" s="131">
        <f t="shared" ca="1" si="226"/>
        <v>0.65029522127322903</v>
      </c>
      <c r="FO115" s="131">
        <f t="shared" ca="1" si="227"/>
        <v>0.66028983545318687</v>
      </c>
      <c r="FP115" s="131">
        <f t="shared" ca="1" si="228"/>
        <v>0.64972655813153501</v>
      </c>
      <c r="FQ115" s="131">
        <f t="shared" ca="1" si="229"/>
        <v>0.65002804502111444</v>
      </c>
      <c r="FR115" s="131">
        <f t="shared" ca="1" si="230"/>
        <v>0.65029320640965171</v>
      </c>
      <c r="FS115" s="131">
        <f t="shared" ca="1" si="231"/>
        <v>0.64942668056342145</v>
      </c>
      <c r="FT115" s="131">
        <f t="shared" ca="1" si="232"/>
        <v>0.61083952513994022</v>
      </c>
      <c r="FU115" s="132">
        <f t="shared" ca="1" si="233"/>
        <v>0.6508682169276182</v>
      </c>
      <c r="FV115" s="131">
        <f t="shared" ca="1" si="234"/>
        <v>0.17402001625314881</v>
      </c>
      <c r="FW115" s="83">
        <f t="shared" ca="1" si="235"/>
        <v>-2.2535161742124597E-5</v>
      </c>
    </row>
    <row r="116" spans="1:179">
      <c r="A116" s="19">
        <f t="shared" si="240"/>
        <v>106</v>
      </c>
      <c r="B116" s="1">
        <f t="shared" ca="1" si="236"/>
        <v>0</v>
      </c>
      <c r="C116" s="20">
        <f t="shared" ca="1" si="237"/>
        <v>106</v>
      </c>
      <c r="D116" s="19" t="str">
        <f t="shared" ca="1" si="238"/>
        <v>〇×〇×〇×--〇</v>
      </c>
      <c r="E116" s="7">
        <f t="shared" ca="1" si="206"/>
        <v>9</v>
      </c>
      <c r="F116" s="7">
        <f t="shared" ca="1" si="207"/>
        <v>1</v>
      </c>
      <c r="G116" s="1" t="str">
        <f t="shared" ca="1" si="139"/>
        <v>〇×〇×〇×--〇</v>
      </c>
      <c r="H116" s="20" t="b">
        <f t="shared" ca="1" si="140"/>
        <v>1</v>
      </c>
      <c r="I116" s="22">
        <f t="shared" ca="1" si="239"/>
        <v>-1</v>
      </c>
      <c r="J116" s="1" t="b">
        <f ca="1">(1&lt;COUNTIF(D$10:D116,D116))</f>
        <v>1</v>
      </c>
      <c r="K116" s="1" t="b">
        <f t="shared" ca="1" si="141"/>
        <v>1</v>
      </c>
      <c r="L116" s="7">
        <f ca="1">MATCH(TRUE,K116:K$1048576,FALSE)-1</f>
        <v>0</v>
      </c>
      <c r="M116" s="24" t="str">
        <f t="shared" ca="1" si="142"/>
        <v>〇×〇×〇×--〇_9</v>
      </c>
      <c r="N116" s="25">
        <f t="shared" ca="1" si="208"/>
        <v>-2.2535161742124597E-5</v>
      </c>
      <c r="O116" s="26">
        <f t="shared" ca="1" si="209"/>
        <v>-1</v>
      </c>
      <c r="P116" s="27">
        <f t="shared" ca="1" si="210"/>
        <v>-1</v>
      </c>
      <c r="R116" s="41" t="str">
        <f ca="1">VLOOKUP(S116,cvt!$B$2:$C$4,2,FALSE)&amp;VLOOKUP(T116,cvt!$B$2:$C$4,2,FALSE)&amp;VLOOKUP(U116,cvt!$B$2:$C$4,2,FALSE)
&amp;VLOOKUP(V116,cvt!$B$2:$C$4,2,FALSE)&amp;VLOOKUP(W116,cvt!$B$2:$C$4,2,FALSE)&amp;VLOOKUP(X116,cvt!$B$2:$C$4,2,FALSE)
&amp;VLOOKUP(Y116,cvt!$B$2:$C$4,2,FALSE)&amp;VLOOKUP(Z116,cvt!$B$2:$C$4,2,FALSE)&amp;VLOOKUP(AA116,cvt!$B$2:$C$4,2,FALSE)</f>
        <v>〇×〇×〇×--〇</v>
      </c>
      <c r="S116" s="7">
        <f ca="1">VLOOKUP(MID($D116,S$9+1,1), cvt!$A$2:$B$4,2, FALSE)</f>
        <v>1</v>
      </c>
      <c r="T116" s="7">
        <f ca="1">VLOOKUP(MID($D116,T$9+1,1), cvt!$A$2:$B$4,2, FALSE)</f>
        <v>-1</v>
      </c>
      <c r="U116" s="7">
        <f ca="1">VLOOKUP(MID($D116,U$9+1,1), cvt!$A$2:$B$4,2, FALSE)</f>
        <v>1</v>
      </c>
      <c r="V116" s="17">
        <f ca="1">VLOOKUP(MID($D116,V$9+1,1), cvt!$A$2:$B$4,2, FALSE)</f>
        <v>-1</v>
      </c>
      <c r="W116" s="7">
        <f ca="1">VLOOKUP(MID($D116,W$9+1,1), cvt!$A$2:$B$4,2, FALSE)</f>
        <v>1</v>
      </c>
      <c r="X116" s="18">
        <f ca="1">VLOOKUP(MID($D116,X$9+1,1), cvt!$A$2:$B$4,2, FALSE)</f>
        <v>-1</v>
      </c>
      <c r="Y116" s="7">
        <f ca="1">VLOOKUP(MID($D116,Y$9+1,1), cvt!$A$2:$B$4,2, FALSE)</f>
        <v>0</v>
      </c>
      <c r="Z116" s="7">
        <f ca="1">VLOOKUP(MID($D116,Z$9+1,1), cvt!$A$2:$B$4,2, FALSE)</f>
        <v>0</v>
      </c>
      <c r="AA116" s="42">
        <f ca="1">VLOOKUP(MID($D116,AA$9+1,1), cvt!$A$2:$B$4,2, FALSE)</f>
        <v>1</v>
      </c>
      <c r="AB116" s="7">
        <f t="shared" ca="1" si="211"/>
        <v>1</v>
      </c>
      <c r="AC116" s="50" t="b">
        <f t="shared" ca="1" si="212"/>
        <v>1</v>
      </c>
      <c r="AE116" s="19" t="str">
        <f ca="1">VLOOKUP(AF116,cvt!$B$2:$C$4,2,FALSE)&amp;VLOOKUP(AG116,cvt!$B$2:$C$4,2,FALSE)&amp;VLOOKUP(AH116,cvt!$B$2:$C$4,2,FALSE)
&amp;VLOOKUP(AI116,cvt!$B$2:$C$4,2,FALSE)&amp;VLOOKUP(AJ116,cvt!$B$2:$C$4,2,FALSE)&amp;VLOOKUP(AK116,cvt!$B$2:$C$4,2,FALSE)
&amp;VLOOKUP(AL116,cvt!$B$2:$C$4,2,FALSE)&amp;VLOOKUP(AM116,cvt!$B$2:$C$4,2,FALSE)&amp;VLOOKUP(AN116,cvt!$B$2:$C$4,2,FALSE)</f>
        <v>〇×〇×〇×--〇</v>
      </c>
      <c r="AF116" s="17">
        <f t="shared" ca="1" si="143"/>
        <v>1</v>
      </c>
      <c r="AG116" s="7">
        <f t="shared" ca="1" si="144"/>
        <v>-1</v>
      </c>
      <c r="AH116" s="7">
        <f t="shared" ca="1" si="145"/>
        <v>1</v>
      </c>
      <c r="AI116" s="17">
        <f t="shared" ca="1" si="146"/>
        <v>-1</v>
      </c>
      <c r="AJ116" s="7">
        <f t="shared" ca="1" si="147"/>
        <v>1</v>
      </c>
      <c r="AK116" s="18">
        <f t="shared" ca="1" si="148"/>
        <v>-1</v>
      </c>
      <c r="AL116" s="7">
        <f t="shared" ca="1" si="149"/>
        <v>0</v>
      </c>
      <c r="AM116" s="7">
        <f t="shared" ca="1" si="150"/>
        <v>0</v>
      </c>
      <c r="AN116" s="18">
        <f t="shared" ca="1" si="151"/>
        <v>1</v>
      </c>
      <c r="AO116" s="7">
        <f t="shared" ca="1" si="213"/>
        <v>1</v>
      </c>
      <c r="AP116" s="50" t="b">
        <f t="shared" ca="1" si="152"/>
        <v>1</v>
      </c>
      <c r="AS116" s="22">
        <f t="shared" ca="1" si="214"/>
        <v>0</v>
      </c>
      <c r="AT116" s="7">
        <f t="shared" ca="1" si="153"/>
        <v>0</v>
      </c>
      <c r="AU116" s="7">
        <f t="shared" ca="1" si="154"/>
        <v>0</v>
      </c>
      <c r="AV116" s="7">
        <f t="shared" ca="1" si="155"/>
        <v>0</v>
      </c>
      <c r="AW116" s="7">
        <f t="shared" ca="1" si="156"/>
        <v>0</v>
      </c>
      <c r="AX116" s="7">
        <f t="shared" ca="1" si="157"/>
        <v>0</v>
      </c>
      <c r="AY116" s="7">
        <f t="shared" ca="1" si="158"/>
        <v>0</v>
      </c>
      <c r="AZ116" s="7">
        <f t="shared" ca="1" si="159"/>
        <v>0</v>
      </c>
      <c r="BA116" s="18">
        <f t="shared" ca="1" si="160"/>
        <v>0</v>
      </c>
      <c r="BB116" s="295">
        <f t="shared" ca="1" si="215"/>
        <v>1</v>
      </c>
      <c r="BD116" s="132"/>
      <c r="BE116" s="297">
        <f t="shared" ca="1" si="216"/>
        <v>1</v>
      </c>
      <c r="BF116" s="298">
        <f t="shared" ca="1" si="161"/>
        <v>0.65029522127322903</v>
      </c>
      <c r="BG116" s="298">
        <f t="shared" ca="1" si="162"/>
        <v>0.66028983545318687</v>
      </c>
      <c r="BH116" s="318">
        <f t="shared" ca="1" si="163"/>
        <v>0.64972655813153501</v>
      </c>
      <c r="BI116" s="298">
        <f t="shared" ca="1" si="164"/>
        <v>0.65002804502111444</v>
      </c>
      <c r="BJ116" s="299">
        <f t="shared" ca="1" si="165"/>
        <v>0.65029320640965171</v>
      </c>
      <c r="BK116" s="298">
        <f t="shared" ca="1" si="166"/>
        <v>0.64942668056342145</v>
      </c>
      <c r="BL116" s="298">
        <f t="shared" ca="1" si="167"/>
        <v>0.61083952513994022</v>
      </c>
      <c r="BM116" s="299">
        <f t="shared" ca="1" si="168"/>
        <v>0.6508682169276182</v>
      </c>
      <c r="BN116" s="295">
        <f t="shared" ca="1" si="169"/>
        <v>0.17402001625314881</v>
      </c>
      <c r="BO116" s="248">
        <f t="shared" ca="1" si="217"/>
        <v>-2.2535161742124597E-5</v>
      </c>
      <c r="BQ116" s="304">
        <f t="shared" ca="1" si="218"/>
        <v>0.42412001625314877</v>
      </c>
      <c r="BR116" s="297">
        <f t="shared" ca="1" si="219"/>
        <v>0</v>
      </c>
      <c r="BS116" s="298">
        <f t="shared" ca="1" si="170"/>
        <v>0</v>
      </c>
      <c r="BT116" s="298">
        <f t="shared" ca="1" si="171"/>
        <v>0</v>
      </c>
      <c r="BU116" s="318">
        <f t="shared" ca="1" si="172"/>
        <v>0</v>
      </c>
      <c r="BV116" s="298">
        <f t="shared" ca="1" si="173"/>
        <v>0</v>
      </c>
      <c r="BW116" s="299">
        <f t="shared" ca="1" si="174"/>
        <v>0</v>
      </c>
      <c r="BX116" s="298">
        <f t="shared" ca="1" si="175"/>
        <v>0</v>
      </c>
      <c r="BY116" s="298">
        <f t="shared" ca="1" si="176"/>
        <v>0</v>
      </c>
      <c r="BZ116" s="298">
        <f t="shared" ca="1" si="177"/>
        <v>0</v>
      </c>
      <c r="CA116" s="315">
        <f t="shared" ca="1" si="178"/>
        <v>0.42412001625314877</v>
      </c>
      <c r="CC116" s="52"/>
      <c r="CD116" s="306">
        <f t="shared" ca="1" si="220"/>
        <v>0</v>
      </c>
      <c r="CE116" s="15">
        <f t="shared" ca="1" si="179"/>
        <v>0</v>
      </c>
      <c r="CF116" s="15">
        <f t="shared" ca="1" si="180"/>
        <v>0</v>
      </c>
      <c r="CG116" s="286">
        <f t="shared" ca="1" si="181"/>
        <v>0</v>
      </c>
      <c r="CH116" s="15">
        <f t="shared" ca="1" si="182"/>
        <v>0</v>
      </c>
      <c r="CI116" s="288">
        <f t="shared" ca="1" si="183"/>
        <v>0</v>
      </c>
      <c r="CJ116" s="15">
        <f t="shared" ca="1" si="184"/>
        <v>0</v>
      </c>
      <c r="CK116" s="15">
        <f t="shared" ca="1" si="185"/>
        <v>0</v>
      </c>
      <c r="CL116" s="15">
        <f t="shared" ca="1" si="186"/>
        <v>0</v>
      </c>
      <c r="CM116" s="313">
        <f t="shared" ca="1" si="187"/>
        <v>1</v>
      </c>
      <c r="CO116" s="320">
        <f t="shared" ca="1" si="221"/>
        <v>105</v>
      </c>
      <c r="CP116" s="22">
        <f ca="1">COUNTIFS($C$10:$C115,"&lt;"&amp;$C116,$M$10:$M115,$D116&amp;"_"&amp;CP$9)</f>
        <v>0</v>
      </c>
      <c r="CQ116" s="7">
        <f ca="1">COUNTIFS($C$10:$C115,"&lt;"&amp;$C116,$M$10:$M115,$D116&amp;"_"&amp;CQ$9)</f>
        <v>0</v>
      </c>
      <c r="CR116" s="7">
        <f ca="1">COUNTIFS($C$10:$C115,"&lt;"&amp;$C116,$M$10:$M115,$D116&amp;"_"&amp;CR$9)</f>
        <v>0</v>
      </c>
      <c r="CS116" s="17">
        <f ca="1">COUNTIFS($C$10:$C115,"&lt;"&amp;$C116,$M$10:$M115,$D116&amp;"_"&amp;CS$9)</f>
        <v>0</v>
      </c>
      <c r="CT116" s="7">
        <f ca="1">COUNTIFS($C$10:$C115,"&lt;"&amp;$C116,$M$10:$M115,$D116&amp;"_"&amp;CT$9)</f>
        <v>0</v>
      </c>
      <c r="CU116" s="18">
        <f ca="1">COUNTIFS($C$10:$C115,"&lt;"&amp;$C116,$M$10:$M115,$D116&amp;"_"&amp;CU$9)</f>
        <v>0</v>
      </c>
      <c r="CV116" s="7">
        <f ca="1">COUNTIFS($C$10:$C115,"&lt;"&amp;$C116,$M$10:$M115,$D116&amp;"_"&amp;CV$9)</f>
        <v>0</v>
      </c>
      <c r="CW116" s="7">
        <f ca="1">COUNTIFS($C$10:$C115,"&lt;"&amp;$C116,$M$10:$M115,$D116&amp;"_"&amp;CW$9)</f>
        <v>0</v>
      </c>
      <c r="CX116" s="7">
        <f ca="1">COUNTIFS($C$10:$C115,"&lt;"&amp;$C116,$M$10:$M115,$D116&amp;"_"&amp;CX$9)</f>
        <v>0</v>
      </c>
      <c r="CY116" s="221">
        <f ca="1">COUNTIFS($C$10:$C115,"&lt;"&amp;$C116,$M$10:$M115,$D116&amp;"_"&amp;CY$9)</f>
        <v>105</v>
      </c>
      <c r="DA116" s="20"/>
      <c r="DB116" s="308">
        <f ca="1">IF(CP116=0,0,SUMIFS($P$10:$P115, $C$10:$C115,"&lt;"&amp;$C116, $M$10:$M115,$D116&amp;"_"&amp;DB$9)/CP116)</f>
        <v>0</v>
      </c>
      <c r="DC116" s="263">
        <f ca="1">IF(CQ116=0,0,SUMIFS($P$10:$P115, $C$10:$C115,"&lt;"&amp;$C116, $M$10:$M115,$D116&amp;"_"&amp;DC$9)/CQ116)</f>
        <v>0</v>
      </c>
      <c r="DD116" s="263">
        <f ca="1">IF(CR116=0,0,SUMIFS($P$10:$P115, $C$10:$C115,"&lt;"&amp;$C116, $M$10:$M115,$D116&amp;"_"&amp;DD$9)/CR116)</f>
        <v>0</v>
      </c>
      <c r="DE116" s="262">
        <f ca="1">IF(CS116=0,0,SUMIFS($P$10:$P115, $C$10:$C115,"&lt;"&amp;$C116, $M$10:$M115,$D116&amp;"_"&amp;DE$9)/CS116)</f>
        <v>0</v>
      </c>
      <c r="DF116" s="263">
        <f ca="1">IF(CT116=0,0,SUMIFS($P$10:$P115, $C$10:$C115,"&lt;"&amp;$C116, $M$10:$M115,$D116&amp;"_"&amp;DF$9)/CT116)</f>
        <v>0</v>
      </c>
      <c r="DG116" s="310">
        <f ca="1">IF(CU116=0,0,SUMIFS($P$10:$P115, $C$10:$C115,"&lt;"&amp;$C116, $M$10:$M115,$D116&amp;"_"&amp;DG$9)/CU116)</f>
        <v>0</v>
      </c>
      <c r="DH116" s="263">
        <f ca="1">IF(CV116=0,0,SUMIFS($P$10:$P115, $C$10:$C115,"&lt;"&amp;$C116, $M$10:$M115,$D116&amp;"_"&amp;DH$9)/CV116)</f>
        <v>0</v>
      </c>
      <c r="DI116" s="263">
        <f ca="1">IF(CW116=0,0,SUMIFS($P$10:$P115, $C$10:$C115,"&lt;"&amp;$C116, $M$10:$M115,$D116&amp;"_"&amp;DI$9)/CW116)</f>
        <v>0</v>
      </c>
      <c r="DJ116" s="264">
        <f ca="1">IF(CX116=0,0,SUMIFS($P$10:$P115, $C$10:$C115,"&lt;"&amp;$C116, $M$10:$M115,$D116&amp;"_"&amp;DJ$9)/CX116)</f>
        <v>0</v>
      </c>
      <c r="DK116" s="264">
        <f ca="1">IF(CY116=0,0,SUMIFS($P$10:$P115, $C$10:$C115,"&lt;"&amp;$C116, $M$10:$M115,$D116&amp;"_"&amp;DK$9)/CY116)</f>
        <v>-1</v>
      </c>
      <c r="DM116" s="104"/>
      <c r="DN116" s="306">
        <f t="shared" ca="1" si="222"/>
        <v>-9999</v>
      </c>
      <c r="DO116" s="15">
        <f t="shared" ca="1" si="188"/>
        <v>-9999</v>
      </c>
      <c r="DP116" s="15">
        <f t="shared" ca="1" si="189"/>
        <v>-9999</v>
      </c>
      <c r="DQ116" s="15">
        <f t="shared" ca="1" si="190"/>
        <v>-9999</v>
      </c>
      <c r="DR116" s="15">
        <f t="shared" ca="1" si="191"/>
        <v>-9999</v>
      </c>
      <c r="DS116" s="15">
        <f t="shared" ca="1" si="192"/>
        <v>-9999</v>
      </c>
      <c r="DT116" s="15">
        <f t="shared" ca="1" si="193"/>
        <v>-9999</v>
      </c>
      <c r="DU116" s="15">
        <f t="shared" ca="1" si="194"/>
        <v>-9999</v>
      </c>
      <c r="DV116" s="52">
        <f t="shared" ca="1" si="195"/>
        <v>-9999</v>
      </c>
      <c r="DW116" s="313">
        <f t="shared" ca="1" si="196"/>
        <v>-0.90333065315132455</v>
      </c>
      <c r="DX116" s="52"/>
      <c r="DY116" s="402">
        <f t="shared" ca="1" si="223"/>
        <v>9</v>
      </c>
      <c r="ED116" s="19">
        <f t="shared" ca="1" si="241"/>
        <v>-1</v>
      </c>
      <c r="EE116" s="1">
        <f t="shared" ca="1" si="242"/>
        <v>1</v>
      </c>
      <c r="EF116" s="1">
        <f t="shared" ca="1" si="243"/>
        <v>-1</v>
      </c>
      <c r="EG116" s="2">
        <f t="shared" ca="1" si="244"/>
        <v>1</v>
      </c>
      <c r="EH116" s="1">
        <f t="shared" ca="1" si="245"/>
        <v>-1</v>
      </c>
      <c r="EI116" s="3">
        <f t="shared" ca="1" si="246"/>
        <v>1</v>
      </c>
      <c r="EJ116" s="1">
        <f t="shared" ca="1" si="247"/>
        <v>0</v>
      </c>
      <c r="EK116" s="1">
        <f t="shared" ca="1" si="248"/>
        <v>0</v>
      </c>
      <c r="EL116" s="20">
        <f t="shared" ca="1" si="249"/>
        <v>-1</v>
      </c>
      <c r="EN116" s="86">
        <f ca="1">MAX(0, SUMPRODUCT($ED116:$EL116,OFFSET(DNN!$E$9:$M$9,EN$9,0)) + OFFSET(DNN!$D$9,EN$9,0))</f>
        <v>0</v>
      </c>
      <c r="EO116" s="84">
        <f ca="1">MAX(0, SUMPRODUCT($ED116:$EL116,OFFSET(DNN!$E$9:$M$9,EO$9,0)) + OFFSET(DNN!$D$9,EO$9,0))</f>
        <v>7.2346022384755949E-3</v>
      </c>
      <c r="EP116" s="84">
        <f ca="1">MAX(0, SUMPRODUCT($ED116:$EL116,OFFSET(DNN!$E$9:$M$9,EP$9,0)) + OFFSET(DNN!$D$9,EP$9,0))</f>
        <v>3.6951849750035152E-3</v>
      </c>
      <c r="EQ116" s="84">
        <f ca="1">MAX(0, SUMPRODUCT($ED116:$EL116,OFFSET(DNN!$E$9:$M$9,EQ$9,0)) + OFFSET(DNN!$D$9,EQ$9,0))</f>
        <v>0</v>
      </c>
      <c r="ER116" s="85">
        <f ca="1">MAX(0, SUMPRODUCT($ED116:$EL116,OFFSET(DNN!$E$9:$M$9,ER$9,0)) + OFFSET(DNN!$D$9,ER$9,0))</f>
        <v>0</v>
      </c>
      <c r="ET116" s="86">
        <f ca="1">MAX(0, SUMPRODUCT($EN116:$ER116,OFFSET(DNN!$Q$9:$U$9,ET$9,0)) + OFFSET(DNN!$P$9,ET$9,0))</f>
        <v>4.3954959453478351E-4</v>
      </c>
      <c r="EU116" s="84">
        <f ca="1">MAX(0, SUMPRODUCT($EN116:$ER116,OFFSET(DNN!$Q$9:$U$9,EU$9,0)) + OFFSET(DNN!$P$9,EU$9,0))</f>
        <v>0</v>
      </c>
      <c r="EV116" s="84">
        <f ca="1">MAX(0, SUMPRODUCT($EN116:$ER116,OFFSET(DNN!$Q$9:$U$9,EV$9,0)) + OFFSET(DNN!$P$9,EV$9,0))</f>
        <v>1.2810123361902579E-3</v>
      </c>
      <c r="EW116" s="84">
        <f ca="1">MAX(0, SUMPRODUCT($EN116:$ER116,OFFSET(DNN!$Q$9:$U$9,EW$9,0)) + OFFSET(DNN!$P$9,EW$9,0))</f>
        <v>7.8382123007882457E-4</v>
      </c>
      <c r="EX116" s="85">
        <f ca="1">MAX(0, SUMPRODUCT($EN116:$ER116,OFFSET(DNN!$Q$9:$U$9,EX$9,0)) + OFFSET(DNN!$P$9,EX$9,0))</f>
        <v>0</v>
      </c>
      <c r="EZ116" s="111">
        <f ca="1">SUMPRODUCT($ET116:$EX116,OFFSET(DNN!$Y$9:$AC$9,EZ$9,0)) + OFFSET(DNN!$X$9,EZ$9,0)</f>
        <v>0.43031618918982212</v>
      </c>
      <c r="FA116" s="97">
        <f ca="1">SUMPRODUCT($ET116:$EX116,OFFSET(DNN!$Y$9:$AC$9,FA$9,0)) + OFFSET(DNN!$X$9,FA$9,0)</f>
        <v>-1.2643439935754107E-5</v>
      </c>
      <c r="FB116" s="97">
        <f ca="1">SUMPRODUCT($ET116:$EX116,OFFSET(DNN!$Y$9:$AC$9,FB$9,0)) + OFFSET(DNN!$X$9,FB$9,0)</f>
        <v>1.5239793458415756E-2</v>
      </c>
      <c r="FC116" s="97">
        <f ca="1">SUMPRODUCT($ET116:$EX116,OFFSET(DNN!$Y$9:$AC$9,FC$9,0)) + OFFSET(DNN!$X$9,FC$9,0)</f>
        <v>-8.8749521084055777E-4</v>
      </c>
      <c r="FD116" s="97">
        <f ca="1">SUMPRODUCT($ET116:$EX116,OFFSET(DNN!$Y$9:$AC$9,FD$9,0)) + OFFSET(DNN!$X$9,FD$9,0)</f>
        <v>-4.235816470721872E-4</v>
      </c>
      <c r="FE116" s="97">
        <f ca="1">SUMPRODUCT($ET116:$EX116,OFFSET(DNN!$Y$9:$AC$9,FE$9,0)) + OFFSET(DNN!$X$9,FE$9,0)</f>
        <v>-1.574182761064886E-5</v>
      </c>
      <c r="FF116" s="97">
        <f ca="1">SUMPRODUCT($ET116:$EX116,OFFSET(DNN!$Y$9:$AC$9,FF$9,0)) + OFFSET(DNN!$X$9,FF$9,0)</f>
        <v>-1.3491460223194656E-3</v>
      </c>
      <c r="FG116" s="97">
        <f ca="1">SUMPRODUCT($ET116:$EX116,OFFSET(DNN!$Y$9:$AC$9,FG$9,0)) + OFFSET(DNN!$X$9,FG$9,0)</f>
        <v>-6.2604808096248285E-2</v>
      </c>
      <c r="FH116" s="97">
        <f ca="1">SUMPRODUCT($ET116:$EX116,OFFSET(DNN!$Y$9:$AC$9,FH$9,0)) + OFFSET(DNN!$X$9,FH$9,0)</f>
        <v>8.6810016937029894E-4</v>
      </c>
      <c r="FI116" s="108">
        <f ca="1">SUMPRODUCT($ET116:$EX116,OFFSET(DNN!$Y$9:$AC$9,FI$9,0)) + OFFSET(DNN!$X$9,FI$9,0)</f>
        <v>-1.3182687612562751</v>
      </c>
      <c r="FJ116" s="98">
        <f ca="1">SUMPRODUCT($ET116:$EX116,OFFSET(DNN!$Y$9:$AC$9,FJ$9,0)) + OFFSET(DNN!$X$9,FJ$9,0)</f>
        <v>-2.2535161745939301E-5</v>
      </c>
      <c r="FL116" s="415">
        <f t="shared" ca="1" si="224"/>
        <v>0.43031618918982212</v>
      </c>
      <c r="FM116" s="130">
        <f t="shared" ca="1" si="225"/>
        <v>1</v>
      </c>
      <c r="FN116" s="131">
        <f t="shared" ca="1" si="226"/>
        <v>0.65029522127322903</v>
      </c>
      <c r="FO116" s="131">
        <f t="shared" ca="1" si="227"/>
        <v>0.66028983545318687</v>
      </c>
      <c r="FP116" s="131">
        <f t="shared" ca="1" si="228"/>
        <v>0.64972655813153501</v>
      </c>
      <c r="FQ116" s="131">
        <f t="shared" ca="1" si="229"/>
        <v>0.65002804502111444</v>
      </c>
      <c r="FR116" s="131">
        <f t="shared" ca="1" si="230"/>
        <v>0.65029320640965171</v>
      </c>
      <c r="FS116" s="131">
        <f t="shared" ca="1" si="231"/>
        <v>0.64942668056342145</v>
      </c>
      <c r="FT116" s="131">
        <f t="shared" ca="1" si="232"/>
        <v>0.61083952513994022</v>
      </c>
      <c r="FU116" s="132">
        <f t="shared" ca="1" si="233"/>
        <v>0.6508682169276182</v>
      </c>
      <c r="FV116" s="131">
        <f t="shared" ca="1" si="234"/>
        <v>0.17402001625314881</v>
      </c>
      <c r="FW116" s="83">
        <f t="shared" ca="1" si="235"/>
        <v>-2.2535161742124597E-5</v>
      </c>
    </row>
    <row r="117" spans="1:179">
      <c r="A117" s="19">
        <f t="shared" si="240"/>
        <v>107</v>
      </c>
      <c r="B117" s="1">
        <f t="shared" ca="1" si="236"/>
        <v>0</v>
      </c>
      <c r="C117" s="20">
        <f t="shared" ca="1" si="237"/>
        <v>107</v>
      </c>
      <c r="D117" s="19" t="str">
        <f t="shared" ca="1" si="238"/>
        <v>〇×〇×〇×--〇</v>
      </c>
      <c r="E117" s="7">
        <f t="shared" ca="1" si="206"/>
        <v>9</v>
      </c>
      <c r="F117" s="7">
        <f t="shared" ca="1" si="207"/>
        <v>1</v>
      </c>
      <c r="G117" s="1" t="str">
        <f t="shared" ca="1" si="139"/>
        <v>〇×〇×〇×--〇</v>
      </c>
      <c r="H117" s="20" t="b">
        <f t="shared" ca="1" si="140"/>
        <v>1</v>
      </c>
      <c r="I117" s="22">
        <f t="shared" ca="1" si="239"/>
        <v>-1</v>
      </c>
      <c r="J117" s="1" t="b">
        <f ca="1">(1&lt;COUNTIF(D$10:D117,D117))</f>
        <v>1</v>
      </c>
      <c r="K117" s="1" t="b">
        <f t="shared" ca="1" si="141"/>
        <v>1</v>
      </c>
      <c r="L117" s="7">
        <f ca="1">MATCH(TRUE,K117:K$1048576,FALSE)-1</f>
        <v>0</v>
      </c>
      <c r="M117" s="24" t="str">
        <f t="shared" ca="1" si="142"/>
        <v>〇×〇×〇×--〇_9</v>
      </c>
      <c r="N117" s="25">
        <f t="shared" ca="1" si="208"/>
        <v>-2.2535161742124597E-5</v>
      </c>
      <c r="O117" s="26">
        <f t="shared" ca="1" si="209"/>
        <v>-1</v>
      </c>
      <c r="P117" s="27">
        <f t="shared" ca="1" si="210"/>
        <v>-1</v>
      </c>
      <c r="R117" s="41" t="str">
        <f ca="1">VLOOKUP(S117,cvt!$B$2:$C$4,2,FALSE)&amp;VLOOKUP(T117,cvt!$B$2:$C$4,2,FALSE)&amp;VLOOKUP(U117,cvt!$B$2:$C$4,2,FALSE)
&amp;VLOOKUP(V117,cvt!$B$2:$C$4,2,FALSE)&amp;VLOOKUP(W117,cvt!$B$2:$C$4,2,FALSE)&amp;VLOOKUP(X117,cvt!$B$2:$C$4,2,FALSE)
&amp;VLOOKUP(Y117,cvt!$B$2:$C$4,2,FALSE)&amp;VLOOKUP(Z117,cvt!$B$2:$C$4,2,FALSE)&amp;VLOOKUP(AA117,cvt!$B$2:$C$4,2,FALSE)</f>
        <v>〇×〇×〇×--〇</v>
      </c>
      <c r="S117" s="7">
        <f ca="1">VLOOKUP(MID($D117,S$9+1,1), cvt!$A$2:$B$4,2, FALSE)</f>
        <v>1</v>
      </c>
      <c r="T117" s="7">
        <f ca="1">VLOOKUP(MID($D117,T$9+1,1), cvt!$A$2:$B$4,2, FALSE)</f>
        <v>-1</v>
      </c>
      <c r="U117" s="7">
        <f ca="1">VLOOKUP(MID($D117,U$9+1,1), cvt!$A$2:$B$4,2, FALSE)</f>
        <v>1</v>
      </c>
      <c r="V117" s="17">
        <f ca="1">VLOOKUP(MID($D117,V$9+1,1), cvt!$A$2:$B$4,2, FALSE)</f>
        <v>-1</v>
      </c>
      <c r="W117" s="7">
        <f ca="1">VLOOKUP(MID($D117,W$9+1,1), cvt!$A$2:$B$4,2, FALSE)</f>
        <v>1</v>
      </c>
      <c r="X117" s="18">
        <f ca="1">VLOOKUP(MID($D117,X$9+1,1), cvt!$A$2:$B$4,2, FALSE)</f>
        <v>-1</v>
      </c>
      <c r="Y117" s="7">
        <f ca="1">VLOOKUP(MID($D117,Y$9+1,1), cvt!$A$2:$B$4,2, FALSE)</f>
        <v>0</v>
      </c>
      <c r="Z117" s="7">
        <f ca="1">VLOOKUP(MID($D117,Z$9+1,1), cvt!$A$2:$B$4,2, FALSE)</f>
        <v>0</v>
      </c>
      <c r="AA117" s="42">
        <f ca="1">VLOOKUP(MID($D117,AA$9+1,1), cvt!$A$2:$B$4,2, FALSE)</f>
        <v>1</v>
      </c>
      <c r="AB117" s="7">
        <f t="shared" ca="1" si="211"/>
        <v>1</v>
      </c>
      <c r="AC117" s="50" t="b">
        <f t="shared" ca="1" si="212"/>
        <v>1</v>
      </c>
      <c r="AE117" s="19" t="str">
        <f ca="1">VLOOKUP(AF117,cvt!$B$2:$C$4,2,FALSE)&amp;VLOOKUP(AG117,cvt!$B$2:$C$4,2,FALSE)&amp;VLOOKUP(AH117,cvt!$B$2:$C$4,2,FALSE)
&amp;VLOOKUP(AI117,cvt!$B$2:$C$4,2,FALSE)&amp;VLOOKUP(AJ117,cvt!$B$2:$C$4,2,FALSE)&amp;VLOOKUP(AK117,cvt!$B$2:$C$4,2,FALSE)
&amp;VLOOKUP(AL117,cvt!$B$2:$C$4,2,FALSE)&amp;VLOOKUP(AM117,cvt!$B$2:$C$4,2,FALSE)&amp;VLOOKUP(AN117,cvt!$B$2:$C$4,2,FALSE)</f>
        <v>〇×〇×〇×--〇</v>
      </c>
      <c r="AF117" s="17">
        <f t="shared" ca="1" si="143"/>
        <v>1</v>
      </c>
      <c r="AG117" s="7">
        <f t="shared" ca="1" si="144"/>
        <v>-1</v>
      </c>
      <c r="AH117" s="7">
        <f t="shared" ca="1" si="145"/>
        <v>1</v>
      </c>
      <c r="AI117" s="17">
        <f t="shared" ca="1" si="146"/>
        <v>-1</v>
      </c>
      <c r="AJ117" s="7">
        <f t="shared" ca="1" si="147"/>
        <v>1</v>
      </c>
      <c r="AK117" s="18">
        <f t="shared" ca="1" si="148"/>
        <v>-1</v>
      </c>
      <c r="AL117" s="7">
        <f t="shared" ca="1" si="149"/>
        <v>0</v>
      </c>
      <c r="AM117" s="7">
        <f t="shared" ca="1" si="150"/>
        <v>0</v>
      </c>
      <c r="AN117" s="18">
        <f t="shared" ca="1" si="151"/>
        <v>1</v>
      </c>
      <c r="AO117" s="7">
        <f t="shared" ca="1" si="213"/>
        <v>1</v>
      </c>
      <c r="AP117" s="50" t="b">
        <f t="shared" ca="1" si="152"/>
        <v>1</v>
      </c>
      <c r="AS117" s="22">
        <f t="shared" ca="1" si="214"/>
        <v>0</v>
      </c>
      <c r="AT117" s="7">
        <f t="shared" ca="1" si="153"/>
        <v>0</v>
      </c>
      <c r="AU117" s="7">
        <f t="shared" ca="1" si="154"/>
        <v>0</v>
      </c>
      <c r="AV117" s="7">
        <f t="shared" ca="1" si="155"/>
        <v>0</v>
      </c>
      <c r="AW117" s="7">
        <f t="shared" ca="1" si="156"/>
        <v>0</v>
      </c>
      <c r="AX117" s="7">
        <f t="shared" ca="1" si="157"/>
        <v>0</v>
      </c>
      <c r="AY117" s="7">
        <f t="shared" ca="1" si="158"/>
        <v>0</v>
      </c>
      <c r="AZ117" s="7">
        <f t="shared" ca="1" si="159"/>
        <v>0</v>
      </c>
      <c r="BA117" s="18">
        <f t="shared" ca="1" si="160"/>
        <v>0</v>
      </c>
      <c r="BB117" s="295">
        <f t="shared" ca="1" si="215"/>
        <v>1</v>
      </c>
      <c r="BD117" s="132"/>
      <c r="BE117" s="297">
        <f t="shared" ca="1" si="216"/>
        <v>1</v>
      </c>
      <c r="BF117" s="298">
        <f t="shared" ca="1" si="161"/>
        <v>0.65029522127322903</v>
      </c>
      <c r="BG117" s="298">
        <f t="shared" ca="1" si="162"/>
        <v>0.66028983545318687</v>
      </c>
      <c r="BH117" s="318">
        <f t="shared" ca="1" si="163"/>
        <v>0.64972655813153501</v>
      </c>
      <c r="BI117" s="298">
        <f t="shared" ca="1" si="164"/>
        <v>0.65002804502111444</v>
      </c>
      <c r="BJ117" s="299">
        <f t="shared" ca="1" si="165"/>
        <v>0.65029320640965171</v>
      </c>
      <c r="BK117" s="298">
        <f t="shared" ca="1" si="166"/>
        <v>0.64942668056342145</v>
      </c>
      <c r="BL117" s="298">
        <f t="shared" ca="1" si="167"/>
        <v>0.61083952513994022</v>
      </c>
      <c r="BM117" s="299">
        <f t="shared" ca="1" si="168"/>
        <v>0.6508682169276182</v>
      </c>
      <c r="BN117" s="295">
        <f t="shared" ca="1" si="169"/>
        <v>0.17402001625314881</v>
      </c>
      <c r="BO117" s="248">
        <f t="shared" ca="1" si="217"/>
        <v>-2.2535161742124597E-5</v>
      </c>
      <c r="BQ117" s="304">
        <f t="shared" ca="1" si="218"/>
        <v>0.1741200162531488</v>
      </c>
      <c r="BR117" s="297">
        <f t="shared" ca="1" si="219"/>
        <v>0</v>
      </c>
      <c r="BS117" s="298">
        <f t="shared" ca="1" si="170"/>
        <v>0</v>
      </c>
      <c r="BT117" s="298">
        <f t="shared" ca="1" si="171"/>
        <v>0</v>
      </c>
      <c r="BU117" s="318">
        <f t="shared" ca="1" si="172"/>
        <v>0</v>
      </c>
      <c r="BV117" s="298">
        <f t="shared" ca="1" si="173"/>
        <v>0</v>
      </c>
      <c r="BW117" s="299">
        <f t="shared" ca="1" si="174"/>
        <v>0</v>
      </c>
      <c r="BX117" s="298">
        <f t="shared" ca="1" si="175"/>
        <v>0</v>
      </c>
      <c r="BY117" s="298">
        <f t="shared" ca="1" si="176"/>
        <v>0</v>
      </c>
      <c r="BZ117" s="298">
        <f t="shared" ca="1" si="177"/>
        <v>0</v>
      </c>
      <c r="CA117" s="315">
        <f t="shared" ca="1" si="178"/>
        <v>0.1741200162531488</v>
      </c>
      <c r="CC117" s="52"/>
      <c r="CD117" s="306">
        <f t="shared" ca="1" si="220"/>
        <v>0</v>
      </c>
      <c r="CE117" s="15">
        <f t="shared" ca="1" si="179"/>
        <v>0</v>
      </c>
      <c r="CF117" s="15">
        <f t="shared" ca="1" si="180"/>
        <v>0</v>
      </c>
      <c r="CG117" s="286">
        <f t="shared" ca="1" si="181"/>
        <v>0</v>
      </c>
      <c r="CH117" s="15">
        <f t="shared" ca="1" si="182"/>
        <v>0</v>
      </c>
      <c r="CI117" s="288">
        <f t="shared" ca="1" si="183"/>
        <v>0</v>
      </c>
      <c r="CJ117" s="15">
        <f t="shared" ca="1" si="184"/>
        <v>0</v>
      </c>
      <c r="CK117" s="15">
        <f t="shared" ca="1" si="185"/>
        <v>0</v>
      </c>
      <c r="CL117" s="15">
        <f t="shared" ca="1" si="186"/>
        <v>0</v>
      </c>
      <c r="CM117" s="313">
        <f t="shared" ca="1" si="187"/>
        <v>1</v>
      </c>
      <c r="CO117" s="320">
        <f t="shared" ca="1" si="221"/>
        <v>106</v>
      </c>
      <c r="CP117" s="22">
        <f ca="1">COUNTIFS($C$10:$C116,"&lt;"&amp;$C117,$M$10:$M116,$D117&amp;"_"&amp;CP$9)</f>
        <v>0</v>
      </c>
      <c r="CQ117" s="7">
        <f ca="1">COUNTIFS($C$10:$C116,"&lt;"&amp;$C117,$M$10:$M116,$D117&amp;"_"&amp;CQ$9)</f>
        <v>0</v>
      </c>
      <c r="CR117" s="7">
        <f ca="1">COUNTIFS($C$10:$C116,"&lt;"&amp;$C117,$M$10:$M116,$D117&amp;"_"&amp;CR$9)</f>
        <v>0</v>
      </c>
      <c r="CS117" s="17">
        <f ca="1">COUNTIFS($C$10:$C116,"&lt;"&amp;$C117,$M$10:$M116,$D117&amp;"_"&amp;CS$9)</f>
        <v>0</v>
      </c>
      <c r="CT117" s="7">
        <f ca="1">COUNTIFS($C$10:$C116,"&lt;"&amp;$C117,$M$10:$M116,$D117&amp;"_"&amp;CT$9)</f>
        <v>0</v>
      </c>
      <c r="CU117" s="18">
        <f ca="1">COUNTIFS($C$10:$C116,"&lt;"&amp;$C117,$M$10:$M116,$D117&amp;"_"&amp;CU$9)</f>
        <v>0</v>
      </c>
      <c r="CV117" s="7">
        <f ca="1">COUNTIFS($C$10:$C116,"&lt;"&amp;$C117,$M$10:$M116,$D117&amp;"_"&amp;CV$9)</f>
        <v>0</v>
      </c>
      <c r="CW117" s="7">
        <f ca="1">COUNTIFS($C$10:$C116,"&lt;"&amp;$C117,$M$10:$M116,$D117&amp;"_"&amp;CW$9)</f>
        <v>0</v>
      </c>
      <c r="CX117" s="7">
        <f ca="1">COUNTIFS($C$10:$C116,"&lt;"&amp;$C117,$M$10:$M116,$D117&amp;"_"&amp;CX$9)</f>
        <v>0</v>
      </c>
      <c r="CY117" s="221">
        <f ca="1">COUNTIFS($C$10:$C116,"&lt;"&amp;$C117,$M$10:$M116,$D117&amp;"_"&amp;CY$9)</f>
        <v>106</v>
      </c>
      <c r="DA117" s="20"/>
      <c r="DB117" s="308">
        <f ca="1">IF(CP117=0,0,SUMIFS($P$10:$P116, $C$10:$C116,"&lt;"&amp;$C117, $M$10:$M116,$D117&amp;"_"&amp;DB$9)/CP117)</f>
        <v>0</v>
      </c>
      <c r="DC117" s="263">
        <f ca="1">IF(CQ117=0,0,SUMIFS($P$10:$P116, $C$10:$C116,"&lt;"&amp;$C117, $M$10:$M116,$D117&amp;"_"&amp;DC$9)/CQ117)</f>
        <v>0</v>
      </c>
      <c r="DD117" s="263">
        <f ca="1">IF(CR117=0,0,SUMIFS($P$10:$P116, $C$10:$C116,"&lt;"&amp;$C117, $M$10:$M116,$D117&amp;"_"&amp;DD$9)/CR117)</f>
        <v>0</v>
      </c>
      <c r="DE117" s="262">
        <f ca="1">IF(CS117=0,0,SUMIFS($P$10:$P116, $C$10:$C116,"&lt;"&amp;$C117, $M$10:$M116,$D117&amp;"_"&amp;DE$9)/CS117)</f>
        <v>0</v>
      </c>
      <c r="DF117" s="263">
        <f ca="1">IF(CT117=0,0,SUMIFS($P$10:$P116, $C$10:$C116,"&lt;"&amp;$C117, $M$10:$M116,$D117&amp;"_"&amp;DF$9)/CT117)</f>
        <v>0</v>
      </c>
      <c r="DG117" s="310">
        <f ca="1">IF(CU117=0,0,SUMIFS($P$10:$P116, $C$10:$C116,"&lt;"&amp;$C117, $M$10:$M116,$D117&amp;"_"&amp;DG$9)/CU117)</f>
        <v>0</v>
      </c>
      <c r="DH117" s="263">
        <f ca="1">IF(CV117=0,0,SUMIFS($P$10:$P116, $C$10:$C116,"&lt;"&amp;$C117, $M$10:$M116,$D117&amp;"_"&amp;DH$9)/CV117)</f>
        <v>0</v>
      </c>
      <c r="DI117" s="263">
        <f ca="1">IF(CW117=0,0,SUMIFS($P$10:$P116, $C$10:$C116,"&lt;"&amp;$C117, $M$10:$M116,$D117&amp;"_"&amp;DI$9)/CW117)</f>
        <v>0</v>
      </c>
      <c r="DJ117" s="264">
        <f ca="1">IF(CX117=0,0,SUMIFS($P$10:$P116, $C$10:$C116,"&lt;"&amp;$C117, $M$10:$M116,$D117&amp;"_"&amp;DJ$9)/CX117)</f>
        <v>0</v>
      </c>
      <c r="DK117" s="264">
        <f ca="1">IF(CY117=0,0,SUMIFS($P$10:$P116, $C$10:$C116,"&lt;"&amp;$C117, $M$10:$M116,$D117&amp;"_"&amp;DK$9)/CY117)</f>
        <v>-1</v>
      </c>
      <c r="DM117" s="104"/>
      <c r="DN117" s="306">
        <f t="shared" ca="1" si="222"/>
        <v>-9999</v>
      </c>
      <c r="DO117" s="15">
        <f t="shared" ca="1" si="188"/>
        <v>-9999</v>
      </c>
      <c r="DP117" s="15">
        <f t="shared" ca="1" si="189"/>
        <v>-9999</v>
      </c>
      <c r="DQ117" s="15">
        <f t="shared" ca="1" si="190"/>
        <v>-9999</v>
      </c>
      <c r="DR117" s="15">
        <f t="shared" ca="1" si="191"/>
        <v>-9999</v>
      </c>
      <c r="DS117" s="15">
        <f t="shared" ca="1" si="192"/>
        <v>-9999</v>
      </c>
      <c r="DT117" s="15">
        <f t="shared" ca="1" si="193"/>
        <v>-9999</v>
      </c>
      <c r="DU117" s="15">
        <f t="shared" ca="1" si="194"/>
        <v>-9999</v>
      </c>
      <c r="DV117" s="52">
        <f t="shared" ca="1" si="195"/>
        <v>-9999</v>
      </c>
      <c r="DW117" s="313">
        <f t="shared" ca="1" si="196"/>
        <v>-0.90377915756086913</v>
      </c>
      <c r="DX117" s="52"/>
      <c r="DY117" s="402">
        <f t="shared" ca="1" si="223"/>
        <v>9</v>
      </c>
      <c r="ED117" s="19">
        <f t="shared" ca="1" si="241"/>
        <v>-1</v>
      </c>
      <c r="EE117" s="1">
        <f t="shared" ca="1" si="242"/>
        <v>1</v>
      </c>
      <c r="EF117" s="1">
        <f t="shared" ca="1" si="243"/>
        <v>-1</v>
      </c>
      <c r="EG117" s="2">
        <f t="shared" ca="1" si="244"/>
        <v>1</v>
      </c>
      <c r="EH117" s="1">
        <f t="shared" ca="1" si="245"/>
        <v>-1</v>
      </c>
      <c r="EI117" s="3">
        <f t="shared" ca="1" si="246"/>
        <v>1</v>
      </c>
      <c r="EJ117" s="1">
        <f t="shared" ca="1" si="247"/>
        <v>0</v>
      </c>
      <c r="EK117" s="1">
        <f t="shared" ca="1" si="248"/>
        <v>0</v>
      </c>
      <c r="EL117" s="20">
        <f t="shared" ca="1" si="249"/>
        <v>-1</v>
      </c>
      <c r="EN117" s="86">
        <f ca="1">MAX(0, SUMPRODUCT($ED117:$EL117,OFFSET(DNN!$E$9:$M$9,EN$9,0)) + OFFSET(DNN!$D$9,EN$9,0))</f>
        <v>0</v>
      </c>
      <c r="EO117" s="84">
        <f ca="1">MAX(0, SUMPRODUCT($ED117:$EL117,OFFSET(DNN!$E$9:$M$9,EO$9,0)) + OFFSET(DNN!$D$9,EO$9,0))</f>
        <v>7.2346022384755949E-3</v>
      </c>
      <c r="EP117" s="84">
        <f ca="1">MAX(0, SUMPRODUCT($ED117:$EL117,OFFSET(DNN!$E$9:$M$9,EP$9,0)) + OFFSET(DNN!$D$9,EP$9,0))</f>
        <v>3.6951849750035152E-3</v>
      </c>
      <c r="EQ117" s="84">
        <f ca="1">MAX(0, SUMPRODUCT($ED117:$EL117,OFFSET(DNN!$E$9:$M$9,EQ$9,0)) + OFFSET(DNN!$D$9,EQ$9,0))</f>
        <v>0</v>
      </c>
      <c r="ER117" s="85">
        <f ca="1">MAX(0, SUMPRODUCT($ED117:$EL117,OFFSET(DNN!$E$9:$M$9,ER$9,0)) + OFFSET(DNN!$D$9,ER$9,0))</f>
        <v>0</v>
      </c>
      <c r="ET117" s="86">
        <f ca="1">MAX(0, SUMPRODUCT($EN117:$ER117,OFFSET(DNN!$Q$9:$U$9,ET$9,0)) + OFFSET(DNN!$P$9,ET$9,0))</f>
        <v>4.3954959453478351E-4</v>
      </c>
      <c r="EU117" s="84">
        <f ca="1">MAX(0, SUMPRODUCT($EN117:$ER117,OFFSET(DNN!$Q$9:$U$9,EU$9,0)) + OFFSET(DNN!$P$9,EU$9,0))</f>
        <v>0</v>
      </c>
      <c r="EV117" s="84">
        <f ca="1">MAX(0, SUMPRODUCT($EN117:$ER117,OFFSET(DNN!$Q$9:$U$9,EV$9,0)) + OFFSET(DNN!$P$9,EV$9,0))</f>
        <v>1.2810123361902579E-3</v>
      </c>
      <c r="EW117" s="84">
        <f ca="1">MAX(0, SUMPRODUCT($EN117:$ER117,OFFSET(DNN!$Q$9:$U$9,EW$9,0)) + OFFSET(DNN!$P$9,EW$9,0))</f>
        <v>7.8382123007882457E-4</v>
      </c>
      <c r="EX117" s="85">
        <f ca="1">MAX(0, SUMPRODUCT($EN117:$ER117,OFFSET(DNN!$Q$9:$U$9,EX$9,0)) + OFFSET(DNN!$P$9,EX$9,0))</f>
        <v>0</v>
      </c>
      <c r="EZ117" s="111">
        <f ca="1">SUMPRODUCT($ET117:$EX117,OFFSET(DNN!$Y$9:$AC$9,EZ$9,0)) + OFFSET(DNN!$X$9,EZ$9,0)</f>
        <v>0.43031618918982212</v>
      </c>
      <c r="FA117" s="97">
        <f ca="1">SUMPRODUCT($ET117:$EX117,OFFSET(DNN!$Y$9:$AC$9,FA$9,0)) + OFFSET(DNN!$X$9,FA$9,0)</f>
        <v>-1.2643439935754107E-5</v>
      </c>
      <c r="FB117" s="97">
        <f ca="1">SUMPRODUCT($ET117:$EX117,OFFSET(DNN!$Y$9:$AC$9,FB$9,0)) + OFFSET(DNN!$X$9,FB$9,0)</f>
        <v>1.5239793458415756E-2</v>
      </c>
      <c r="FC117" s="97">
        <f ca="1">SUMPRODUCT($ET117:$EX117,OFFSET(DNN!$Y$9:$AC$9,FC$9,0)) + OFFSET(DNN!$X$9,FC$9,0)</f>
        <v>-8.8749521084055777E-4</v>
      </c>
      <c r="FD117" s="97">
        <f ca="1">SUMPRODUCT($ET117:$EX117,OFFSET(DNN!$Y$9:$AC$9,FD$9,0)) + OFFSET(DNN!$X$9,FD$9,0)</f>
        <v>-4.235816470721872E-4</v>
      </c>
      <c r="FE117" s="97">
        <f ca="1">SUMPRODUCT($ET117:$EX117,OFFSET(DNN!$Y$9:$AC$9,FE$9,0)) + OFFSET(DNN!$X$9,FE$9,0)</f>
        <v>-1.574182761064886E-5</v>
      </c>
      <c r="FF117" s="97">
        <f ca="1">SUMPRODUCT($ET117:$EX117,OFFSET(DNN!$Y$9:$AC$9,FF$9,0)) + OFFSET(DNN!$X$9,FF$9,0)</f>
        <v>-1.3491460223194656E-3</v>
      </c>
      <c r="FG117" s="97">
        <f ca="1">SUMPRODUCT($ET117:$EX117,OFFSET(DNN!$Y$9:$AC$9,FG$9,0)) + OFFSET(DNN!$X$9,FG$9,0)</f>
        <v>-6.2604808096248285E-2</v>
      </c>
      <c r="FH117" s="97">
        <f ca="1">SUMPRODUCT($ET117:$EX117,OFFSET(DNN!$Y$9:$AC$9,FH$9,0)) + OFFSET(DNN!$X$9,FH$9,0)</f>
        <v>8.6810016937029894E-4</v>
      </c>
      <c r="FI117" s="108">
        <f ca="1">SUMPRODUCT($ET117:$EX117,OFFSET(DNN!$Y$9:$AC$9,FI$9,0)) + OFFSET(DNN!$X$9,FI$9,0)</f>
        <v>-1.3182687612562751</v>
      </c>
      <c r="FJ117" s="98">
        <f ca="1">SUMPRODUCT($ET117:$EX117,OFFSET(DNN!$Y$9:$AC$9,FJ$9,0)) + OFFSET(DNN!$X$9,FJ$9,0)</f>
        <v>-2.2535161745939301E-5</v>
      </c>
      <c r="FL117" s="415">
        <f t="shared" ca="1" si="224"/>
        <v>0.43031618918982212</v>
      </c>
      <c r="FM117" s="130">
        <f t="shared" ca="1" si="225"/>
        <v>1</v>
      </c>
      <c r="FN117" s="131">
        <f t="shared" ca="1" si="226"/>
        <v>0.65029522127322903</v>
      </c>
      <c r="FO117" s="131">
        <f t="shared" ca="1" si="227"/>
        <v>0.66028983545318687</v>
      </c>
      <c r="FP117" s="131">
        <f t="shared" ca="1" si="228"/>
        <v>0.64972655813153501</v>
      </c>
      <c r="FQ117" s="131">
        <f t="shared" ca="1" si="229"/>
        <v>0.65002804502111444</v>
      </c>
      <c r="FR117" s="131">
        <f t="shared" ca="1" si="230"/>
        <v>0.65029320640965171</v>
      </c>
      <c r="FS117" s="131">
        <f t="shared" ca="1" si="231"/>
        <v>0.64942668056342145</v>
      </c>
      <c r="FT117" s="131">
        <f t="shared" ca="1" si="232"/>
        <v>0.61083952513994022</v>
      </c>
      <c r="FU117" s="132">
        <f t="shared" ca="1" si="233"/>
        <v>0.6508682169276182</v>
      </c>
      <c r="FV117" s="131">
        <f t="shared" ca="1" si="234"/>
        <v>0.17402001625314881</v>
      </c>
      <c r="FW117" s="83">
        <f t="shared" ca="1" si="235"/>
        <v>-2.2535161742124597E-5</v>
      </c>
    </row>
    <row r="118" spans="1:179">
      <c r="A118" s="19">
        <f t="shared" si="240"/>
        <v>108</v>
      </c>
      <c r="B118" s="1">
        <f t="shared" ca="1" si="236"/>
        <v>0</v>
      </c>
      <c r="C118" s="20">
        <f t="shared" ca="1" si="237"/>
        <v>108</v>
      </c>
      <c r="D118" s="19" t="str">
        <f t="shared" ca="1" si="238"/>
        <v>〇×〇×〇×--〇</v>
      </c>
      <c r="E118" s="7">
        <f t="shared" ca="1" si="206"/>
        <v>9</v>
      </c>
      <c r="F118" s="7">
        <f t="shared" ca="1" si="207"/>
        <v>1</v>
      </c>
      <c r="G118" s="1" t="str">
        <f t="shared" ca="1" si="139"/>
        <v>〇×〇×〇×--〇</v>
      </c>
      <c r="H118" s="20" t="b">
        <f t="shared" ca="1" si="140"/>
        <v>1</v>
      </c>
      <c r="I118" s="22">
        <f t="shared" ca="1" si="239"/>
        <v>-1</v>
      </c>
      <c r="J118" s="1" t="b">
        <f ca="1">(1&lt;COUNTIF(D$10:D118,D118))</f>
        <v>1</v>
      </c>
      <c r="K118" s="1" t="b">
        <f t="shared" ca="1" si="141"/>
        <v>1</v>
      </c>
      <c r="L118" s="7">
        <f ca="1">MATCH(TRUE,K118:K$1048576,FALSE)-1</f>
        <v>0</v>
      </c>
      <c r="M118" s="24" t="str">
        <f t="shared" ca="1" si="142"/>
        <v>〇×〇×〇×--〇_9</v>
      </c>
      <c r="N118" s="25">
        <f t="shared" ca="1" si="208"/>
        <v>-2.2535161742124597E-5</v>
      </c>
      <c r="O118" s="26">
        <f t="shared" ca="1" si="209"/>
        <v>-1</v>
      </c>
      <c r="P118" s="27">
        <f t="shared" ca="1" si="210"/>
        <v>-1</v>
      </c>
      <c r="R118" s="41" t="str">
        <f ca="1">VLOOKUP(S118,cvt!$B$2:$C$4,2,FALSE)&amp;VLOOKUP(T118,cvt!$B$2:$C$4,2,FALSE)&amp;VLOOKUP(U118,cvt!$B$2:$C$4,2,FALSE)
&amp;VLOOKUP(V118,cvt!$B$2:$C$4,2,FALSE)&amp;VLOOKUP(W118,cvt!$B$2:$C$4,2,FALSE)&amp;VLOOKUP(X118,cvt!$B$2:$C$4,2,FALSE)
&amp;VLOOKUP(Y118,cvt!$B$2:$C$4,2,FALSE)&amp;VLOOKUP(Z118,cvt!$B$2:$C$4,2,FALSE)&amp;VLOOKUP(AA118,cvt!$B$2:$C$4,2,FALSE)</f>
        <v>〇×〇×〇×--〇</v>
      </c>
      <c r="S118" s="7">
        <f ca="1">VLOOKUP(MID($D118,S$9+1,1), cvt!$A$2:$B$4,2, FALSE)</f>
        <v>1</v>
      </c>
      <c r="T118" s="7">
        <f ca="1">VLOOKUP(MID($D118,T$9+1,1), cvt!$A$2:$B$4,2, FALSE)</f>
        <v>-1</v>
      </c>
      <c r="U118" s="7">
        <f ca="1">VLOOKUP(MID($D118,U$9+1,1), cvt!$A$2:$B$4,2, FALSE)</f>
        <v>1</v>
      </c>
      <c r="V118" s="17">
        <f ca="1">VLOOKUP(MID($D118,V$9+1,1), cvt!$A$2:$B$4,2, FALSE)</f>
        <v>-1</v>
      </c>
      <c r="W118" s="7">
        <f ca="1">VLOOKUP(MID($D118,W$9+1,1), cvt!$A$2:$B$4,2, FALSE)</f>
        <v>1</v>
      </c>
      <c r="X118" s="18">
        <f ca="1">VLOOKUP(MID($D118,X$9+1,1), cvt!$A$2:$B$4,2, FALSE)</f>
        <v>-1</v>
      </c>
      <c r="Y118" s="7">
        <f ca="1">VLOOKUP(MID($D118,Y$9+1,1), cvt!$A$2:$B$4,2, FALSE)</f>
        <v>0</v>
      </c>
      <c r="Z118" s="7">
        <f ca="1">VLOOKUP(MID($D118,Z$9+1,1), cvt!$A$2:$B$4,2, FALSE)</f>
        <v>0</v>
      </c>
      <c r="AA118" s="42">
        <f ca="1">VLOOKUP(MID($D118,AA$9+1,1), cvt!$A$2:$B$4,2, FALSE)</f>
        <v>1</v>
      </c>
      <c r="AB118" s="7">
        <f t="shared" ca="1" si="211"/>
        <v>1</v>
      </c>
      <c r="AC118" s="50" t="b">
        <f t="shared" ca="1" si="212"/>
        <v>1</v>
      </c>
      <c r="AE118" s="19" t="str">
        <f ca="1">VLOOKUP(AF118,cvt!$B$2:$C$4,2,FALSE)&amp;VLOOKUP(AG118,cvt!$B$2:$C$4,2,FALSE)&amp;VLOOKUP(AH118,cvt!$B$2:$C$4,2,FALSE)
&amp;VLOOKUP(AI118,cvt!$B$2:$C$4,2,FALSE)&amp;VLOOKUP(AJ118,cvt!$B$2:$C$4,2,FALSE)&amp;VLOOKUP(AK118,cvt!$B$2:$C$4,2,FALSE)
&amp;VLOOKUP(AL118,cvt!$B$2:$C$4,2,FALSE)&amp;VLOOKUP(AM118,cvt!$B$2:$C$4,2,FALSE)&amp;VLOOKUP(AN118,cvt!$B$2:$C$4,2,FALSE)</f>
        <v>〇×〇×〇×--〇</v>
      </c>
      <c r="AF118" s="17">
        <f t="shared" ca="1" si="143"/>
        <v>1</v>
      </c>
      <c r="AG118" s="7">
        <f t="shared" ca="1" si="144"/>
        <v>-1</v>
      </c>
      <c r="AH118" s="7">
        <f t="shared" ca="1" si="145"/>
        <v>1</v>
      </c>
      <c r="AI118" s="17">
        <f t="shared" ca="1" si="146"/>
        <v>-1</v>
      </c>
      <c r="AJ118" s="7">
        <f t="shared" ca="1" si="147"/>
        <v>1</v>
      </c>
      <c r="AK118" s="18">
        <f t="shared" ca="1" si="148"/>
        <v>-1</v>
      </c>
      <c r="AL118" s="7">
        <f t="shared" ca="1" si="149"/>
        <v>0</v>
      </c>
      <c r="AM118" s="7">
        <f t="shared" ca="1" si="150"/>
        <v>0</v>
      </c>
      <c r="AN118" s="18">
        <f t="shared" ca="1" si="151"/>
        <v>1</v>
      </c>
      <c r="AO118" s="7">
        <f t="shared" ca="1" si="213"/>
        <v>1</v>
      </c>
      <c r="AP118" s="50" t="b">
        <f t="shared" ca="1" si="152"/>
        <v>1</v>
      </c>
      <c r="AS118" s="22">
        <f t="shared" ca="1" si="214"/>
        <v>0</v>
      </c>
      <c r="AT118" s="7">
        <f t="shared" ca="1" si="153"/>
        <v>0</v>
      </c>
      <c r="AU118" s="7">
        <f t="shared" ca="1" si="154"/>
        <v>0</v>
      </c>
      <c r="AV118" s="7">
        <f t="shared" ca="1" si="155"/>
        <v>0</v>
      </c>
      <c r="AW118" s="7">
        <f t="shared" ca="1" si="156"/>
        <v>0</v>
      </c>
      <c r="AX118" s="7">
        <f t="shared" ca="1" si="157"/>
        <v>0</v>
      </c>
      <c r="AY118" s="7">
        <f t="shared" ca="1" si="158"/>
        <v>0</v>
      </c>
      <c r="AZ118" s="7">
        <f t="shared" ca="1" si="159"/>
        <v>0</v>
      </c>
      <c r="BA118" s="18">
        <f t="shared" ca="1" si="160"/>
        <v>0</v>
      </c>
      <c r="BB118" s="295">
        <f t="shared" ca="1" si="215"/>
        <v>1</v>
      </c>
      <c r="BD118" s="132"/>
      <c r="BE118" s="297">
        <f t="shared" ca="1" si="216"/>
        <v>1</v>
      </c>
      <c r="BF118" s="298">
        <f t="shared" ca="1" si="161"/>
        <v>0.65029522127322903</v>
      </c>
      <c r="BG118" s="298">
        <f t="shared" ca="1" si="162"/>
        <v>0.66028983545318687</v>
      </c>
      <c r="BH118" s="318">
        <f t="shared" ca="1" si="163"/>
        <v>0.64972655813153501</v>
      </c>
      <c r="BI118" s="298">
        <f t="shared" ca="1" si="164"/>
        <v>0.65002804502111444</v>
      </c>
      <c r="BJ118" s="299">
        <f t="shared" ca="1" si="165"/>
        <v>0.65029320640965171</v>
      </c>
      <c r="BK118" s="298">
        <f t="shared" ca="1" si="166"/>
        <v>0.64942668056342145</v>
      </c>
      <c r="BL118" s="298">
        <f t="shared" ca="1" si="167"/>
        <v>0.61083952513994022</v>
      </c>
      <c r="BM118" s="299">
        <f t="shared" ca="1" si="168"/>
        <v>0.6508682169276182</v>
      </c>
      <c r="BN118" s="295">
        <f t="shared" ca="1" si="169"/>
        <v>0.17402001625314881</v>
      </c>
      <c r="BO118" s="248">
        <f t="shared" ca="1" si="217"/>
        <v>-2.2535161742124597E-5</v>
      </c>
      <c r="BQ118" s="304">
        <f t="shared" ca="1" si="218"/>
        <v>0.42412001625314877</v>
      </c>
      <c r="BR118" s="297">
        <f t="shared" ca="1" si="219"/>
        <v>0</v>
      </c>
      <c r="BS118" s="298">
        <f t="shared" ca="1" si="170"/>
        <v>0</v>
      </c>
      <c r="BT118" s="298">
        <f t="shared" ca="1" si="171"/>
        <v>0</v>
      </c>
      <c r="BU118" s="318">
        <f t="shared" ca="1" si="172"/>
        <v>0</v>
      </c>
      <c r="BV118" s="298">
        <f t="shared" ca="1" si="173"/>
        <v>0</v>
      </c>
      <c r="BW118" s="299">
        <f t="shared" ca="1" si="174"/>
        <v>0</v>
      </c>
      <c r="BX118" s="298">
        <f t="shared" ca="1" si="175"/>
        <v>0</v>
      </c>
      <c r="BY118" s="298">
        <f t="shared" ca="1" si="176"/>
        <v>0</v>
      </c>
      <c r="BZ118" s="298">
        <f t="shared" ca="1" si="177"/>
        <v>0</v>
      </c>
      <c r="CA118" s="315">
        <f t="shared" ca="1" si="178"/>
        <v>0.42412001625314877</v>
      </c>
      <c r="CC118" s="52"/>
      <c r="CD118" s="306">
        <f t="shared" ca="1" si="220"/>
        <v>0</v>
      </c>
      <c r="CE118" s="15">
        <f t="shared" ca="1" si="179"/>
        <v>0</v>
      </c>
      <c r="CF118" s="15">
        <f t="shared" ca="1" si="180"/>
        <v>0</v>
      </c>
      <c r="CG118" s="286">
        <f t="shared" ca="1" si="181"/>
        <v>0</v>
      </c>
      <c r="CH118" s="15">
        <f t="shared" ca="1" si="182"/>
        <v>0</v>
      </c>
      <c r="CI118" s="288">
        <f t="shared" ca="1" si="183"/>
        <v>0</v>
      </c>
      <c r="CJ118" s="15">
        <f t="shared" ca="1" si="184"/>
        <v>0</v>
      </c>
      <c r="CK118" s="15">
        <f t="shared" ca="1" si="185"/>
        <v>0</v>
      </c>
      <c r="CL118" s="15">
        <f t="shared" ca="1" si="186"/>
        <v>0</v>
      </c>
      <c r="CM118" s="313">
        <f t="shared" ca="1" si="187"/>
        <v>1</v>
      </c>
      <c r="CO118" s="320">
        <f t="shared" ca="1" si="221"/>
        <v>107</v>
      </c>
      <c r="CP118" s="22">
        <f ca="1">COUNTIFS($C$10:$C117,"&lt;"&amp;$C118,$M$10:$M117,$D118&amp;"_"&amp;CP$9)</f>
        <v>0</v>
      </c>
      <c r="CQ118" s="7">
        <f ca="1">COUNTIFS($C$10:$C117,"&lt;"&amp;$C118,$M$10:$M117,$D118&amp;"_"&amp;CQ$9)</f>
        <v>0</v>
      </c>
      <c r="CR118" s="7">
        <f ca="1">COUNTIFS($C$10:$C117,"&lt;"&amp;$C118,$M$10:$M117,$D118&amp;"_"&amp;CR$9)</f>
        <v>0</v>
      </c>
      <c r="CS118" s="17">
        <f ca="1">COUNTIFS($C$10:$C117,"&lt;"&amp;$C118,$M$10:$M117,$D118&amp;"_"&amp;CS$9)</f>
        <v>0</v>
      </c>
      <c r="CT118" s="7">
        <f ca="1">COUNTIFS($C$10:$C117,"&lt;"&amp;$C118,$M$10:$M117,$D118&amp;"_"&amp;CT$9)</f>
        <v>0</v>
      </c>
      <c r="CU118" s="18">
        <f ca="1">COUNTIFS($C$10:$C117,"&lt;"&amp;$C118,$M$10:$M117,$D118&amp;"_"&amp;CU$9)</f>
        <v>0</v>
      </c>
      <c r="CV118" s="7">
        <f ca="1">COUNTIFS($C$10:$C117,"&lt;"&amp;$C118,$M$10:$M117,$D118&amp;"_"&amp;CV$9)</f>
        <v>0</v>
      </c>
      <c r="CW118" s="7">
        <f ca="1">COUNTIFS($C$10:$C117,"&lt;"&amp;$C118,$M$10:$M117,$D118&amp;"_"&amp;CW$9)</f>
        <v>0</v>
      </c>
      <c r="CX118" s="7">
        <f ca="1">COUNTIFS($C$10:$C117,"&lt;"&amp;$C118,$M$10:$M117,$D118&amp;"_"&amp;CX$9)</f>
        <v>0</v>
      </c>
      <c r="CY118" s="221">
        <f ca="1">COUNTIFS($C$10:$C117,"&lt;"&amp;$C118,$M$10:$M117,$D118&amp;"_"&amp;CY$9)</f>
        <v>107</v>
      </c>
      <c r="DA118" s="20"/>
      <c r="DB118" s="308">
        <f ca="1">IF(CP118=0,0,SUMIFS($P$10:$P117, $C$10:$C117,"&lt;"&amp;$C118, $M$10:$M117,$D118&amp;"_"&amp;DB$9)/CP118)</f>
        <v>0</v>
      </c>
      <c r="DC118" s="263">
        <f ca="1">IF(CQ118=0,0,SUMIFS($P$10:$P117, $C$10:$C117,"&lt;"&amp;$C118, $M$10:$M117,$D118&amp;"_"&amp;DC$9)/CQ118)</f>
        <v>0</v>
      </c>
      <c r="DD118" s="263">
        <f ca="1">IF(CR118=0,0,SUMIFS($P$10:$P117, $C$10:$C117,"&lt;"&amp;$C118, $M$10:$M117,$D118&amp;"_"&amp;DD$9)/CR118)</f>
        <v>0</v>
      </c>
      <c r="DE118" s="262">
        <f ca="1">IF(CS118=0,0,SUMIFS($P$10:$P117, $C$10:$C117,"&lt;"&amp;$C118, $M$10:$M117,$D118&amp;"_"&amp;DE$9)/CS118)</f>
        <v>0</v>
      </c>
      <c r="DF118" s="263">
        <f ca="1">IF(CT118=0,0,SUMIFS($P$10:$P117, $C$10:$C117,"&lt;"&amp;$C118, $M$10:$M117,$D118&amp;"_"&amp;DF$9)/CT118)</f>
        <v>0</v>
      </c>
      <c r="DG118" s="310">
        <f ca="1">IF(CU118=0,0,SUMIFS($P$10:$P117, $C$10:$C117,"&lt;"&amp;$C118, $M$10:$M117,$D118&amp;"_"&amp;DG$9)/CU118)</f>
        <v>0</v>
      </c>
      <c r="DH118" s="263">
        <f ca="1">IF(CV118=0,0,SUMIFS($P$10:$P117, $C$10:$C117,"&lt;"&amp;$C118, $M$10:$M117,$D118&amp;"_"&amp;DH$9)/CV118)</f>
        <v>0</v>
      </c>
      <c r="DI118" s="263">
        <f ca="1">IF(CW118=0,0,SUMIFS($P$10:$P117, $C$10:$C117,"&lt;"&amp;$C118, $M$10:$M117,$D118&amp;"_"&amp;DI$9)/CW118)</f>
        <v>0</v>
      </c>
      <c r="DJ118" s="264">
        <f ca="1">IF(CX118=0,0,SUMIFS($P$10:$P117, $C$10:$C117,"&lt;"&amp;$C118, $M$10:$M117,$D118&amp;"_"&amp;DJ$9)/CX118)</f>
        <v>0</v>
      </c>
      <c r="DK118" s="264">
        <f ca="1">IF(CY118=0,0,SUMIFS($P$10:$P117, $C$10:$C117,"&lt;"&amp;$C118, $M$10:$M117,$D118&amp;"_"&amp;DK$9)/CY118)</f>
        <v>-1</v>
      </c>
      <c r="DM118" s="104"/>
      <c r="DN118" s="306">
        <f t="shared" ca="1" si="222"/>
        <v>-9999</v>
      </c>
      <c r="DO118" s="15">
        <f t="shared" ca="1" si="188"/>
        <v>-9999</v>
      </c>
      <c r="DP118" s="15">
        <f t="shared" ca="1" si="189"/>
        <v>-9999</v>
      </c>
      <c r="DQ118" s="15">
        <f t="shared" ca="1" si="190"/>
        <v>-9999</v>
      </c>
      <c r="DR118" s="15">
        <f t="shared" ca="1" si="191"/>
        <v>-9999</v>
      </c>
      <c r="DS118" s="15">
        <f t="shared" ca="1" si="192"/>
        <v>-9999</v>
      </c>
      <c r="DT118" s="15">
        <f t="shared" ca="1" si="193"/>
        <v>-9999</v>
      </c>
      <c r="DU118" s="15">
        <f t="shared" ca="1" si="194"/>
        <v>-9999</v>
      </c>
      <c r="DV118" s="52">
        <f t="shared" ca="1" si="195"/>
        <v>-9999</v>
      </c>
      <c r="DW118" s="313">
        <f t="shared" ca="1" si="196"/>
        <v>-0.90422147747417958</v>
      </c>
      <c r="DX118" s="52"/>
      <c r="DY118" s="402">
        <f t="shared" ca="1" si="223"/>
        <v>9</v>
      </c>
      <c r="ED118" s="19">
        <f t="shared" ca="1" si="241"/>
        <v>-1</v>
      </c>
      <c r="EE118" s="1">
        <f t="shared" ca="1" si="242"/>
        <v>1</v>
      </c>
      <c r="EF118" s="1">
        <f t="shared" ca="1" si="243"/>
        <v>-1</v>
      </c>
      <c r="EG118" s="2">
        <f t="shared" ca="1" si="244"/>
        <v>1</v>
      </c>
      <c r="EH118" s="1">
        <f t="shared" ca="1" si="245"/>
        <v>-1</v>
      </c>
      <c r="EI118" s="3">
        <f t="shared" ca="1" si="246"/>
        <v>1</v>
      </c>
      <c r="EJ118" s="1">
        <f t="shared" ca="1" si="247"/>
        <v>0</v>
      </c>
      <c r="EK118" s="1">
        <f t="shared" ca="1" si="248"/>
        <v>0</v>
      </c>
      <c r="EL118" s="20">
        <f t="shared" ca="1" si="249"/>
        <v>-1</v>
      </c>
      <c r="EN118" s="86">
        <f ca="1">MAX(0, SUMPRODUCT($ED118:$EL118,OFFSET(DNN!$E$9:$M$9,EN$9,0)) + OFFSET(DNN!$D$9,EN$9,0))</f>
        <v>0</v>
      </c>
      <c r="EO118" s="84">
        <f ca="1">MAX(0, SUMPRODUCT($ED118:$EL118,OFFSET(DNN!$E$9:$M$9,EO$9,0)) + OFFSET(DNN!$D$9,EO$9,0))</f>
        <v>7.2346022384755949E-3</v>
      </c>
      <c r="EP118" s="84">
        <f ca="1">MAX(0, SUMPRODUCT($ED118:$EL118,OFFSET(DNN!$E$9:$M$9,EP$9,0)) + OFFSET(DNN!$D$9,EP$9,0))</f>
        <v>3.6951849750035152E-3</v>
      </c>
      <c r="EQ118" s="84">
        <f ca="1">MAX(0, SUMPRODUCT($ED118:$EL118,OFFSET(DNN!$E$9:$M$9,EQ$9,0)) + OFFSET(DNN!$D$9,EQ$9,0))</f>
        <v>0</v>
      </c>
      <c r="ER118" s="85">
        <f ca="1">MAX(0, SUMPRODUCT($ED118:$EL118,OFFSET(DNN!$E$9:$M$9,ER$9,0)) + OFFSET(DNN!$D$9,ER$9,0))</f>
        <v>0</v>
      </c>
      <c r="ET118" s="86">
        <f ca="1">MAX(0, SUMPRODUCT($EN118:$ER118,OFFSET(DNN!$Q$9:$U$9,ET$9,0)) + OFFSET(DNN!$P$9,ET$9,0))</f>
        <v>4.3954959453478351E-4</v>
      </c>
      <c r="EU118" s="84">
        <f ca="1">MAX(0, SUMPRODUCT($EN118:$ER118,OFFSET(DNN!$Q$9:$U$9,EU$9,0)) + OFFSET(DNN!$P$9,EU$9,0))</f>
        <v>0</v>
      </c>
      <c r="EV118" s="84">
        <f ca="1">MAX(0, SUMPRODUCT($EN118:$ER118,OFFSET(DNN!$Q$9:$U$9,EV$9,0)) + OFFSET(DNN!$P$9,EV$9,0))</f>
        <v>1.2810123361902579E-3</v>
      </c>
      <c r="EW118" s="84">
        <f ca="1">MAX(0, SUMPRODUCT($EN118:$ER118,OFFSET(DNN!$Q$9:$U$9,EW$9,0)) + OFFSET(DNN!$P$9,EW$9,0))</f>
        <v>7.8382123007882457E-4</v>
      </c>
      <c r="EX118" s="85">
        <f ca="1">MAX(0, SUMPRODUCT($EN118:$ER118,OFFSET(DNN!$Q$9:$U$9,EX$9,0)) + OFFSET(DNN!$P$9,EX$9,0))</f>
        <v>0</v>
      </c>
      <c r="EZ118" s="111">
        <f ca="1">SUMPRODUCT($ET118:$EX118,OFFSET(DNN!$Y$9:$AC$9,EZ$9,0)) + OFFSET(DNN!$X$9,EZ$9,0)</f>
        <v>0.43031618918982212</v>
      </c>
      <c r="FA118" s="97">
        <f ca="1">SUMPRODUCT($ET118:$EX118,OFFSET(DNN!$Y$9:$AC$9,FA$9,0)) + OFFSET(DNN!$X$9,FA$9,0)</f>
        <v>-1.2643439935754107E-5</v>
      </c>
      <c r="FB118" s="97">
        <f ca="1">SUMPRODUCT($ET118:$EX118,OFFSET(DNN!$Y$9:$AC$9,FB$9,0)) + OFFSET(DNN!$X$9,FB$9,0)</f>
        <v>1.5239793458415756E-2</v>
      </c>
      <c r="FC118" s="97">
        <f ca="1">SUMPRODUCT($ET118:$EX118,OFFSET(DNN!$Y$9:$AC$9,FC$9,0)) + OFFSET(DNN!$X$9,FC$9,0)</f>
        <v>-8.8749521084055777E-4</v>
      </c>
      <c r="FD118" s="97">
        <f ca="1">SUMPRODUCT($ET118:$EX118,OFFSET(DNN!$Y$9:$AC$9,FD$9,0)) + OFFSET(DNN!$X$9,FD$9,0)</f>
        <v>-4.235816470721872E-4</v>
      </c>
      <c r="FE118" s="97">
        <f ca="1">SUMPRODUCT($ET118:$EX118,OFFSET(DNN!$Y$9:$AC$9,FE$9,0)) + OFFSET(DNN!$X$9,FE$9,0)</f>
        <v>-1.574182761064886E-5</v>
      </c>
      <c r="FF118" s="97">
        <f ca="1">SUMPRODUCT($ET118:$EX118,OFFSET(DNN!$Y$9:$AC$9,FF$9,0)) + OFFSET(DNN!$X$9,FF$9,0)</f>
        <v>-1.3491460223194656E-3</v>
      </c>
      <c r="FG118" s="97">
        <f ca="1">SUMPRODUCT($ET118:$EX118,OFFSET(DNN!$Y$9:$AC$9,FG$9,0)) + OFFSET(DNN!$X$9,FG$9,0)</f>
        <v>-6.2604808096248285E-2</v>
      </c>
      <c r="FH118" s="97">
        <f ca="1">SUMPRODUCT($ET118:$EX118,OFFSET(DNN!$Y$9:$AC$9,FH$9,0)) + OFFSET(DNN!$X$9,FH$9,0)</f>
        <v>8.6810016937029894E-4</v>
      </c>
      <c r="FI118" s="108">
        <f ca="1">SUMPRODUCT($ET118:$EX118,OFFSET(DNN!$Y$9:$AC$9,FI$9,0)) + OFFSET(DNN!$X$9,FI$9,0)</f>
        <v>-1.3182687612562751</v>
      </c>
      <c r="FJ118" s="98">
        <f ca="1">SUMPRODUCT($ET118:$EX118,OFFSET(DNN!$Y$9:$AC$9,FJ$9,0)) + OFFSET(DNN!$X$9,FJ$9,0)</f>
        <v>-2.2535161745939301E-5</v>
      </c>
      <c r="FL118" s="415">
        <f t="shared" ca="1" si="224"/>
        <v>0.43031618918982212</v>
      </c>
      <c r="FM118" s="130">
        <f t="shared" ca="1" si="225"/>
        <v>1</v>
      </c>
      <c r="FN118" s="131">
        <f t="shared" ca="1" si="226"/>
        <v>0.65029522127322903</v>
      </c>
      <c r="FO118" s="131">
        <f t="shared" ca="1" si="227"/>
        <v>0.66028983545318687</v>
      </c>
      <c r="FP118" s="131">
        <f t="shared" ca="1" si="228"/>
        <v>0.64972655813153501</v>
      </c>
      <c r="FQ118" s="131">
        <f t="shared" ca="1" si="229"/>
        <v>0.65002804502111444</v>
      </c>
      <c r="FR118" s="131">
        <f t="shared" ca="1" si="230"/>
        <v>0.65029320640965171</v>
      </c>
      <c r="FS118" s="131">
        <f t="shared" ca="1" si="231"/>
        <v>0.64942668056342145</v>
      </c>
      <c r="FT118" s="131">
        <f t="shared" ca="1" si="232"/>
        <v>0.61083952513994022</v>
      </c>
      <c r="FU118" s="132">
        <f t="shared" ca="1" si="233"/>
        <v>0.6508682169276182</v>
      </c>
      <c r="FV118" s="131">
        <f t="shared" ca="1" si="234"/>
        <v>0.17402001625314881</v>
      </c>
      <c r="FW118" s="83">
        <f t="shared" ca="1" si="235"/>
        <v>-2.2535161742124597E-5</v>
      </c>
    </row>
    <row r="119" spans="1:179">
      <c r="A119" s="19">
        <f t="shared" si="240"/>
        <v>109</v>
      </c>
      <c r="B119" s="1">
        <f t="shared" ca="1" si="236"/>
        <v>0</v>
      </c>
      <c r="C119" s="20">
        <f t="shared" ca="1" si="237"/>
        <v>109</v>
      </c>
      <c r="D119" s="19" t="str">
        <f t="shared" ca="1" si="238"/>
        <v>〇×〇×〇×--〇</v>
      </c>
      <c r="E119" s="7">
        <f t="shared" ca="1" si="206"/>
        <v>9</v>
      </c>
      <c r="F119" s="7">
        <f t="shared" ca="1" si="207"/>
        <v>1</v>
      </c>
      <c r="G119" s="1" t="str">
        <f t="shared" ca="1" si="139"/>
        <v>〇×〇×〇×--〇</v>
      </c>
      <c r="H119" s="20" t="b">
        <f t="shared" ca="1" si="140"/>
        <v>1</v>
      </c>
      <c r="I119" s="22">
        <f t="shared" ca="1" si="239"/>
        <v>-1</v>
      </c>
      <c r="J119" s="1" t="b">
        <f ca="1">(1&lt;COUNTIF(D$10:D119,D119))</f>
        <v>1</v>
      </c>
      <c r="K119" s="1" t="b">
        <f t="shared" ca="1" si="141"/>
        <v>1</v>
      </c>
      <c r="L119" s="7">
        <f ca="1">MATCH(TRUE,K119:K$1048576,FALSE)-1</f>
        <v>0</v>
      </c>
      <c r="M119" s="24" t="str">
        <f t="shared" ca="1" si="142"/>
        <v>〇×〇×〇×--〇_9</v>
      </c>
      <c r="N119" s="25">
        <f t="shared" ca="1" si="208"/>
        <v>-2.2535161742124597E-5</v>
      </c>
      <c r="O119" s="26">
        <f t="shared" ca="1" si="209"/>
        <v>-1</v>
      </c>
      <c r="P119" s="27">
        <f t="shared" ca="1" si="210"/>
        <v>-1</v>
      </c>
      <c r="R119" s="41" t="str">
        <f ca="1">VLOOKUP(S119,cvt!$B$2:$C$4,2,FALSE)&amp;VLOOKUP(T119,cvt!$B$2:$C$4,2,FALSE)&amp;VLOOKUP(U119,cvt!$B$2:$C$4,2,FALSE)
&amp;VLOOKUP(V119,cvt!$B$2:$C$4,2,FALSE)&amp;VLOOKUP(W119,cvt!$B$2:$C$4,2,FALSE)&amp;VLOOKUP(X119,cvt!$B$2:$C$4,2,FALSE)
&amp;VLOOKUP(Y119,cvt!$B$2:$C$4,2,FALSE)&amp;VLOOKUP(Z119,cvt!$B$2:$C$4,2,FALSE)&amp;VLOOKUP(AA119,cvt!$B$2:$C$4,2,FALSE)</f>
        <v>〇×〇×〇×--〇</v>
      </c>
      <c r="S119" s="7">
        <f ca="1">VLOOKUP(MID($D119,S$9+1,1), cvt!$A$2:$B$4,2, FALSE)</f>
        <v>1</v>
      </c>
      <c r="T119" s="7">
        <f ca="1">VLOOKUP(MID($D119,T$9+1,1), cvt!$A$2:$B$4,2, FALSE)</f>
        <v>-1</v>
      </c>
      <c r="U119" s="7">
        <f ca="1">VLOOKUP(MID($D119,U$9+1,1), cvt!$A$2:$B$4,2, FALSE)</f>
        <v>1</v>
      </c>
      <c r="V119" s="17">
        <f ca="1">VLOOKUP(MID($D119,V$9+1,1), cvt!$A$2:$B$4,2, FALSE)</f>
        <v>-1</v>
      </c>
      <c r="W119" s="7">
        <f ca="1">VLOOKUP(MID($D119,W$9+1,1), cvt!$A$2:$B$4,2, FALSE)</f>
        <v>1</v>
      </c>
      <c r="X119" s="18">
        <f ca="1">VLOOKUP(MID($D119,X$9+1,1), cvt!$A$2:$B$4,2, FALSE)</f>
        <v>-1</v>
      </c>
      <c r="Y119" s="7">
        <f ca="1">VLOOKUP(MID($D119,Y$9+1,1), cvt!$A$2:$B$4,2, FALSE)</f>
        <v>0</v>
      </c>
      <c r="Z119" s="7">
        <f ca="1">VLOOKUP(MID($D119,Z$9+1,1), cvt!$A$2:$B$4,2, FALSE)</f>
        <v>0</v>
      </c>
      <c r="AA119" s="42">
        <f ca="1">VLOOKUP(MID($D119,AA$9+1,1), cvt!$A$2:$B$4,2, FALSE)</f>
        <v>1</v>
      </c>
      <c r="AB119" s="7">
        <f t="shared" ca="1" si="211"/>
        <v>1</v>
      </c>
      <c r="AC119" s="50" t="b">
        <f t="shared" ca="1" si="212"/>
        <v>1</v>
      </c>
      <c r="AE119" s="19" t="str">
        <f ca="1">VLOOKUP(AF119,cvt!$B$2:$C$4,2,FALSE)&amp;VLOOKUP(AG119,cvt!$B$2:$C$4,2,FALSE)&amp;VLOOKUP(AH119,cvt!$B$2:$C$4,2,FALSE)
&amp;VLOOKUP(AI119,cvt!$B$2:$C$4,2,FALSE)&amp;VLOOKUP(AJ119,cvt!$B$2:$C$4,2,FALSE)&amp;VLOOKUP(AK119,cvt!$B$2:$C$4,2,FALSE)
&amp;VLOOKUP(AL119,cvt!$B$2:$C$4,2,FALSE)&amp;VLOOKUP(AM119,cvt!$B$2:$C$4,2,FALSE)&amp;VLOOKUP(AN119,cvt!$B$2:$C$4,2,FALSE)</f>
        <v>〇×〇×〇×--〇</v>
      </c>
      <c r="AF119" s="17">
        <f t="shared" ca="1" si="143"/>
        <v>1</v>
      </c>
      <c r="AG119" s="7">
        <f t="shared" ca="1" si="144"/>
        <v>-1</v>
      </c>
      <c r="AH119" s="7">
        <f t="shared" ca="1" si="145"/>
        <v>1</v>
      </c>
      <c r="AI119" s="17">
        <f t="shared" ca="1" si="146"/>
        <v>-1</v>
      </c>
      <c r="AJ119" s="7">
        <f t="shared" ca="1" si="147"/>
        <v>1</v>
      </c>
      <c r="AK119" s="18">
        <f t="shared" ca="1" si="148"/>
        <v>-1</v>
      </c>
      <c r="AL119" s="7">
        <f t="shared" ca="1" si="149"/>
        <v>0</v>
      </c>
      <c r="AM119" s="7">
        <f t="shared" ca="1" si="150"/>
        <v>0</v>
      </c>
      <c r="AN119" s="18">
        <f t="shared" ca="1" si="151"/>
        <v>1</v>
      </c>
      <c r="AO119" s="7">
        <f t="shared" ca="1" si="213"/>
        <v>1</v>
      </c>
      <c r="AP119" s="50" t="b">
        <f t="shared" ca="1" si="152"/>
        <v>1</v>
      </c>
      <c r="AS119" s="22">
        <f t="shared" ca="1" si="214"/>
        <v>0</v>
      </c>
      <c r="AT119" s="7">
        <f t="shared" ca="1" si="153"/>
        <v>0</v>
      </c>
      <c r="AU119" s="7">
        <f t="shared" ca="1" si="154"/>
        <v>0</v>
      </c>
      <c r="AV119" s="7">
        <f t="shared" ca="1" si="155"/>
        <v>0</v>
      </c>
      <c r="AW119" s="7">
        <f t="shared" ca="1" si="156"/>
        <v>0</v>
      </c>
      <c r="AX119" s="7">
        <f t="shared" ca="1" si="157"/>
        <v>0</v>
      </c>
      <c r="AY119" s="7">
        <f t="shared" ca="1" si="158"/>
        <v>0</v>
      </c>
      <c r="AZ119" s="7">
        <f t="shared" ca="1" si="159"/>
        <v>0</v>
      </c>
      <c r="BA119" s="18">
        <f t="shared" ca="1" si="160"/>
        <v>0</v>
      </c>
      <c r="BB119" s="295">
        <f t="shared" ca="1" si="215"/>
        <v>1</v>
      </c>
      <c r="BD119" s="132"/>
      <c r="BE119" s="297">
        <f t="shared" ca="1" si="216"/>
        <v>1</v>
      </c>
      <c r="BF119" s="298">
        <f t="shared" ca="1" si="161"/>
        <v>0.65029522127322903</v>
      </c>
      <c r="BG119" s="298">
        <f t="shared" ca="1" si="162"/>
        <v>0.66028983545318687</v>
      </c>
      <c r="BH119" s="318">
        <f t="shared" ca="1" si="163"/>
        <v>0.64972655813153501</v>
      </c>
      <c r="BI119" s="298">
        <f t="shared" ca="1" si="164"/>
        <v>0.65002804502111444</v>
      </c>
      <c r="BJ119" s="299">
        <f t="shared" ca="1" si="165"/>
        <v>0.65029320640965171</v>
      </c>
      <c r="BK119" s="298">
        <f t="shared" ca="1" si="166"/>
        <v>0.64942668056342145</v>
      </c>
      <c r="BL119" s="298">
        <f t="shared" ca="1" si="167"/>
        <v>0.61083952513994022</v>
      </c>
      <c r="BM119" s="299">
        <f t="shared" ca="1" si="168"/>
        <v>0.6508682169276182</v>
      </c>
      <c r="BN119" s="295">
        <f t="shared" ca="1" si="169"/>
        <v>0.17402001625314881</v>
      </c>
      <c r="BO119" s="248">
        <f t="shared" ca="1" si="217"/>
        <v>-2.2535161742124597E-5</v>
      </c>
      <c r="BQ119" s="304">
        <f t="shared" ca="1" si="218"/>
        <v>0.42412001625314877</v>
      </c>
      <c r="BR119" s="297">
        <f t="shared" ca="1" si="219"/>
        <v>0</v>
      </c>
      <c r="BS119" s="298">
        <f t="shared" ca="1" si="170"/>
        <v>0</v>
      </c>
      <c r="BT119" s="298">
        <f t="shared" ca="1" si="171"/>
        <v>0</v>
      </c>
      <c r="BU119" s="318">
        <f t="shared" ca="1" si="172"/>
        <v>0</v>
      </c>
      <c r="BV119" s="298">
        <f t="shared" ca="1" si="173"/>
        <v>0</v>
      </c>
      <c r="BW119" s="299">
        <f t="shared" ca="1" si="174"/>
        <v>0</v>
      </c>
      <c r="BX119" s="298">
        <f t="shared" ca="1" si="175"/>
        <v>0</v>
      </c>
      <c r="BY119" s="298">
        <f t="shared" ca="1" si="176"/>
        <v>0</v>
      </c>
      <c r="BZ119" s="298">
        <f t="shared" ca="1" si="177"/>
        <v>0</v>
      </c>
      <c r="CA119" s="315">
        <f t="shared" ca="1" si="178"/>
        <v>0.42412001625314877</v>
      </c>
      <c r="CC119" s="52"/>
      <c r="CD119" s="306">
        <f t="shared" ca="1" si="220"/>
        <v>0</v>
      </c>
      <c r="CE119" s="15">
        <f t="shared" ca="1" si="179"/>
        <v>0</v>
      </c>
      <c r="CF119" s="15">
        <f t="shared" ca="1" si="180"/>
        <v>0</v>
      </c>
      <c r="CG119" s="286">
        <f t="shared" ca="1" si="181"/>
        <v>0</v>
      </c>
      <c r="CH119" s="15">
        <f t="shared" ca="1" si="182"/>
        <v>0</v>
      </c>
      <c r="CI119" s="288">
        <f t="shared" ca="1" si="183"/>
        <v>0</v>
      </c>
      <c r="CJ119" s="15">
        <f t="shared" ca="1" si="184"/>
        <v>0</v>
      </c>
      <c r="CK119" s="15">
        <f t="shared" ca="1" si="185"/>
        <v>0</v>
      </c>
      <c r="CL119" s="15">
        <f t="shared" ca="1" si="186"/>
        <v>0</v>
      </c>
      <c r="CM119" s="313">
        <f t="shared" ca="1" si="187"/>
        <v>1</v>
      </c>
      <c r="CO119" s="320">
        <f t="shared" ca="1" si="221"/>
        <v>108</v>
      </c>
      <c r="CP119" s="22">
        <f ca="1">COUNTIFS($C$10:$C118,"&lt;"&amp;$C119,$M$10:$M118,$D119&amp;"_"&amp;CP$9)</f>
        <v>0</v>
      </c>
      <c r="CQ119" s="7">
        <f ca="1">COUNTIFS($C$10:$C118,"&lt;"&amp;$C119,$M$10:$M118,$D119&amp;"_"&amp;CQ$9)</f>
        <v>0</v>
      </c>
      <c r="CR119" s="7">
        <f ca="1">COUNTIFS($C$10:$C118,"&lt;"&amp;$C119,$M$10:$M118,$D119&amp;"_"&amp;CR$9)</f>
        <v>0</v>
      </c>
      <c r="CS119" s="17">
        <f ca="1">COUNTIFS($C$10:$C118,"&lt;"&amp;$C119,$M$10:$M118,$D119&amp;"_"&amp;CS$9)</f>
        <v>0</v>
      </c>
      <c r="CT119" s="7">
        <f ca="1">COUNTIFS($C$10:$C118,"&lt;"&amp;$C119,$M$10:$M118,$D119&amp;"_"&amp;CT$9)</f>
        <v>0</v>
      </c>
      <c r="CU119" s="18">
        <f ca="1">COUNTIFS($C$10:$C118,"&lt;"&amp;$C119,$M$10:$M118,$D119&amp;"_"&amp;CU$9)</f>
        <v>0</v>
      </c>
      <c r="CV119" s="7">
        <f ca="1">COUNTIFS($C$10:$C118,"&lt;"&amp;$C119,$M$10:$M118,$D119&amp;"_"&amp;CV$9)</f>
        <v>0</v>
      </c>
      <c r="CW119" s="7">
        <f ca="1">COUNTIFS($C$10:$C118,"&lt;"&amp;$C119,$M$10:$M118,$D119&amp;"_"&amp;CW$9)</f>
        <v>0</v>
      </c>
      <c r="CX119" s="7">
        <f ca="1">COUNTIFS($C$10:$C118,"&lt;"&amp;$C119,$M$10:$M118,$D119&amp;"_"&amp;CX$9)</f>
        <v>0</v>
      </c>
      <c r="CY119" s="221">
        <f ca="1">COUNTIFS($C$10:$C118,"&lt;"&amp;$C119,$M$10:$M118,$D119&amp;"_"&amp;CY$9)</f>
        <v>108</v>
      </c>
      <c r="DA119" s="20"/>
      <c r="DB119" s="308">
        <f ca="1">IF(CP119=0,0,SUMIFS($P$10:$P118, $C$10:$C118,"&lt;"&amp;$C119, $M$10:$M118,$D119&amp;"_"&amp;DB$9)/CP119)</f>
        <v>0</v>
      </c>
      <c r="DC119" s="263">
        <f ca="1">IF(CQ119=0,0,SUMIFS($P$10:$P118, $C$10:$C118,"&lt;"&amp;$C119, $M$10:$M118,$D119&amp;"_"&amp;DC$9)/CQ119)</f>
        <v>0</v>
      </c>
      <c r="DD119" s="263">
        <f ca="1">IF(CR119=0,0,SUMIFS($P$10:$P118, $C$10:$C118,"&lt;"&amp;$C119, $M$10:$M118,$D119&amp;"_"&amp;DD$9)/CR119)</f>
        <v>0</v>
      </c>
      <c r="DE119" s="262">
        <f ca="1">IF(CS119=0,0,SUMIFS($P$10:$P118, $C$10:$C118,"&lt;"&amp;$C119, $M$10:$M118,$D119&amp;"_"&amp;DE$9)/CS119)</f>
        <v>0</v>
      </c>
      <c r="DF119" s="263">
        <f ca="1">IF(CT119=0,0,SUMIFS($P$10:$P118, $C$10:$C118,"&lt;"&amp;$C119, $M$10:$M118,$D119&amp;"_"&amp;DF$9)/CT119)</f>
        <v>0</v>
      </c>
      <c r="DG119" s="310">
        <f ca="1">IF(CU119=0,0,SUMIFS($P$10:$P118, $C$10:$C118,"&lt;"&amp;$C119, $M$10:$M118,$D119&amp;"_"&amp;DG$9)/CU119)</f>
        <v>0</v>
      </c>
      <c r="DH119" s="263">
        <f ca="1">IF(CV119=0,0,SUMIFS($P$10:$P118, $C$10:$C118,"&lt;"&amp;$C119, $M$10:$M118,$D119&amp;"_"&amp;DH$9)/CV119)</f>
        <v>0</v>
      </c>
      <c r="DI119" s="263">
        <f ca="1">IF(CW119=0,0,SUMIFS($P$10:$P118, $C$10:$C118,"&lt;"&amp;$C119, $M$10:$M118,$D119&amp;"_"&amp;DI$9)/CW119)</f>
        <v>0</v>
      </c>
      <c r="DJ119" s="264">
        <f ca="1">IF(CX119=0,0,SUMIFS($P$10:$P118, $C$10:$C118,"&lt;"&amp;$C119, $M$10:$M118,$D119&amp;"_"&amp;DJ$9)/CX119)</f>
        <v>0</v>
      </c>
      <c r="DK119" s="264">
        <f ca="1">IF(CY119=0,0,SUMIFS($P$10:$P118, $C$10:$C118,"&lt;"&amp;$C119, $M$10:$M118,$D119&amp;"_"&amp;DK$9)/CY119)</f>
        <v>-1</v>
      </c>
      <c r="DM119" s="104"/>
      <c r="DN119" s="306">
        <f t="shared" ca="1" si="222"/>
        <v>-9999</v>
      </c>
      <c r="DO119" s="15">
        <f t="shared" ca="1" si="188"/>
        <v>-9999</v>
      </c>
      <c r="DP119" s="15">
        <f t="shared" ca="1" si="189"/>
        <v>-9999</v>
      </c>
      <c r="DQ119" s="15">
        <f t="shared" ca="1" si="190"/>
        <v>-9999</v>
      </c>
      <c r="DR119" s="15">
        <f t="shared" ca="1" si="191"/>
        <v>-9999</v>
      </c>
      <c r="DS119" s="15">
        <f t="shared" ca="1" si="192"/>
        <v>-9999</v>
      </c>
      <c r="DT119" s="15">
        <f t="shared" ca="1" si="193"/>
        <v>-9999</v>
      </c>
      <c r="DU119" s="15">
        <f t="shared" ca="1" si="194"/>
        <v>-9999</v>
      </c>
      <c r="DV119" s="52">
        <f t="shared" ca="1" si="195"/>
        <v>-9999</v>
      </c>
      <c r="DW119" s="313">
        <f t="shared" ca="1" si="196"/>
        <v>-0.9046577537118049</v>
      </c>
      <c r="DX119" s="52"/>
      <c r="DY119" s="402">
        <f t="shared" ca="1" si="223"/>
        <v>9</v>
      </c>
      <c r="ED119" s="19">
        <f t="shared" ca="1" si="241"/>
        <v>-1</v>
      </c>
      <c r="EE119" s="1">
        <f t="shared" ca="1" si="242"/>
        <v>1</v>
      </c>
      <c r="EF119" s="1">
        <f t="shared" ca="1" si="243"/>
        <v>-1</v>
      </c>
      <c r="EG119" s="2">
        <f t="shared" ca="1" si="244"/>
        <v>1</v>
      </c>
      <c r="EH119" s="1">
        <f t="shared" ca="1" si="245"/>
        <v>-1</v>
      </c>
      <c r="EI119" s="3">
        <f t="shared" ca="1" si="246"/>
        <v>1</v>
      </c>
      <c r="EJ119" s="1">
        <f t="shared" ca="1" si="247"/>
        <v>0</v>
      </c>
      <c r="EK119" s="1">
        <f t="shared" ca="1" si="248"/>
        <v>0</v>
      </c>
      <c r="EL119" s="20">
        <f t="shared" ca="1" si="249"/>
        <v>-1</v>
      </c>
      <c r="EN119" s="86">
        <f ca="1">MAX(0, SUMPRODUCT($ED119:$EL119,OFFSET(DNN!$E$9:$M$9,EN$9,0)) + OFFSET(DNN!$D$9,EN$9,0))</f>
        <v>0</v>
      </c>
      <c r="EO119" s="84">
        <f ca="1">MAX(0, SUMPRODUCT($ED119:$EL119,OFFSET(DNN!$E$9:$M$9,EO$9,0)) + OFFSET(DNN!$D$9,EO$9,0))</f>
        <v>7.2346022384755949E-3</v>
      </c>
      <c r="EP119" s="84">
        <f ca="1">MAX(0, SUMPRODUCT($ED119:$EL119,OFFSET(DNN!$E$9:$M$9,EP$9,0)) + OFFSET(DNN!$D$9,EP$9,0))</f>
        <v>3.6951849750035152E-3</v>
      </c>
      <c r="EQ119" s="84">
        <f ca="1">MAX(0, SUMPRODUCT($ED119:$EL119,OFFSET(DNN!$E$9:$M$9,EQ$9,0)) + OFFSET(DNN!$D$9,EQ$9,0))</f>
        <v>0</v>
      </c>
      <c r="ER119" s="85">
        <f ca="1">MAX(0, SUMPRODUCT($ED119:$EL119,OFFSET(DNN!$E$9:$M$9,ER$9,0)) + OFFSET(DNN!$D$9,ER$9,0))</f>
        <v>0</v>
      </c>
      <c r="ET119" s="86">
        <f ca="1">MAX(0, SUMPRODUCT($EN119:$ER119,OFFSET(DNN!$Q$9:$U$9,ET$9,0)) + OFFSET(DNN!$P$9,ET$9,0))</f>
        <v>4.3954959453478351E-4</v>
      </c>
      <c r="EU119" s="84">
        <f ca="1">MAX(0, SUMPRODUCT($EN119:$ER119,OFFSET(DNN!$Q$9:$U$9,EU$9,0)) + OFFSET(DNN!$P$9,EU$9,0))</f>
        <v>0</v>
      </c>
      <c r="EV119" s="84">
        <f ca="1">MAX(0, SUMPRODUCT($EN119:$ER119,OFFSET(DNN!$Q$9:$U$9,EV$9,0)) + OFFSET(DNN!$P$9,EV$9,0))</f>
        <v>1.2810123361902579E-3</v>
      </c>
      <c r="EW119" s="84">
        <f ca="1">MAX(0, SUMPRODUCT($EN119:$ER119,OFFSET(DNN!$Q$9:$U$9,EW$9,0)) + OFFSET(DNN!$P$9,EW$9,0))</f>
        <v>7.8382123007882457E-4</v>
      </c>
      <c r="EX119" s="85">
        <f ca="1">MAX(0, SUMPRODUCT($EN119:$ER119,OFFSET(DNN!$Q$9:$U$9,EX$9,0)) + OFFSET(DNN!$P$9,EX$9,0))</f>
        <v>0</v>
      </c>
      <c r="EZ119" s="111">
        <f ca="1">SUMPRODUCT($ET119:$EX119,OFFSET(DNN!$Y$9:$AC$9,EZ$9,0)) + OFFSET(DNN!$X$9,EZ$9,0)</f>
        <v>0.43031618918982212</v>
      </c>
      <c r="FA119" s="97">
        <f ca="1">SUMPRODUCT($ET119:$EX119,OFFSET(DNN!$Y$9:$AC$9,FA$9,0)) + OFFSET(DNN!$X$9,FA$9,0)</f>
        <v>-1.2643439935754107E-5</v>
      </c>
      <c r="FB119" s="97">
        <f ca="1">SUMPRODUCT($ET119:$EX119,OFFSET(DNN!$Y$9:$AC$9,FB$9,0)) + OFFSET(DNN!$X$9,FB$9,0)</f>
        <v>1.5239793458415756E-2</v>
      </c>
      <c r="FC119" s="97">
        <f ca="1">SUMPRODUCT($ET119:$EX119,OFFSET(DNN!$Y$9:$AC$9,FC$9,0)) + OFFSET(DNN!$X$9,FC$9,0)</f>
        <v>-8.8749521084055777E-4</v>
      </c>
      <c r="FD119" s="97">
        <f ca="1">SUMPRODUCT($ET119:$EX119,OFFSET(DNN!$Y$9:$AC$9,FD$9,0)) + OFFSET(DNN!$X$9,FD$9,0)</f>
        <v>-4.235816470721872E-4</v>
      </c>
      <c r="FE119" s="97">
        <f ca="1">SUMPRODUCT($ET119:$EX119,OFFSET(DNN!$Y$9:$AC$9,FE$9,0)) + OFFSET(DNN!$X$9,FE$9,0)</f>
        <v>-1.574182761064886E-5</v>
      </c>
      <c r="FF119" s="97">
        <f ca="1">SUMPRODUCT($ET119:$EX119,OFFSET(DNN!$Y$9:$AC$9,FF$9,0)) + OFFSET(DNN!$X$9,FF$9,0)</f>
        <v>-1.3491460223194656E-3</v>
      </c>
      <c r="FG119" s="97">
        <f ca="1">SUMPRODUCT($ET119:$EX119,OFFSET(DNN!$Y$9:$AC$9,FG$9,0)) + OFFSET(DNN!$X$9,FG$9,0)</f>
        <v>-6.2604808096248285E-2</v>
      </c>
      <c r="FH119" s="97">
        <f ca="1">SUMPRODUCT($ET119:$EX119,OFFSET(DNN!$Y$9:$AC$9,FH$9,0)) + OFFSET(DNN!$X$9,FH$9,0)</f>
        <v>8.6810016937029894E-4</v>
      </c>
      <c r="FI119" s="108">
        <f ca="1">SUMPRODUCT($ET119:$EX119,OFFSET(DNN!$Y$9:$AC$9,FI$9,0)) + OFFSET(DNN!$X$9,FI$9,0)</f>
        <v>-1.3182687612562751</v>
      </c>
      <c r="FJ119" s="98">
        <f ca="1">SUMPRODUCT($ET119:$EX119,OFFSET(DNN!$Y$9:$AC$9,FJ$9,0)) + OFFSET(DNN!$X$9,FJ$9,0)</f>
        <v>-2.2535161745939301E-5</v>
      </c>
      <c r="FL119" s="415">
        <f t="shared" ca="1" si="224"/>
        <v>0.43031618918982212</v>
      </c>
      <c r="FM119" s="130">
        <f t="shared" ca="1" si="225"/>
        <v>1</v>
      </c>
      <c r="FN119" s="131">
        <f t="shared" ca="1" si="226"/>
        <v>0.65029522127322903</v>
      </c>
      <c r="FO119" s="131">
        <f t="shared" ca="1" si="227"/>
        <v>0.66028983545318687</v>
      </c>
      <c r="FP119" s="131">
        <f t="shared" ca="1" si="228"/>
        <v>0.64972655813153501</v>
      </c>
      <c r="FQ119" s="131">
        <f t="shared" ca="1" si="229"/>
        <v>0.65002804502111444</v>
      </c>
      <c r="FR119" s="131">
        <f t="shared" ca="1" si="230"/>
        <v>0.65029320640965171</v>
      </c>
      <c r="FS119" s="131">
        <f t="shared" ca="1" si="231"/>
        <v>0.64942668056342145</v>
      </c>
      <c r="FT119" s="131">
        <f t="shared" ca="1" si="232"/>
        <v>0.61083952513994022</v>
      </c>
      <c r="FU119" s="132">
        <f t="shared" ca="1" si="233"/>
        <v>0.6508682169276182</v>
      </c>
      <c r="FV119" s="131">
        <f t="shared" ca="1" si="234"/>
        <v>0.17402001625314881</v>
      </c>
      <c r="FW119" s="83">
        <f t="shared" ca="1" si="235"/>
        <v>-2.2535161742124597E-5</v>
      </c>
    </row>
    <row r="120" spans="1:179">
      <c r="A120" s="19">
        <f t="shared" si="240"/>
        <v>110</v>
      </c>
      <c r="B120" s="1">
        <f t="shared" ca="1" si="236"/>
        <v>0</v>
      </c>
      <c r="C120" s="20">
        <f t="shared" ca="1" si="237"/>
        <v>110</v>
      </c>
      <c r="D120" s="19" t="str">
        <f t="shared" ca="1" si="238"/>
        <v>〇×〇×〇×--〇</v>
      </c>
      <c r="E120" s="7">
        <f t="shared" ca="1" si="206"/>
        <v>9</v>
      </c>
      <c r="F120" s="7">
        <f t="shared" ca="1" si="207"/>
        <v>1</v>
      </c>
      <c r="G120" s="1" t="str">
        <f t="shared" ca="1" si="139"/>
        <v>〇×〇×〇×--〇</v>
      </c>
      <c r="H120" s="20" t="b">
        <f t="shared" ca="1" si="140"/>
        <v>1</v>
      </c>
      <c r="I120" s="22">
        <f t="shared" ca="1" si="239"/>
        <v>-1</v>
      </c>
      <c r="J120" s="1" t="b">
        <f ca="1">(1&lt;COUNTIF(D$10:D120,D120))</f>
        <v>1</v>
      </c>
      <c r="K120" s="1" t="b">
        <f t="shared" ca="1" si="141"/>
        <v>1</v>
      </c>
      <c r="L120" s="7">
        <f ca="1">MATCH(TRUE,K120:K$1048576,FALSE)-1</f>
        <v>0</v>
      </c>
      <c r="M120" s="24" t="str">
        <f t="shared" ca="1" si="142"/>
        <v>〇×〇×〇×--〇_9</v>
      </c>
      <c r="N120" s="25">
        <f t="shared" ca="1" si="208"/>
        <v>-2.2535161742124597E-5</v>
      </c>
      <c r="O120" s="26">
        <f t="shared" ca="1" si="209"/>
        <v>-1</v>
      </c>
      <c r="P120" s="27">
        <f t="shared" ca="1" si="210"/>
        <v>-1</v>
      </c>
      <c r="R120" s="41" t="str">
        <f ca="1">VLOOKUP(S120,cvt!$B$2:$C$4,2,FALSE)&amp;VLOOKUP(T120,cvt!$B$2:$C$4,2,FALSE)&amp;VLOOKUP(U120,cvt!$B$2:$C$4,2,FALSE)
&amp;VLOOKUP(V120,cvt!$B$2:$C$4,2,FALSE)&amp;VLOOKUP(W120,cvt!$B$2:$C$4,2,FALSE)&amp;VLOOKUP(X120,cvt!$B$2:$C$4,2,FALSE)
&amp;VLOOKUP(Y120,cvt!$B$2:$C$4,2,FALSE)&amp;VLOOKUP(Z120,cvt!$B$2:$C$4,2,FALSE)&amp;VLOOKUP(AA120,cvt!$B$2:$C$4,2,FALSE)</f>
        <v>〇×〇×〇×--〇</v>
      </c>
      <c r="S120" s="7">
        <f ca="1">VLOOKUP(MID($D120,S$9+1,1), cvt!$A$2:$B$4,2, FALSE)</f>
        <v>1</v>
      </c>
      <c r="T120" s="7">
        <f ca="1">VLOOKUP(MID($D120,T$9+1,1), cvt!$A$2:$B$4,2, FALSE)</f>
        <v>-1</v>
      </c>
      <c r="U120" s="7">
        <f ca="1">VLOOKUP(MID($D120,U$9+1,1), cvt!$A$2:$B$4,2, FALSE)</f>
        <v>1</v>
      </c>
      <c r="V120" s="17">
        <f ca="1">VLOOKUP(MID($D120,V$9+1,1), cvt!$A$2:$B$4,2, FALSE)</f>
        <v>-1</v>
      </c>
      <c r="W120" s="7">
        <f ca="1">VLOOKUP(MID($D120,W$9+1,1), cvt!$A$2:$B$4,2, FALSE)</f>
        <v>1</v>
      </c>
      <c r="X120" s="18">
        <f ca="1">VLOOKUP(MID($D120,X$9+1,1), cvt!$A$2:$B$4,2, FALSE)</f>
        <v>-1</v>
      </c>
      <c r="Y120" s="7">
        <f ca="1">VLOOKUP(MID($D120,Y$9+1,1), cvt!$A$2:$B$4,2, FALSE)</f>
        <v>0</v>
      </c>
      <c r="Z120" s="7">
        <f ca="1">VLOOKUP(MID($D120,Z$9+1,1), cvt!$A$2:$B$4,2, FALSE)</f>
        <v>0</v>
      </c>
      <c r="AA120" s="42">
        <f ca="1">VLOOKUP(MID($D120,AA$9+1,1), cvt!$A$2:$B$4,2, FALSE)</f>
        <v>1</v>
      </c>
      <c r="AB120" s="7">
        <f t="shared" ca="1" si="211"/>
        <v>1</v>
      </c>
      <c r="AC120" s="50" t="b">
        <f t="shared" ca="1" si="212"/>
        <v>1</v>
      </c>
      <c r="AE120" s="19" t="str">
        <f ca="1">VLOOKUP(AF120,cvt!$B$2:$C$4,2,FALSE)&amp;VLOOKUP(AG120,cvt!$B$2:$C$4,2,FALSE)&amp;VLOOKUP(AH120,cvt!$B$2:$C$4,2,FALSE)
&amp;VLOOKUP(AI120,cvt!$B$2:$C$4,2,FALSE)&amp;VLOOKUP(AJ120,cvt!$B$2:$C$4,2,FALSE)&amp;VLOOKUP(AK120,cvt!$B$2:$C$4,2,FALSE)
&amp;VLOOKUP(AL120,cvt!$B$2:$C$4,2,FALSE)&amp;VLOOKUP(AM120,cvt!$B$2:$C$4,2,FALSE)&amp;VLOOKUP(AN120,cvt!$B$2:$C$4,2,FALSE)</f>
        <v>〇×〇×〇×--〇</v>
      </c>
      <c r="AF120" s="17">
        <f t="shared" ca="1" si="143"/>
        <v>1</v>
      </c>
      <c r="AG120" s="7">
        <f t="shared" ca="1" si="144"/>
        <v>-1</v>
      </c>
      <c r="AH120" s="7">
        <f t="shared" ca="1" si="145"/>
        <v>1</v>
      </c>
      <c r="AI120" s="17">
        <f t="shared" ca="1" si="146"/>
        <v>-1</v>
      </c>
      <c r="AJ120" s="7">
        <f t="shared" ca="1" si="147"/>
        <v>1</v>
      </c>
      <c r="AK120" s="18">
        <f t="shared" ca="1" si="148"/>
        <v>-1</v>
      </c>
      <c r="AL120" s="7">
        <f t="shared" ca="1" si="149"/>
        <v>0</v>
      </c>
      <c r="AM120" s="7">
        <f t="shared" ca="1" si="150"/>
        <v>0</v>
      </c>
      <c r="AN120" s="18">
        <f t="shared" ca="1" si="151"/>
        <v>1</v>
      </c>
      <c r="AO120" s="7">
        <f t="shared" ca="1" si="213"/>
        <v>1</v>
      </c>
      <c r="AP120" s="50" t="b">
        <f t="shared" ca="1" si="152"/>
        <v>1</v>
      </c>
      <c r="AS120" s="22">
        <f t="shared" ca="1" si="214"/>
        <v>0</v>
      </c>
      <c r="AT120" s="7">
        <f t="shared" ca="1" si="153"/>
        <v>0</v>
      </c>
      <c r="AU120" s="7">
        <f t="shared" ca="1" si="154"/>
        <v>0</v>
      </c>
      <c r="AV120" s="7">
        <f t="shared" ca="1" si="155"/>
        <v>0</v>
      </c>
      <c r="AW120" s="7">
        <f t="shared" ca="1" si="156"/>
        <v>0</v>
      </c>
      <c r="AX120" s="7">
        <f t="shared" ca="1" si="157"/>
        <v>0</v>
      </c>
      <c r="AY120" s="7">
        <f t="shared" ca="1" si="158"/>
        <v>0</v>
      </c>
      <c r="AZ120" s="7">
        <f t="shared" ca="1" si="159"/>
        <v>0</v>
      </c>
      <c r="BA120" s="18">
        <f t="shared" ca="1" si="160"/>
        <v>0</v>
      </c>
      <c r="BB120" s="295">
        <f t="shared" ca="1" si="215"/>
        <v>1</v>
      </c>
      <c r="BD120" s="132"/>
      <c r="BE120" s="297">
        <f t="shared" ca="1" si="216"/>
        <v>1</v>
      </c>
      <c r="BF120" s="298">
        <f t="shared" ca="1" si="161"/>
        <v>0.65029522127322903</v>
      </c>
      <c r="BG120" s="298">
        <f t="shared" ca="1" si="162"/>
        <v>0.66028983545318687</v>
      </c>
      <c r="BH120" s="318">
        <f t="shared" ca="1" si="163"/>
        <v>0.64972655813153501</v>
      </c>
      <c r="BI120" s="298">
        <f t="shared" ca="1" si="164"/>
        <v>0.65002804502111444</v>
      </c>
      <c r="BJ120" s="299">
        <f t="shared" ca="1" si="165"/>
        <v>0.65029320640965171</v>
      </c>
      <c r="BK120" s="298">
        <f t="shared" ca="1" si="166"/>
        <v>0.64942668056342145</v>
      </c>
      <c r="BL120" s="298">
        <f t="shared" ca="1" si="167"/>
        <v>0.61083952513994022</v>
      </c>
      <c r="BM120" s="299">
        <f t="shared" ca="1" si="168"/>
        <v>0.6508682169276182</v>
      </c>
      <c r="BN120" s="295">
        <f t="shared" ca="1" si="169"/>
        <v>0.17402001625314881</v>
      </c>
      <c r="BO120" s="248">
        <f t="shared" ca="1" si="217"/>
        <v>-2.2535161742124597E-5</v>
      </c>
      <c r="BQ120" s="304">
        <f t="shared" ca="1" si="218"/>
        <v>0.42412001625314877</v>
      </c>
      <c r="BR120" s="297">
        <f t="shared" ca="1" si="219"/>
        <v>0</v>
      </c>
      <c r="BS120" s="298">
        <f t="shared" ca="1" si="170"/>
        <v>0</v>
      </c>
      <c r="BT120" s="298">
        <f t="shared" ca="1" si="171"/>
        <v>0</v>
      </c>
      <c r="BU120" s="318">
        <f t="shared" ca="1" si="172"/>
        <v>0</v>
      </c>
      <c r="BV120" s="298">
        <f t="shared" ca="1" si="173"/>
        <v>0</v>
      </c>
      <c r="BW120" s="299">
        <f t="shared" ca="1" si="174"/>
        <v>0</v>
      </c>
      <c r="BX120" s="298">
        <f t="shared" ca="1" si="175"/>
        <v>0</v>
      </c>
      <c r="BY120" s="298">
        <f t="shared" ca="1" si="176"/>
        <v>0</v>
      </c>
      <c r="BZ120" s="298">
        <f t="shared" ca="1" si="177"/>
        <v>0</v>
      </c>
      <c r="CA120" s="315">
        <f t="shared" ca="1" si="178"/>
        <v>0.42412001625314877</v>
      </c>
      <c r="CC120" s="52"/>
      <c r="CD120" s="306">
        <f t="shared" ca="1" si="220"/>
        <v>0</v>
      </c>
      <c r="CE120" s="15">
        <f t="shared" ca="1" si="179"/>
        <v>0</v>
      </c>
      <c r="CF120" s="15">
        <f t="shared" ca="1" si="180"/>
        <v>0</v>
      </c>
      <c r="CG120" s="286">
        <f t="shared" ca="1" si="181"/>
        <v>0</v>
      </c>
      <c r="CH120" s="15">
        <f t="shared" ca="1" si="182"/>
        <v>0</v>
      </c>
      <c r="CI120" s="288">
        <f t="shared" ca="1" si="183"/>
        <v>0</v>
      </c>
      <c r="CJ120" s="15">
        <f t="shared" ca="1" si="184"/>
        <v>0</v>
      </c>
      <c r="CK120" s="15">
        <f t="shared" ca="1" si="185"/>
        <v>0</v>
      </c>
      <c r="CL120" s="15">
        <f t="shared" ca="1" si="186"/>
        <v>0</v>
      </c>
      <c r="CM120" s="313">
        <f t="shared" ca="1" si="187"/>
        <v>1</v>
      </c>
      <c r="CO120" s="320">
        <f t="shared" ca="1" si="221"/>
        <v>109</v>
      </c>
      <c r="CP120" s="22">
        <f ca="1">COUNTIFS($C$10:$C119,"&lt;"&amp;$C120,$M$10:$M119,$D120&amp;"_"&amp;CP$9)</f>
        <v>0</v>
      </c>
      <c r="CQ120" s="7">
        <f ca="1">COUNTIFS($C$10:$C119,"&lt;"&amp;$C120,$M$10:$M119,$D120&amp;"_"&amp;CQ$9)</f>
        <v>0</v>
      </c>
      <c r="CR120" s="7">
        <f ca="1">COUNTIFS($C$10:$C119,"&lt;"&amp;$C120,$M$10:$M119,$D120&amp;"_"&amp;CR$9)</f>
        <v>0</v>
      </c>
      <c r="CS120" s="17">
        <f ca="1">COUNTIFS($C$10:$C119,"&lt;"&amp;$C120,$M$10:$M119,$D120&amp;"_"&amp;CS$9)</f>
        <v>0</v>
      </c>
      <c r="CT120" s="7">
        <f ca="1">COUNTIFS($C$10:$C119,"&lt;"&amp;$C120,$M$10:$M119,$D120&amp;"_"&amp;CT$9)</f>
        <v>0</v>
      </c>
      <c r="CU120" s="18">
        <f ca="1">COUNTIFS($C$10:$C119,"&lt;"&amp;$C120,$M$10:$M119,$D120&amp;"_"&amp;CU$9)</f>
        <v>0</v>
      </c>
      <c r="CV120" s="7">
        <f ca="1">COUNTIFS($C$10:$C119,"&lt;"&amp;$C120,$M$10:$M119,$D120&amp;"_"&amp;CV$9)</f>
        <v>0</v>
      </c>
      <c r="CW120" s="7">
        <f ca="1">COUNTIFS($C$10:$C119,"&lt;"&amp;$C120,$M$10:$M119,$D120&amp;"_"&amp;CW$9)</f>
        <v>0</v>
      </c>
      <c r="CX120" s="7">
        <f ca="1">COUNTIFS($C$10:$C119,"&lt;"&amp;$C120,$M$10:$M119,$D120&amp;"_"&amp;CX$9)</f>
        <v>0</v>
      </c>
      <c r="CY120" s="221">
        <f ca="1">COUNTIFS($C$10:$C119,"&lt;"&amp;$C120,$M$10:$M119,$D120&amp;"_"&amp;CY$9)</f>
        <v>109</v>
      </c>
      <c r="DA120" s="20"/>
      <c r="DB120" s="308">
        <f ca="1">IF(CP120=0,0,SUMIFS($P$10:$P119, $C$10:$C119,"&lt;"&amp;$C120, $M$10:$M119,$D120&amp;"_"&amp;DB$9)/CP120)</f>
        <v>0</v>
      </c>
      <c r="DC120" s="263">
        <f ca="1">IF(CQ120=0,0,SUMIFS($P$10:$P119, $C$10:$C119,"&lt;"&amp;$C120, $M$10:$M119,$D120&amp;"_"&amp;DC$9)/CQ120)</f>
        <v>0</v>
      </c>
      <c r="DD120" s="263">
        <f ca="1">IF(CR120=0,0,SUMIFS($P$10:$P119, $C$10:$C119,"&lt;"&amp;$C120, $M$10:$M119,$D120&amp;"_"&amp;DD$9)/CR120)</f>
        <v>0</v>
      </c>
      <c r="DE120" s="262">
        <f ca="1">IF(CS120=0,0,SUMIFS($P$10:$P119, $C$10:$C119,"&lt;"&amp;$C120, $M$10:$M119,$D120&amp;"_"&amp;DE$9)/CS120)</f>
        <v>0</v>
      </c>
      <c r="DF120" s="263">
        <f ca="1">IF(CT120=0,0,SUMIFS($P$10:$P119, $C$10:$C119,"&lt;"&amp;$C120, $M$10:$M119,$D120&amp;"_"&amp;DF$9)/CT120)</f>
        <v>0</v>
      </c>
      <c r="DG120" s="310">
        <f ca="1">IF(CU120=0,0,SUMIFS($P$10:$P119, $C$10:$C119,"&lt;"&amp;$C120, $M$10:$M119,$D120&amp;"_"&amp;DG$9)/CU120)</f>
        <v>0</v>
      </c>
      <c r="DH120" s="263">
        <f ca="1">IF(CV120=0,0,SUMIFS($P$10:$P119, $C$10:$C119,"&lt;"&amp;$C120, $M$10:$M119,$D120&amp;"_"&amp;DH$9)/CV120)</f>
        <v>0</v>
      </c>
      <c r="DI120" s="263">
        <f ca="1">IF(CW120=0,0,SUMIFS($P$10:$P119, $C$10:$C119,"&lt;"&amp;$C120, $M$10:$M119,$D120&amp;"_"&amp;DI$9)/CW120)</f>
        <v>0</v>
      </c>
      <c r="DJ120" s="264">
        <f ca="1">IF(CX120=0,0,SUMIFS($P$10:$P119, $C$10:$C119,"&lt;"&amp;$C120, $M$10:$M119,$D120&amp;"_"&amp;DJ$9)/CX120)</f>
        <v>0</v>
      </c>
      <c r="DK120" s="264">
        <f ca="1">IF(CY120=0,0,SUMIFS($P$10:$P119, $C$10:$C119,"&lt;"&amp;$C120, $M$10:$M119,$D120&amp;"_"&amp;DK$9)/CY120)</f>
        <v>-1</v>
      </c>
      <c r="DM120" s="104"/>
      <c r="DN120" s="306">
        <f t="shared" ca="1" si="222"/>
        <v>-9999</v>
      </c>
      <c r="DO120" s="15">
        <f t="shared" ca="1" si="188"/>
        <v>-9999</v>
      </c>
      <c r="DP120" s="15">
        <f t="shared" ca="1" si="189"/>
        <v>-9999</v>
      </c>
      <c r="DQ120" s="15">
        <f t="shared" ca="1" si="190"/>
        <v>-9999</v>
      </c>
      <c r="DR120" s="15">
        <f t="shared" ca="1" si="191"/>
        <v>-9999</v>
      </c>
      <c r="DS120" s="15">
        <f t="shared" ca="1" si="192"/>
        <v>-9999</v>
      </c>
      <c r="DT120" s="15">
        <f t="shared" ca="1" si="193"/>
        <v>-9999</v>
      </c>
      <c r="DU120" s="15">
        <f t="shared" ca="1" si="194"/>
        <v>-9999</v>
      </c>
      <c r="DV120" s="52">
        <f t="shared" ca="1" si="195"/>
        <v>-9999</v>
      </c>
      <c r="DW120" s="313">
        <f t="shared" ca="1" si="196"/>
        <v>-0.9050881226462677</v>
      </c>
      <c r="DX120" s="52"/>
      <c r="DY120" s="402">
        <f t="shared" ca="1" si="223"/>
        <v>9</v>
      </c>
      <c r="ED120" s="19">
        <f t="shared" ca="1" si="241"/>
        <v>-1</v>
      </c>
      <c r="EE120" s="1">
        <f t="shared" ca="1" si="242"/>
        <v>1</v>
      </c>
      <c r="EF120" s="1">
        <f t="shared" ca="1" si="243"/>
        <v>-1</v>
      </c>
      <c r="EG120" s="2">
        <f t="shared" ca="1" si="244"/>
        <v>1</v>
      </c>
      <c r="EH120" s="1">
        <f t="shared" ca="1" si="245"/>
        <v>-1</v>
      </c>
      <c r="EI120" s="3">
        <f t="shared" ca="1" si="246"/>
        <v>1</v>
      </c>
      <c r="EJ120" s="1">
        <f t="shared" ca="1" si="247"/>
        <v>0</v>
      </c>
      <c r="EK120" s="1">
        <f t="shared" ca="1" si="248"/>
        <v>0</v>
      </c>
      <c r="EL120" s="20">
        <f t="shared" ca="1" si="249"/>
        <v>-1</v>
      </c>
      <c r="EN120" s="86">
        <f ca="1">MAX(0, SUMPRODUCT($ED120:$EL120,OFFSET(DNN!$E$9:$M$9,EN$9,0)) + OFFSET(DNN!$D$9,EN$9,0))</f>
        <v>0</v>
      </c>
      <c r="EO120" s="84">
        <f ca="1">MAX(0, SUMPRODUCT($ED120:$EL120,OFFSET(DNN!$E$9:$M$9,EO$9,0)) + OFFSET(DNN!$D$9,EO$9,0))</f>
        <v>7.2346022384755949E-3</v>
      </c>
      <c r="EP120" s="84">
        <f ca="1">MAX(0, SUMPRODUCT($ED120:$EL120,OFFSET(DNN!$E$9:$M$9,EP$9,0)) + OFFSET(DNN!$D$9,EP$9,0))</f>
        <v>3.6951849750035152E-3</v>
      </c>
      <c r="EQ120" s="84">
        <f ca="1">MAX(0, SUMPRODUCT($ED120:$EL120,OFFSET(DNN!$E$9:$M$9,EQ$9,0)) + OFFSET(DNN!$D$9,EQ$9,0))</f>
        <v>0</v>
      </c>
      <c r="ER120" s="85">
        <f ca="1">MAX(0, SUMPRODUCT($ED120:$EL120,OFFSET(DNN!$E$9:$M$9,ER$9,0)) + OFFSET(DNN!$D$9,ER$9,0))</f>
        <v>0</v>
      </c>
      <c r="ET120" s="86">
        <f ca="1">MAX(0, SUMPRODUCT($EN120:$ER120,OFFSET(DNN!$Q$9:$U$9,ET$9,0)) + OFFSET(DNN!$P$9,ET$9,0))</f>
        <v>4.3954959453478351E-4</v>
      </c>
      <c r="EU120" s="84">
        <f ca="1">MAX(0, SUMPRODUCT($EN120:$ER120,OFFSET(DNN!$Q$9:$U$9,EU$9,0)) + OFFSET(DNN!$P$9,EU$9,0))</f>
        <v>0</v>
      </c>
      <c r="EV120" s="84">
        <f ca="1">MAX(0, SUMPRODUCT($EN120:$ER120,OFFSET(DNN!$Q$9:$U$9,EV$9,0)) + OFFSET(DNN!$P$9,EV$9,0))</f>
        <v>1.2810123361902579E-3</v>
      </c>
      <c r="EW120" s="84">
        <f ca="1">MAX(0, SUMPRODUCT($EN120:$ER120,OFFSET(DNN!$Q$9:$U$9,EW$9,0)) + OFFSET(DNN!$P$9,EW$9,0))</f>
        <v>7.8382123007882457E-4</v>
      </c>
      <c r="EX120" s="85">
        <f ca="1">MAX(0, SUMPRODUCT($EN120:$ER120,OFFSET(DNN!$Q$9:$U$9,EX$9,0)) + OFFSET(DNN!$P$9,EX$9,0))</f>
        <v>0</v>
      </c>
      <c r="EZ120" s="111">
        <f ca="1">SUMPRODUCT($ET120:$EX120,OFFSET(DNN!$Y$9:$AC$9,EZ$9,0)) + OFFSET(DNN!$X$9,EZ$9,0)</f>
        <v>0.43031618918982212</v>
      </c>
      <c r="FA120" s="97">
        <f ca="1">SUMPRODUCT($ET120:$EX120,OFFSET(DNN!$Y$9:$AC$9,FA$9,0)) + OFFSET(DNN!$X$9,FA$9,0)</f>
        <v>-1.2643439935754107E-5</v>
      </c>
      <c r="FB120" s="97">
        <f ca="1">SUMPRODUCT($ET120:$EX120,OFFSET(DNN!$Y$9:$AC$9,FB$9,0)) + OFFSET(DNN!$X$9,FB$9,0)</f>
        <v>1.5239793458415756E-2</v>
      </c>
      <c r="FC120" s="97">
        <f ca="1">SUMPRODUCT($ET120:$EX120,OFFSET(DNN!$Y$9:$AC$9,FC$9,0)) + OFFSET(DNN!$X$9,FC$9,0)</f>
        <v>-8.8749521084055777E-4</v>
      </c>
      <c r="FD120" s="97">
        <f ca="1">SUMPRODUCT($ET120:$EX120,OFFSET(DNN!$Y$9:$AC$9,FD$9,0)) + OFFSET(DNN!$X$9,FD$9,0)</f>
        <v>-4.235816470721872E-4</v>
      </c>
      <c r="FE120" s="97">
        <f ca="1">SUMPRODUCT($ET120:$EX120,OFFSET(DNN!$Y$9:$AC$9,FE$9,0)) + OFFSET(DNN!$X$9,FE$9,0)</f>
        <v>-1.574182761064886E-5</v>
      </c>
      <c r="FF120" s="97">
        <f ca="1">SUMPRODUCT($ET120:$EX120,OFFSET(DNN!$Y$9:$AC$9,FF$9,0)) + OFFSET(DNN!$X$9,FF$9,0)</f>
        <v>-1.3491460223194656E-3</v>
      </c>
      <c r="FG120" s="97">
        <f ca="1">SUMPRODUCT($ET120:$EX120,OFFSET(DNN!$Y$9:$AC$9,FG$9,0)) + OFFSET(DNN!$X$9,FG$9,0)</f>
        <v>-6.2604808096248285E-2</v>
      </c>
      <c r="FH120" s="97">
        <f ca="1">SUMPRODUCT($ET120:$EX120,OFFSET(DNN!$Y$9:$AC$9,FH$9,0)) + OFFSET(DNN!$X$9,FH$9,0)</f>
        <v>8.6810016937029894E-4</v>
      </c>
      <c r="FI120" s="108">
        <f ca="1">SUMPRODUCT($ET120:$EX120,OFFSET(DNN!$Y$9:$AC$9,FI$9,0)) + OFFSET(DNN!$X$9,FI$9,0)</f>
        <v>-1.3182687612562751</v>
      </c>
      <c r="FJ120" s="98">
        <f ca="1">SUMPRODUCT($ET120:$EX120,OFFSET(DNN!$Y$9:$AC$9,FJ$9,0)) + OFFSET(DNN!$X$9,FJ$9,0)</f>
        <v>-2.2535161745939301E-5</v>
      </c>
      <c r="FL120" s="415">
        <f t="shared" ca="1" si="224"/>
        <v>0.43031618918982212</v>
      </c>
      <c r="FM120" s="130">
        <f t="shared" ca="1" si="225"/>
        <v>1</v>
      </c>
      <c r="FN120" s="131">
        <f t="shared" ca="1" si="226"/>
        <v>0.65029522127322903</v>
      </c>
      <c r="FO120" s="131">
        <f t="shared" ca="1" si="227"/>
        <v>0.66028983545318687</v>
      </c>
      <c r="FP120" s="131">
        <f t="shared" ca="1" si="228"/>
        <v>0.64972655813153501</v>
      </c>
      <c r="FQ120" s="131">
        <f t="shared" ca="1" si="229"/>
        <v>0.65002804502111444</v>
      </c>
      <c r="FR120" s="131">
        <f t="shared" ca="1" si="230"/>
        <v>0.65029320640965171</v>
      </c>
      <c r="FS120" s="131">
        <f t="shared" ca="1" si="231"/>
        <v>0.64942668056342145</v>
      </c>
      <c r="FT120" s="131">
        <f t="shared" ca="1" si="232"/>
        <v>0.61083952513994022</v>
      </c>
      <c r="FU120" s="132">
        <f t="shared" ca="1" si="233"/>
        <v>0.6508682169276182</v>
      </c>
      <c r="FV120" s="131">
        <f t="shared" ca="1" si="234"/>
        <v>0.17402001625314881</v>
      </c>
      <c r="FW120" s="83">
        <f t="shared" ca="1" si="235"/>
        <v>-2.2535161742124597E-5</v>
      </c>
    </row>
    <row r="121" spans="1:179">
      <c r="A121" s="19">
        <f t="shared" si="240"/>
        <v>111</v>
      </c>
      <c r="B121" s="1">
        <f t="shared" ca="1" si="236"/>
        <v>0</v>
      </c>
      <c r="C121" s="20">
        <f t="shared" ca="1" si="237"/>
        <v>111</v>
      </c>
      <c r="D121" s="19" t="str">
        <f t="shared" ca="1" si="238"/>
        <v>〇×〇×〇×--〇</v>
      </c>
      <c r="E121" s="7">
        <f t="shared" ca="1" si="206"/>
        <v>9</v>
      </c>
      <c r="F121" s="7">
        <f t="shared" ca="1" si="207"/>
        <v>1</v>
      </c>
      <c r="G121" s="1" t="str">
        <f t="shared" ca="1" si="139"/>
        <v>〇×〇×〇×--〇</v>
      </c>
      <c r="H121" s="20" t="b">
        <f t="shared" ca="1" si="140"/>
        <v>1</v>
      </c>
      <c r="I121" s="22">
        <f t="shared" ca="1" si="239"/>
        <v>-1</v>
      </c>
      <c r="J121" s="1" t="b">
        <f ca="1">(1&lt;COUNTIF(D$10:D121,D121))</f>
        <v>1</v>
      </c>
      <c r="K121" s="1" t="b">
        <f t="shared" ca="1" si="141"/>
        <v>1</v>
      </c>
      <c r="L121" s="7">
        <f ca="1">MATCH(TRUE,K121:K$1048576,FALSE)-1</f>
        <v>0</v>
      </c>
      <c r="M121" s="24" t="str">
        <f t="shared" ca="1" si="142"/>
        <v>〇×〇×〇×--〇_9</v>
      </c>
      <c r="N121" s="25">
        <f t="shared" ca="1" si="208"/>
        <v>-2.2535161742124597E-5</v>
      </c>
      <c r="O121" s="26">
        <f t="shared" ca="1" si="209"/>
        <v>-1</v>
      </c>
      <c r="P121" s="27">
        <f t="shared" ca="1" si="210"/>
        <v>-1</v>
      </c>
      <c r="R121" s="41" t="str">
        <f ca="1">VLOOKUP(S121,cvt!$B$2:$C$4,2,FALSE)&amp;VLOOKUP(T121,cvt!$B$2:$C$4,2,FALSE)&amp;VLOOKUP(U121,cvt!$B$2:$C$4,2,FALSE)
&amp;VLOOKUP(V121,cvt!$B$2:$C$4,2,FALSE)&amp;VLOOKUP(W121,cvt!$B$2:$C$4,2,FALSE)&amp;VLOOKUP(X121,cvt!$B$2:$C$4,2,FALSE)
&amp;VLOOKUP(Y121,cvt!$B$2:$C$4,2,FALSE)&amp;VLOOKUP(Z121,cvt!$B$2:$C$4,2,FALSE)&amp;VLOOKUP(AA121,cvt!$B$2:$C$4,2,FALSE)</f>
        <v>〇×〇×〇×--〇</v>
      </c>
      <c r="S121" s="7">
        <f ca="1">VLOOKUP(MID($D121,S$9+1,1), cvt!$A$2:$B$4,2, FALSE)</f>
        <v>1</v>
      </c>
      <c r="T121" s="7">
        <f ca="1">VLOOKUP(MID($D121,T$9+1,1), cvt!$A$2:$B$4,2, FALSE)</f>
        <v>-1</v>
      </c>
      <c r="U121" s="7">
        <f ca="1">VLOOKUP(MID($D121,U$9+1,1), cvt!$A$2:$B$4,2, FALSE)</f>
        <v>1</v>
      </c>
      <c r="V121" s="17">
        <f ca="1">VLOOKUP(MID($D121,V$9+1,1), cvt!$A$2:$B$4,2, FALSE)</f>
        <v>-1</v>
      </c>
      <c r="W121" s="7">
        <f ca="1">VLOOKUP(MID($D121,W$9+1,1), cvt!$A$2:$B$4,2, FALSE)</f>
        <v>1</v>
      </c>
      <c r="X121" s="18">
        <f ca="1">VLOOKUP(MID($D121,X$9+1,1), cvt!$A$2:$B$4,2, FALSE)</f>
        <v>-1</v>
      </c>
      <c r="Y121" s="7">
        <f ca="1">VLOOKUP(MID($D121,Y$9+1,1), cvt!$A$2:$B$4,2, FALSE)</f>
        <v>0</v>
      </c>
      <c r="Z121" s="7">
        <f ca="1">VLOOKUP(MID($D121,Z$9+1,1), cvt!$A$2:$B$4,2, FALSE)</f>
        <v>0</v>
      </c>
      <c r="AA121" s="42">
        <f ca="1">VLOOKUP(MID($D121,AA$9+1,1), cvt!$A$2:$B$4,2, FALSE)</f>
        <v>1</v>
      </c>
      <c r="AB121" s="7">
        <f t="shared" ca="1" si="211"/>
        <v>1</v>
      </c>
      <c r="AC121" s="50" t="b">
        <f t="shared" ca="1" si="212"/>
        <v>1</v>
      </c>
      <c r="AE121" s="19" t="str">
        <f ca="1">VLOOKUP(AF121,cvt!$B$2:$C$4,2,FALSE)&amp;VLOOKUP(AG121,cvt!$B$2:$C$4,2,FALSE)&amp;VLOOKUP(AH121,cvt!$B$2:$C$4,2,FALSE)
&amp;VLOOKUP(AI121,cvt!$B$2:$C$4,2,FALSE)&amp;VLOOKUP(AJ121,cvt!$B$2:$C$4,2,FALSE)&amp;VLOOKUP(AK121,cvt!$B$2:$C$4,2,FALSE)
&amp;VLOOKUP(AL121,cvt!$B$2:$C$4,2,FALSE)&amp;VLOOKUP(AM121,cvt!$B$2:$C$4,2,FALSE)&amp;VLOOKUP(AN121,cvt!$B$2:$C$4,2,FALSE)</f>
        <v>〇×〇×〇×--〇</v>
      </c>
      <c r="AF121" s="17">
        <f t="shared" ca="1" si="143"/>
        <v>1</v>
      </c>
      <c r="AG121" s="7">
        <f t="shared" ca="1" si="144"/>
        <v>-1</v>
      </c>
      <c r="AH121" s="7">
        <f t="shared" ca="1" si="145"/>
        <v>1</v>
      </c>
      <c r="AI121" s="17">
        <f t="shared" ca="1" si="146"/>
        <v>-1</v>
      </c>
      <c r="AJ121" s="7">
        <f t="shared" ca="1" si="147"/>
        <v>1</v>
      </c>
      <c r="AK121" s="18">
        <f t="shared" ca="1" si="148"/>
        <v>-1</v>
      </c>
      <c r="AL121" s="7">
        <f t="shared" ca="1" si="149"/>
        <v>0</v>
      </c>
      <c r="AM121" s="7">
        <f t="shared" ca="1" si="150"/>
        <v>0</v>
      </c>
      <c r="AN121" s="18">
        <f t="shared" ca="1" si="151"/>
        <v>1</v>
      </c>
      <c r="AO121" s="7">
        <f t="shared" ca="1" si="213"/>
        <v>1</v>
      </c>
      <c r="AP121" s="50" t="b">
        <f t="shared" ca="1" si="152"/>
        <v>1</v>
      </c>
      <c r="AS121" s="22">
        <f t="shared" ca="1" si="214"/>
        <v>0</v>
      </c>
      <c r="AT121" s="7">
        <f t="shared" ca="1" si="153"/>
        <v>0</v>
      </c>
      <c r="AU121" s="7">
        <f t="shared" ca="1" si="154"/>
        <v>0</v>
      </c>
      <c r="AV121" s="7">
        <f t="shared" ca="1" si="155"/>
        <v>0</v>
      </c>
      <c r="AW121" s="7">
        <f t="shared" ca="1" si="156"/>
        <v>0</v>
      </c>
      <c r="AX121" s="7">
        <f t="shared" ca="1" si="157"/>
        <v>0</v>
      </c>
      <c r="AY121" s="7">
        <f t="shared" ca="1" si="158"/>
        <v>0</v>
      </c>
      <c r="AZ121" s="7">
        <f t="shared" ca="1" si="159"/>
        <v>0</v>
      </c>
      <c r="BA121" s="18">
        <f t="shared" ca="1" si="160"/>
        <v>0</v>
      </c>
      <c r="BB121" s="295">
        <f t="shared" ca="1" si="215"/>
        <v>1</v>
      </c>
      <c r="BD121" s="132"/>
      <c r="BE121" s="297">
        <f t="shared" ca="1" si="216"/>
        <v>1</v>
      </c>
      <c r="BF121" s="298">
        <f t="shared" ca="1" si="161"/>
        <v>0.65029522127322903</v>
      </c>
      <c r="BG121" s="298">
        <f t="shared" ca="1" si="162"/>
        <v>0.66028983545318687</v>
      </c>
      <c r="BH121" s="318">
        <f t="shared" ca="1" si="163"/>
        <v>0.64972655813153501</v>
      </c>
      <c r="BI121" s="298">
        <f t="shared" ca="1" si="164"/>
        <v>0.65002804502111444</v>
      </c>
      <c r="BJ121" s="299">
        <f t="shared" ca="1" si="165"/>
        <v>0.65029320640965171</v>
      </c>
      <c r="BK121" s="298">
        <f t="shared" ca="1" si="166"/>
        <v>0.64942668056342145</v>
      </c>
      <c r="BL121" s="298">
        <f t="shared" ca="1" si="167"/>
        <v>0.61083952513994022</v>
      </c>
      <c r="BM121" s="299">
        <f t="shared" ca="1" si="168"/>
        <v>0.6508682169276182</v>
      </c>
      <c r="BN121" s="295">
        <f t="shared" ca="1" si="169"/>
        <v>0.17402001625314881</v>
      </c>
      <c r="BO121" s="248">
        <f t="shared" ca="1" si="217"/>
        <v>-2.2535161742124597E-5</v>
      </c>
      <c r="BQ121" s="304">
        <f t="shared" ca="1" si="218"/>
        <v>0.1741200162531488</v>
      </c>
      <c r="BR121" s="297">
        <f t="shared" ca="1" si="219"/>
        <v>0</v>
      </c>
      <c r="BS121" s="298">
        <f t="shared" ca="1" si="170"/>
        <v>0</v>
      </c>
      <c r="BT121" s="298">
        <f t="shared" ca="1" si="171"/>
        <v>0</v>
      </c>
      <c r="BU121" s="318">
        <f t="shared" ca="1" si="172"/>
        <v>0</v>
      </c>
      <c r="BV121" s="298">
        <f t="shared" ca="1" si="173"/>
        <v>0</v>
      </c>
      <c r="BW121" s="299">
        <f t="shared" ca="1" si="174"/>
        <v>0</v>
      </c>
      <c r="BX121" s="298">
        <f t="shared" ca="1" si="175"/>
        <v>0</v>
      </c>
      <c r="BY121" s="298">
        <f t="shared" ca="1" si="176"/>
        <v>0</v>
      </c>
      <c r="BZ121" s="298">
        <f t="shared" ca="1" si="177"/>
        <v>0</v>
      </c>
      <c r="CA121" s="315">
        <f t="shared" ca="1" si="178"/>
        <v>0.1741200162531488</v>
      </c>
      <c r="CC121" s="52"/>
      <c r="CD121" s="306">
        <f t="shared" ca="1" si="220"/>
        <v>0</v>
      </c>
      <c r="CE121" s="15">
        <f t="shared" ca="1" si="179"/>
        <v>0</v>
      </c>
      <c r="CF121" s="15">
        <f t="shared" ca="1" si="180"/>
        <v>0</v>
      </c>
      <c r="CG121" s="286">
        <f t="shared" ca="1" si="181"/>
        <v>0</v>
      </c>
      <c r="CH121" s="15">
        <f t="shared" ca="1" si="182"/>
        <v>0</v>
      </c>
      <c r="CI121" s="288">
        <f t="shared" ca="1" si="183"/>
        <v>0</v>
      </c>
      <c r="CJ121" s="15">
        <f t="shared" ca="1" si="184"/>
        <v>0</v>
      </c>
      <c r="CK121" s="15">
        <f t="shared" ca="1" si="185"/>
        <v>0</v>
      </c>
      <c r="CL121" s="15">
        <f t="shared" ca="1" si="186"/>
        <v>0</v>
      </c>
      <c r="CM121" s="313">
        <f t="shared" ca="1" si="187"/>
        <v>1</v>
      </c>
      <c r="CO121" s="320">
        <f t="shared" ca="1" si="221"/>
        <v>110</v>
      </c>
      <c r="CP121" s="22">
        <f ca="1">COUNTIFS($C$10:$C120,"&lt;"&amp;$C121,$M$10:$M120,$D121&amp;"_"&amp;CP$9)</f>
        <v>0</v>
      </c>
      <c r="CQ121" s="7">
        <f ca="1">COUNTIFS($C$10:$C120,"&lt;"&amp;$C121,$M$10:$M120,$D121&amp;"_"&amp;CQ$9)</f>
        <v>0</v>
      </c>
      <c r="CR121" s="7">
        <f ca="1">COUNTIFS($C$10:$C120,"&lt;"&amp;$C121,$M$10:$M120,$D121&amp;"_"&amp;CR$9)</f>
        <v>0</v>
      </c>
      <c r="CS121" s="17">
        <f ca="1">COUNTIFS($C$10:$C120,"&lt;"&amp;$C121,$M$10:$M120,$D121&amp;"_"&amp;CS$9)</f>
        <v>0</v>
      </c>
      <c r="CT121" s="7">
        <f ca="1">COUNTIFS($C$10:$C120,"&lt;"&amp;$C121,$M$10:$M120,$D121&amp;"_"&amp;CT$9)</f>
        <v>0</v>
      </c>
      <c r="CU121" s="18">
        <f ca="1">COUNTIFS($C$10:$C120,"&lt;"&amp;$C121,$M$10:$M120,$D121&amp;"_"&amp;CU$9)</f>
        <v>0</v>
      </c>
      <c r="CV121" s="7">
        <f ca="1">COUNTIFS($C$10:$C120,"&lt;"&amp;$C121,$M$10:$M120,$D121&amp;"_"&amp;CV$9)</f>
        <v>0</v>
      </c>
      <c r="CW121" s="7">
        <f ca="1">COUNTIFS($C$10:$C120,"&lt;"&amp;$C121,$M$10:$M120,$D121&amp;"_"&amp;CW$9)</f>
        <v>0</v>
      </c>
      <c r="CX121" s="7">
        <f ca="1">COUNTIFS($C$10:$C120,"&lt;"&amp;$C121,$M$10:$M120,$D121&amp;"_"&amp;CX$9)</f>
        <v>0</v>
      </c>
      <c r="CY121" s="221">
        <f ca="1">COUNTIFS($C$10:$C120,"&lt;"&amp;$C121,$M$10:$M120,$D121&amp;"_"&amp;CY$9)</f>
        <v>110</v>
      </c>
      <c r="DA121" s="20"/>
      <c r="DB121" s="308">
        <f ca="1">IF(CP121=0,0,SUMIFS($P$10:$P120, $C$10:$C120,"&lt;"&amp;$C121, $M$10:$M120,$D121&amp;"_"&amp;DB$9)/CP121)</f>
        <v>0</v>
      </c>
      <c r="DC121" s="263">
        <f ca="1">IF(CQ121=0,0,SUMIFS($P$10:$P120, $C$10:$C120,"&lt;"&amp;$C121, $M$10:$M120,$D121&amp;"_"&amp;DC$9)/CQ121)</f>
        <v>0</v>
      </c>
      <c r="DD121" s="263">
        <f ca="1">IF(CR121=0,0,SUMIFS($P$10:$P120, $C$10:$C120,"&lt;"&amp;$C121, $M$10:$M120,$D121&amp;"_"&amp;DD$9)/CR121)</f>
        <v>0</v>
      </c>
      <c r="DE121" s="262">
        <f ca="1">IF(CS121=0,0,SUMIFS($P$10:$P120, $C$10:$C120,"&lt;"&amp;$C121, $M$10:$M120,$D121&amp;"_"&amp;DE$9)/CS121)</f>
        <v>0</v>
      </c>
      <c r="DF121" s="263">
        <f ca="1">IF(CT121=0,0,SUMIFS($P$10:$P120, $C$10:$C120,"&lt;"&amp;$C121, $M$10:$M120,$D121&amp;"_"&amp;DF$9)/CT121)</f>
        <v>0</v>
      </c>
      <c r="DG121" s="310">
        <f ca="1">IF(CU121=0,0,SUMIFS($P$10:$P120, $C$10:$C120,"&lt;"&amp;$C121, $M$10:$M120,$D121&amp;"_"&amp;DG$9)/CU121)</f>
        <v>0</v>
      </c>
      <c r="DH121" s="263">
        <f ca="1">IF(CV121=0,0,SUMIFS($P$10:$P120, $C$10:$C120,"&lt;"&amp;$C121, $M$10:$M120,$D121&amp;"_"&amp;DH$9)/CV121)</f>
        <v>0</v>
      </c>
      <c r="DI121" s="263">
        <f ca="1">IF(CW121=0,0,SUMIFS($P$10:$P120, $C$10:$C120,"&lt;"&amp;$C121, $M$10:$M120,$D121&amp;"_"&amp;DI$9)/CW121)</f>
        <v>0</v>
      </c>
      <c r="DJ121" s="264">
        <f ca="1">IF(CX121=0,0,SUMIFS($P$10:$P120, $C$10:$C120,"&lt;"&amp;$C121, $M$10:$M120,$D121&amp;"_"&amp;DJ$9)/CX121)</f>
        <v>0</v>
      </c>
      <c r="DK121" s="264">
        <f ca="1">IF(CY121=0,0,SUMIFS($P$10:$P120, $C$10:$C120,"&lt;"&amp;$C121, $M$10:$M120,$D121&amp;"_"&amp;DK$9)/CY121)</f>
        <v>-1</v>
      </c>
      <c r="DM121" s="104"/>
      <c r="DN121" s="306">
        <f t="shared" ca="1" si="222"/>
        <v>-9999</v>
      </c>
      <c r="DO121" s="15">
        <f t="shared" ca="1" si="188"/>
        <v>-9999</v>
      </c>
      <c r="DP121" s="15">
        <f t="shared" ca="1" si="189"/>
        <v>-9999</v>
      </c>
      <c r="DQ121" s="15">
        <f t="shared" ca="1" si="190"/>
        <v>-9999</v>
      </c>
      <c r="DR121" s="15">
        <f t="shared" ca="1" si="191"/>
        <v>-9999</v>
      </c>
      <c r="DS121" s="15">
        <f t="shared" ca="1" si="192"/>
        <v>-9999</v>
      </c>
      <c r="DT121" s="15">
        <f t="shared" ca="1" si="193"/>
        <v>-9999</v>
      </c>
      <c r="DU121" s="15">
        <f t="shared" ca="1" si="194"/>
        <v>-9999</v>
      </c>
      <c r="DV121" s="52">
        <f t="shared" ca="1" si="195"/>
        <v>-9999</v>
      </c>
      <c r="DW121" s="313">
        <f t="shared" ca="1" si="196"/>
        <v>-0.90551271638106745</v>
      </c>
      <c r="DX121" s="52"/>
      <c r="DY121" s="402">
        <f t="shared" ca="1" si="223"/>
        <v>9</v>
      </c>
      <c r="ED121" s="19">
        <f t="shared" ca="1" si="241"/>
        <v>-1</v>
      </c>
      <c r="EE121" s="1">
        <f t="shared" ca="1" si="242"/>
        <v>1</v>
      </c>
      <c r="EF121" s="1">
        <f t="shared" ca="1" si="243"/>
        <v>-1</v>
      </c>
      <c r="EG121" s="2">
        <f t="shared" ca="1" si="244"/>
        <v>1</v>
      </c>
      <c r="EH121" s="1">
        <f t="shared" ca="1" si="245"/>
        <v>-1</v>
      </c>
      <c r="EI121" s="3">
        <f t="shared" ca="1" si="246"/>
        <v>1</v>
      </c>
      <c r="EJ121" s="1">
        <f t="shared" ca="1" si="247"/>
        <v>0</v>
      </c>
      <c r="EK121" s="1">
        <f t="shared" ca="1" si="248"/>
        <v>0</v>
      </c>
      <c r="EL121" s="20">
        <f t="shared" ca="1" si="249"/>
        <v>-1</v>
      </c>
      <c r="EN121" s="86">
        <f ca="1">MAX(0, SUMPRODUCT($ED121:$EL121,OFFSET(DNN!$E$9:$M$9,EN$9,0)) + OFFSET(DNN!$D$9,EN$9,0))</f>
        <v>0</v>
      </c>
      <c r="EO121" s="84">
        <f ca="1">MAX(0, SUMPRODUCT($ED121:$EL121,OFFSET(DNN!$E$9:$M$9,EO$9,0)) + OFFSET(DNN!$D$9,EO$9,0))</f>
        <v>7.2346022384755949E-3</v>
      </c>
      <c r="EP121" s="84">
        <f ca="1">MAX(0, SUMPRODUCT($ED121:$EL121,OFFSET(DNN!$E$9:$M$9,EP$9,0)) + OFFSET(DNN!$D$9,EP$9,0))</f>
        <v>3.6951849750035152E-3</v>
      </c>
      <c r="EQ121" s="84">
        <f ca="1">MAX(0, SUMPRODUCT($ED121:$EL121,OFFSET(DNN!$E$9:$M$9,EQ$9,0)) + OFFSET(DNN!$D$9,EQ$9,0))</f>
        <v>0</v>
      </c>
      <c r="ER121" s="85">
        <f ca="1">MAX(0, SUMPRODUCT($ED121:$EL121,OFFSET(DNN!$E$9:$M$9,ER$9,0)) + OFFSET(DNN!$D$9,ER$9,0))</f>
        <v>0</v>
      </c>
      <c r="ET121" s="86">
        <f ca="1">MAX(0, SUMPRODUCT($EN121:$ER121,OFFSET(DNN!$Q$9:$U$9,ET$9,0)) + OFFSET(DNN!$P$9,ET$9,0))</f>
        <v>4.3954959453478351E-4</v>
      </c>
      <c r="EU121" s="84">
        <f ca="1">MAX(0, SUMPRODUCT($EN121:$ER121,OFFSET(DNN!$Q$9:$U$9,EU$9,0)) + OFFSET(DNN!$P$9,EU$9,0))</f>
        <v>0</v>
      </c>
      <c r="EV121" s="84">
        <f ca="1">MAX(0, SUMPRODUCT($EN121:$ER121,OFFSET(DNN!$Q$9:$U$9,EV$9,0)) + OFFSET(DNN!$P$9,EV$9,0))</f>
        <v>1.2810123361902579E-3</v>
      </c>
      <c r="EW121" s="84">
        <f ca="1">MAX(0, SUMPRODUCT($EN121:$ER121,OFFSET(DNN!$Q$9:$U$9,EW$9,0)) + OFFSET(DNN!$P$9,EW$9,0))</f>
        <v>7.8382123007882457E-4</v>
      </c>
      <c r="EX121" s="85">
        <f ca="1">MAX(0, SUMPRODUCT($EN121:$ER121,OFFSET(DNN!$Q$9:$U$9,EX$9,0)) + OFFSET(DNN!$P$9,EX$9,0))</f>
        <v>0</v>
      </c>
      <c r="EZ121" s="111">
        <f ca="1">SUMPRODUCT($ET121:$EX121,OFFSET(DNN!$Y$9:$AC$9,EZ$9,0)) + OFFSET(DNN!$X$9,EZ$9,0)</f>
        <v>0.43031618918982212</v>
      </c>
      <c r="FA121" s="97">
        <f ca="1">SUMPRODUCT($ET121:$EX121,OFFSET(DNN!$Y$9:$AC$9,FA$9,0)) + OFFSET(DNN!$X$9,FA$9,0)</f>
        <v>-1.2643439935754107E-5</v>
      </c>
      <c r="FB121" s="97">
        <f ca="1">SUMPRODUCT($ET121:$EX121,OFFSET(DNN!$Y$9:$AC$9,FB$9,0)) + OFFSET(DNN!$X$9,FB$9,0)</f>
        <v>1.5239793458415756E-2</v>
      </c>
      <c r="FC121" s="97">
        <f ca="1">SUMPRODUCT($ET121:$EX121,OFFSET(DNN!$Y$9:$AC$9,FC$9,0)) + OFFSET(DNN!$X$9,FC$9,0)</f>
        <v>-8.8749521084055777E-4</v>
      </c>
      <c r="FD121" s="97">
        <f ca="1">SUMPRODUCT($ET121:$EX121,OFFSET(DNN!$Y$9:$AC$9,FD$9,0)) + OFFSET(DNN!$X$9,FD$9,0)</f>
        <v>-4.235816470721872E-4</v>
      </c>
      <c r="FE121" s="97">
        <f ca="1">SUMPRODUCT($ET121:$EX121,OFFSET(DNN!$Y$9:$AC$9,FE$9,0)) + OFFSET(DNN!$X$9,FE$9,0)</f>
        <v>-1.574182761064886E-5</v>
      </c>
      <c r="FF121" s="97">
        <f ca="1">SUMPRODUCT($ET121:$EX121,OFFSET(DNN!$Y$9:$AC$9,FF$9,0)) + OFFSET(DNN!$X$9,FF$9,0)</f>
        <v>-1.3491460223194656E-3</v>
      </c>
      <c r="FG121" s="97">
        <f ca="1">SUMPRODUCT($ET121:$EX121,OFFSET(DNN!$Y$9:$AC$9,FG$9,0)) + OFFSET(DNN!$X$9,FG$9,0)</f>
        <v>-6.2604808096248285E-2</v>
      </c>
      <c r="FH121" s="97">
        <f ca="1">SUMPRODUCT($ET121:$EX121,OFFSET(DNN!$Y$9:$AC$9,FH$9,0)) + OFFSET(DNN!$X$9,FH$9,0)</f>
        <v>8.6810016937029894E-4</v>
      </c>
      <c r="FI121" s="108">
        <f ca="1">SUMPRODUCT($ET121:$EX121,OFFSET(DNN!$Y$9:$AC$9,FI$9,0)) + OFFSET(DNN!$X$9,FI$9,0)</f>
        <v>-1.3182687612562751</v>
      </c>
      <c r="FJ121" s="98">
        <f ca="1">SUMPRODUCT($ET121:$EX121,OFFSET(DNN!$Y$9:$AC$9,FJ$9,0)) + OFFSET(DNN!$X$9,FJ$9,0)</f>
        <v>-2.2535161745939301E-5</v>
      </c>
      <c r="FL121" s="415">
        <f t="shared" ca="1" si="224"/>
        <v>0.43031618918982212</v>
      </c>
      <c r="FM121" s="130">
        <f t="shared" ca="1" si="225"/>
        <v>1</v>
      </c>
      <c r="FN121" s="131">
        <f t="shared" ca="1" si="226"/>
        <v>0.65029522127322903</v>
      </c>
      <c r="FO121" s="131">
        <f t="shared" ca="1" si="227"/>
        <v>0.66028983545318687</v>
      </c>
      <c r="FP121" s="131">
        <f t="shared" ca="1" si="228"/>
        <v>0.64972655813153501</v>
      </c>
      <c r="FQ121" s="131">
        <f t="shared" ca="1" si="229"/>
        <v>0.65002804502111444</v>
      </c>
      <c r="FR121" s="131">
        <f t="shared" ca="1" si="230"/>
        <v>0.65029320640965171</v>
      </c>
      <c r="FS121" s="131">
        <f t="shared" ca="1" si="231"/>
        <v>0.64942668056342145</v>
      </c>
      <c r="FT121" s="131">
        <f t="shared" ca="1" si="232"/>
        <v>0.61083952513994022</v>
      </c>
      <c r="FU121" s="132">
        <f t="shared" ca="1" si="233"/>
        <v>0.6508682169276182</v>
      </c>
      <c r="FV121" s="131">
        <f t="shared" ca="1" si="234"/>
        <v>0.17402001625314881</v>
      </c>
      <c r="FW121" s="83">
        <f t="shared" ca="1" si="235"/>
        <v>-2.2535161742124597E-5</v>
      </c>
    </row>
    <row r="122" spans="1:179">
      <c r="A122" s="19">
        <f t="shared" si="240"/>
        <v>112</v>
      </c>
      <c r="B122" s="1">
        <f t="shared" ca="1" si="236"/>
        <v>0</v>
      </c>
      <c r="C122" s="20">
        <f t="shared" ca="1" si="237"/>
        <v>112</v>
      </c>
      <c r="D122" s="19" t="str">
        <f t="shared" ca="1" si="238"/>
        <v>〇×〇×〇×--〇</v>
      </c>
      <c r="E122" s="7">
        <f t="shared" ca="1" si="206"/>
        <v>9</v>
      </c>
      <c r="F122" s="7">
        <f t="shared" ca="1" si="207"/>
        <v>1</v>
      </c>
      <c r="G122" s="1" t="str">
        <f t="shared" ca="1" si="139"/>
        <v>〇×〇×〇×--〇</v>
      </c>
      <c r="H122" s="20" t="b">
        <f t="shared" ca="1" si="140"/>
        <v>1</v>
      </c>
      <c r="I122" s="22">
        <f t="shared" ca="1" si="239"/>
        <v>-1</v>
      </c>
      <c r="J122" s="1" t="b">
        <f ca="1">(1&lt;COUNTIF(D$10:D122,D122))</f>
        <v>1</v>
      </c>
      <c r="K122" s="1" t="b">
        <f t="shared" ca="1" si="141"/>
        <v>1</v>
      </c>
      <c r="L122" s="7">
        <f ca="1">MATCH(TRUE,K122:K$1048576,FALSE)-1</f>
        <v>0</v>
      </c>
      <c r="M122" s="24" t="str">
        <f t="shared" ca="1" si="142"/>
        <v>〇×〇×〇×--〇_9</v>
      </c>
      <c r="N122" s="25">
        <f t="shared" ca="1" si="208"/>
        <v>-2.2535161742124597E-5</v>
      </c>
      <c r="O122" s="26">
        <f t="shared" ca="1" si="209"/>
        <v>-1</v>
      </c>
      <c r="P122" s="27">
        <f t="shared" ca="1" si="210"/>
        <v>-1</v>
      </c>
      <c r="R122" s="41" t="str">
        <f ca="1">VLOOKUP(S122,cvt!$B$2:$C$4,2,FALSE)&amp;VLOOKUP(T122,cvt!$B$2:$C$4,2,FALSE)&amp;VLOOKUP(U122,cvt!$B$2:$C$4,2,FALSE)
&amp;VLOOKUP(V122,cvt!$B$2:$C$4,2,FALSE)&amp;VLOOKUP(W122,cvt!$B$2:$C$4,2,FALSE)&amp;VLOOKUP(X122,cvt!$B$2:$C$4,2,FALSE)
&amp;VLOOKUP(Y122,cvt!$B$2:$C$4,2,FALSE)&amp;VLOOKUP(Z122,cvt!$B$2:$C$4,2,FALSE)&amp;VLOOKUP(AA122,cvt!$B$2:$C$4,2,FALSE)</f>
        <v>〇×〇×〇×--〇</v>
      </c>
      <c r="S122" s="7">
        <f ca="1">VLOOKUP(MID($D122,S$9+1,1), cvt!$A$2:$B$4,2, FALSE)</f>
        <v>1</v>
      </c>
      <c r="T122" s="7">
        <f ca="1">VLOOKUP(MID($D122,T$9+1,1), cvt!$A$2:$B$4,2, FALSE)</f>
        <v>-1</v>
      </c>
      <c r="U122" s="7">
        <f ca="1">VLOOKUP(MID($D122,U$9+1,1), cvt!$A$2:$B$4,2, FALSE)</f>
        <v>1</v>
      </c>
      <c r="V122" s="17">
        <f ca="1">VLOOKUP(MID($D122,V$9+1,1), cvt!$A$2:$B$4,2, FALSE)</f>
        <v>-1</v>
      </c>
      <c r="W122" s="7">
        <f ca="1">VLOOKUP(MID($D122,W$9+1,1), cvt!$A$2:$B$4,2, FALSE)</f>
        <v>1</v>
      </c>
      <c r="X122" s="18">
        <f ca="1">VLOOKUP(MID($D122,X$9+1,1), cvt!$A$2:$B$4,2, FALSE)</f>
        <v>-1</v>
      </c>
      <c r="Y122" s="7">
        <f ca="1">VLOOKUP(MID($D122,Y$9+1,1), cvt!$A$2:$B$4,2, FALSE)</f>
        <v>0</v>
      </c>
      <c r="Z122" s="7">
        <f ca="1">VLOOKUP(MID($D122,Z$9+1,1), cvt!$A$2:$B$4,2, FALSE)</f>
        <v>0</v>
      </c>
      <c r="AA122" s="42">
        <f ca="1">VLOOKUP(MID($D122,AA$9+1,1), cvt!$A$2:$B$4,2, FALSE)</f>
        <v>1</v>
      </c>
      <c r="AB122" s="7">
        <f t="shared" ca="1" si="211"/>
        <v>1</v>
      </c>
      <c r="AC122" s="50" t="b">
        <f t="shared" ca="1" si="212"/>
        <v>1</v>
      </c>
      <c r="AE122" s="19" t="str">
        <f ca="1">VLOOKUP(AF122,cvt!$B$2:$C$4,2,FALSE)&amp;VLOOKUP(AG122,cvt!$B$2:$C$4,2,FALSE)&amp;VLOOKUP(AH122,cvt!$B$2:$C$4,2,FALSE)
&amp;VLOOKUP(AI122,cvt!$B$2:$C$4,2,FALSE)&amp;VLOOKUP(AJ122,cvt!$B$2:$C$4,2,FALSE)&amp;VLOOKUP(AK122,cvt!$B$2:$C$4,2,FALSE)
&amp;VLOOKUP(AL122,cvt!$B$2:$C$4,2,FALSE)&amp;VLOOKUP(AM122,cvt!$B$2:$C$4,2,FALSE)&amp;VLOOKUP(AN122,cvt!$B$2:$C$4,2,FALSE)</f>
        <v>〇×〇×〇×--〇</v>
      </c>
      <c r="AF122" s="17">
        <f t="shared" ca="1" si="143"/>
        <v>1</v>
      </c>
      <c r="AG122" s="7">
        <f t="shared" ca="1" si="144"/>
        <v>-1</v>
      </c>
      <c r="AH122" s="7">
        <f t="shared" ca="1" si="145"/>
        <v>1</v>
      </c>
      <c r="AI122" s="17">
        <f t="shared" ca="1" si="146"/>
        <v>-1</v>
      </c>
      <c r="AJ122" s="7">
        <f t="shared" ca="1" si="147"/>
        <v>1</v>
      </c>
      <c r="AK122" s="18">
        <f t="shared" ca="1" si="148"/>
        <v>-1</v>
      </c>
      <c r="AL122" s="7">
        <f t="shared" ca="1" si="149"/>
        <v>0</v>
      </c>
      <c r="AM122" s="7">
        <f t="shared" ca="1" si="150"/>
        <v>0</v>
      </c>
      <c r="AN122" s="18">
        <f t="shared" ca="1" si="151"/>
        <v>1</v>
      </c>
      <c r="AO122" s="7">
        <f t="shared" ca="1" si="213"/>
        <v>1</v>
      </c>
      <c r="AP122" s="50" t="b">
        <f t="shared" ca="1" si="152"/>
        <v>1</v>
      </c>
      <c r="AS122" s="22">
        <f t="shared" ca="1" si="214"/>
        <v>0</v>
      </c>
      <c r="AT122" s="7">
        <f t="shared" ca="1" si="153"/>
        <v>0</v>
      </c>
      <c r="AU122" s="7">
        <f t="shared" ca="1" si="154"/>
        <v>0</v>
      </c>
      <c r="AV122" s="7">
        <f t="shared" ca="1" si="155"/>
        <v>0</v>
      </c>
      <c r="AW122" s="7">
        <f t="shared" ca="1" si="156"/>
        <v>0</v>
      </c>
      <c r="AX122" s="7">
        <f t="shared" ca="1" si="157"/>
        <v>0</v>
      </c>
      <c r="AY122" s="7">
        <f t="shared" ca="1" si="158"/>
        <v>0</v>
      </c>
      <c r="AZ122" s="7">
        <f t="shared" ca="1" si="159"/>
        <v>0</v>
      </c>
      <c r="BA122" s="18">
        <f t="shared" ca="1" si="160"/>
        <v>0</v>
      </c>
      <c r="BB122" s="295">
        <f t="shared" ca="1" si="215"/>
        <v>1</v>
      </c>
      <c r="BD122" s="132"/>
      <c r="BE122" s="297">
        <f t="shared" ca="1" si="216"/>
        <v>1</v>
      </c>
      <c r="BF122" s="298">
        <f t="shared" ca="1" si="161"/>
        <v>0.65029522127322903</v>
      </c>
      <c r="BG122" s="298">
        <f t="shared" ca="1" si="162"/>
        <v>0.66028983545318687</v>
      </c>
      <c r="BH122" s="318">
        <f t="shared" ca="1" si="163"/>
        <v>0.64972655813153501</v>
      </c>
      <c r="BI122" s="298">
        <f t="shared" ca="1" si="164"/>
        <v>0.65002804502111444</v>
      </c>
      <c r="BJ122" s="299">
        <f t="shared" ca="1" si="165"/>
        <v>0.65029320640965171</v>
      </c>
      <c r="BK122" s="298">
        <f t="shared" ca="1" si="166"/>
        <v>0.64942668056342145</v>
      </c>
      <c r="BL122" s="298">
        <f t="shared" ca="1" si="167"/>
        <v>0.61083952513994022</v>
      </c>
      <c r="BM122" s="299">
        <f t="shared" ca="1" si="168"/>
        <v>0.6508682169276182</v>
      </c>
      <c r="BN122" s="295">
        <f t="shared" ca="1" si="169"/>
        <v>0.17402001625314881</v>
      </c>
      <c r="BO122" s="248">
        <f t="shared" ca="1" si="217"/>
        <v>-2.2535161742124597E-5</v>
      </c>
      <c r="BQ122" s="304">
        <f t="shared" ca="1" si="218"/>
        <v>0.1741200162531488</v>
      </c>
      <c r="BR122" s="297">
        <f t="shared" ca="1" si="219"/>
        <v>0</v>
      </c>
      <c r="BS122" s="298">
        <f t="shared" ca="1" si="170"/>
        <v>0</v>
      </c>
      <c r="BT122" s="298">
        <f t="shared" ca="1" si="171"/>
        <v>0</v>
      </c>
      <c r="BU122" s="318">
        <f t="shared" ca="1" si="172"/>
        <v>0</v>
      </c>
      <c r="BV122" s="298">
        <f t="shared" ca="1" si="173"/>
        <v>0</v>
      </c>
      <c r="BW122" s="299">
        <f t="shared" ca="1" si="174"/>
        <v>0</v>
      </c>
      <c r="BX122" s="298">
        <f t="shared" ca="1" si="175"/>
        <v>0</v>
      </c>
      <c r="BY122" s="298">
        <f t="shared" ca="1" si="176"/>
        <v>0</v>
      </c>
      <c r="BZ122" s="298">
        <f t="shared" ca="1" si="177"/>
        <v>0</v>
      </c>
      <c r="CA122" s="315">
        <f t="shared" ca="1" si="178"/>
        <v>0.1741200162531488</v>
      </c>
      <c r="CC122" s="52"/>
      <c r="CD122" s="306">
        <f t="shared" ca="1" si="220"/>
        <v>0</v>
      </c>
      <c r="CE122" s="15">
        <f t="shared" ca="1" si="179"/>
        <v>0</v>
      </c>
      <c r="CF122" s="15">
        <f t="shared" ca="1" si="180"/>
        <v>0</v>
      </c>
      <c r="CG122" s="286">
        <f t="shared" ca="1" si="181"/>
        <v>0</v>
      </c>
      <c r="CH122" s="15">
        <f t="shared" ca="1" si="182"/>
        <v>0</v>
      </c>
      <c r="CI122" s="288">
        <f t="shared" ca="1" si="183"/>
        <v>0</v>
      </c>
      <c r="CJ122" s="15">
        <f t="shared" ca="1" si="184"/>
        <v>0</v>
      </c>
      <c r="CK122" s="15">
        <f t="shared" ca="1" si="185"/>
        <v>0</v>
      </c>
      <c r="CL122" s="15">
        <f t="shared" ca="1" si="186"/>
        <v>0</v>
      </c>
      <c r="CM122" s="313">
        <f t="shared" ca="1" si="187"/>
        <v>1</v>
      </c>
      <c r="CO122" s="320">
        <f t="shared" ca="1" si="221"/>
        <v>111</v>
      </c>
      <c r="CP122" s="22">
        <f ca="1">COUNTIFS($C$10:$C121,"&lt;"&amp;$C122,$M$10:$M121,$D122&amp;"_"&amp;CP$9)</f>
        <v>0</v>
      </c>
      <c r="CQ122" s="7">
        <f ca="1">COUNTIFS($C$10:$C121,"&lt;"&amp;$C122,$M$10:$M121,$D122&amp;"_"&amp;CQ$9)</f>
        <v>0</v>
      </c>
      <c r="CR122" s="7">
        <f ca="1">COUNTIFS($C$10:$C121,"&lt;"&amp;$C122,$M$10:$M121,$D122&amp;"_"&amp;CR$9)</f>
        <v>0</v>
      </c>
      <c r="CS122" s="17">
        <f ca="1">COUNTIFS($C$10:$C121,"&lt;"&amp;$C122,$M$10:$M121,$D122&amp;"_"&amp;CS$9)</f>
        <v>0</v>
      </c>
      <c r="CT122" s="7">
        <f ca="1">COUNTIFS($C$10:$C121,"&lt;"&amp;$C122,$M$10:$M121,$D122&amp;"_"&amp;CT$9)</f>
        <v>0</v>
      </c>
      <c r="CU122" s="18">
        <f ca="1">COUNTIFS($C$10:$C121,"&lt;"&amp;$C122,$M$10:$M121,$D122&amp;"_"&amp;CU$9)</f>
        <v>0</v>
      </c>
      <c r="CV122" s="7">
        <f ca="1">COUNTIFS($C$10:$C121,"&lt;"&amp;$C122,$M$10:$M121,$D122&amp;"_"&amp;CV$9)</f>
        <v>0</v>
      </c>
      <c r="CW122" s="7">
        <f ca="1">COUNTIFS($C$10:$C121,"&lt;"&amp;$C122,$M$10:$M121,$D122&amp;"_"&amp;CW$9)</f>
        <v>0</v>
      </c>
      <c r="CX122" s="7">
        <f ca="1">COUNTIFS($C$10:$C121,"&lt;"&amp;$C122,$M$10:$M121,$D122&amp;"_"&amp;CX$9)</f>
        <v>0</v>
      </c>
      <c r="CY122" s="221">
        <f ca="1">COUNTIFS($C$10:$C121,"&lt;"&amp;$C122,$M$10:$M121,$D122&amp;"_"&amp;CY$9)</f>
        <v>111</v>
      </c>
      <c r="DA122" s="20"/>
      <c r="DB122" s="308">
        <f ca="1">IF(CP122=0,0,SUMIFS($P$10:$P121, $C$10:$C121,"&lt;"&amp;$C122, $M$10:$M121,$D122&amp;"_"&amp;DB$9)/CP122)</f>
        <v>0</v>
      </c>
      <c r="DC122" s="263">
        <f ca="1">IF(CQ122=0,0,SUMIFS($P$10:$P121, $C$10:$C121,"&lt;"&amp;$C122, $M$10:$M121,$D122&amp;"_"&amp;DC$9)/CQ122)</f>
        <v>0</v>
      </c>
      <c r="DD122" s="263">
        <f ca="1">IF(CR122=0,0,SUMIFS($P$10:$P121, $C$10:$C121,"&lt;"&amp;$C122, $M$10:$M121,$D122&amp;"_"&amp;DD$9)/CR122)</f>
        <v>0</v>
      </c>
      <c r="DE122" s="262">
        <f ca="1">IF(CS122=0,0,SUMIFS($P$10:$P121, $C$10:$C121,"&lt;"&amp;$C122, $M$10:$M121,$D122&amp;"_"&amp;DE$9)/CS122)</f>
        <v>0</v>
      </c>
      <c r="DF122" s="263">
        <f ca="1">IF(CT122=0,0,SUMIFS($P$10:$P121, $C$10:$C121,"&lt;"&amp;$C122, $M$10:$M121,$D122&amp;"_"&amp;DF$9)/CT122)</f>
        <v>0</v>
      </c>
      <c r="DG122" s="310">
        <f ca="1">IF(CU122=0,0,SUMIFS($P$10:$P121, $C$10:$C121,"&lt;"&amp;$C122, $M$10:$M121,$D122&amp;"_"&amp;DG$9)/CU122)</f>
        <v>0</v>
      </c>
      <c r="DH122" s="263">
        <f ca="1">IF(CV122=0,0,SUMIFS($P$10:$P121, $C$10:$C121,"&lt;"&amp;$C122, $M$10:$M121,$D122&amp;"_"&amp;DH$9)/CV122)</f>
        <v>0</v>
      </c>
      <c r="DI122" s="263">
        <f ca="1">IF(CW122=0,0,SUMIFS($P$10:$P121, $C$10:$C121,"&lt;"&amp;$C122, $M$10:$M121,$D122&amp;"_"&amp;DI$9)/CW122)</f>
        <v>0</v>
      </c>
      <c r="DJ122" s="264">
        <f ca="1">IF(CX122=0,0,SUMIFS($P$10:$P121, $C$10:$C121,"&lt;"&amp;$C122, $M$10:$M121,$D122&amp;"_"&amp;DJ$9)/CX122)</f>
        <v>0</v>
      </c>
      <c r="DK122" s="264">
        <f ca="1">IF(CY122=0,0,SUMIFS($P$10:$P121, $C$10:$C121,"&lt;"&amp;$C122, $M$10:$M121,$D122&amp;"_"&amp;DK$9)/CY122)</f>
        <v>-1</v>
      </c>
      <c r="DM122" s="104"/>
      <c r="DN122" s="306">
        <f t="shared" ca="1" si="222"/>
        <v>-9999</v>
      </c>
      <c r="DO122" s="15">
        <f t="shared" ca="1" si="188"/>
        <v>-9999</v>
      </c>
      <c r="DP122" s="15">
        <f t="shared" ca="1" si="189"/>
        <v>-9999</v>
      </c>
      <c r="DQ122" s="15">
        <f t="shared" ca="1" si="190"/>
        <v>-9999</v>
      </c>
      <c r="DR122" s="15">
        <f t="shared" ca="1" si="191"/>
        <v>-9999</v>
      </c>
      <c r="DS122" s="15">
        <f t="shared" ca="1" si="192"/>
        <v>-9999</v>
      </c>
      <c r="DT122" s="15">
        <f t="shared" ca="1" si="193"/>
        <v>-9999</v>
      </c>
      <c r="DU122" s="15">
        <f t="shared" ca="1" si="194"/>
        <v>-9999</v>
      </c>
      <c r="DV122" s="52">
        <f t="shared" ca="1" si="195"/>
        <v>-9999</v>
      </c>
      <c r="DW122" s="313">
        <f t="shared" ca="1" si="196"/>
        <v>-0.90593166292095773</v>
      </c>
      <c r="DX122" s="52"/>
      <c r="DY122" s="402">
        <f t="shared" ca="1" si="223"/>
        <v>9</v>
      </c>
      <c r="ED122" s="19">
        <f t="shared" ca="1" si="241"/>
        <v>-1</v>
      </c>
      <c r="EE122" s="1">
        <f t="shared" ca="1" si="242"/>
        <v>1</v>
      </c>
      <c r="EF122" s="1">
        <f t="shared" ca="1" si="243"/>
        <v>-1</v>
      </c>
      <c r="EG122" s="2">
        <f t="shared" ca="1" si="244"/>
        <v>1</v>
      </c>
      <c r="EH122" s="1">
        <f t="shared" ca="1" si="245"/>
        <v>-1</v>
      </c>
      <c r="EI122" s="3">
        <f t="shared" ca="1" si="246"/>
        <v>1</v>
      </c>
      <c r="EJ122" s="1">
        <f t="shared" ca="1" si="247"/>
        <v>0</v>
      </c>
      <c r="EK122" s="1">
        <f t="shared" ca="1" si="248"/>
        <v>0</v>
      </c>
      <c r="EL122" s="20">
        <f t="shared" ca="1" si="249"/>
        <v>-1</v>
      </c>
      <c r="EN122" s="86">
        <f ca="1">MAX(0, SUMPRODUCT($ED122:$EL122,OFFSET(DNN!$E$9:$M$9,EN$9,0)) + OFFSET(DNN!$D$9,EN$9,0))</f>
        <v>0</v>
      </c>
      <c r="EO122" s="84">
        <f ca="1">MAX(0, SUMPRODUCT($ED122:$EL122,OFFSET(DNN!$E$9:$M$9,EO$9,0)) + OFFSET(DNN!$D$9,EO$9,0))</f>
        <v>7.2346022384755949E-3</v>
      </c>
      <c r="EP122" s="84">
        <f ca="1">MAX(0, SUMPRODUCT($ED122:$EL122,OFFSET(DNN!$E$9:$M$9,EP$9,0)) + OFFSET(DNN!$D$9,EP$9,0))</f>
        <v>3.6951849750035152E-3</v>
      </c>
      <c r="EQ122" s="84">
        <f ca="1">MAX(0, SUMPRODUCT($ED122:$EL122,OFFSET(DNN!$E$9:$M$9,EQ$9,0)) + OFFSET(DNN!$D$9,EQ$9,0))</f>
        <v>0</v>
      </c>
      <c r="ER122" s="85">
        <f ca="1">MAX(0, SUMPRODUCT($ED122:$EL122,OFFSET(DNN!$E$9:$M$9,ER$9,0)) + OFFSET(DNN!$D$9,ER$9,0))</f>
        <v>0</v>
      </c>
      <c r="ET122" s="86">
        <f ca="1">MAX(0, SUMPRODUCT($EN122:$ER122,OFFSET(DNN!$Q$9:$U$9,ET$9,0)) + OFFSET(DNN!$P$9,ET$9,0))</f>
        <v>4.3954959453478351E-4</v>
      </c>
      <c r="EU122" s="84">
        <f ca="1">MAX(0, SUMPRODUCT($EN122:$ER122,OFFSET(DNN!$Q$9:$U$9,EU$9,0)) + OFFSET(DNN!$P$9,EU$9,0))</f>
        <v>0</v>
      </c>
      <c r="EV122" s="84">
        <f ca="1">MAX(0, SUMPRODUCT($EN122:$ER122,OFFSET(DNN!$Q$9:$U$9,EV$9,0)) + OFFSET(DNN!$P$9,EV$9,0))</f>
        <v>1.2810123361902579E-3</v>
      </c>
      <c r="EW122" s="84">
        <f ca="1">MAX(0, SUMPRODUCT($EN122:$ER122,OFFSET(DNN!$Q$9:$U$9,EW$9,0)) + OFFSET(DNN!$P$9,EW$9,0))</f>
        <v>7.8382123007882457E-4</v>
      </c>
      <c r="EX122" s="85">
        <f ca="1">MAX(0, SUMPRODUCT($EN122:$ER122,OFFSET(DNN!$Q$9:$U$9,EX$9,0)) + OFFSET(DNN!$P$9,EX$9,0))</f>
        <v>0</v>
      </c>
      <c r="EZ122" s="111">
        <f ca="1">SUMPRODUCT($ET122:$EX122,OFFSET(DNN!$Y$9:$AC$9,EZ$9,0)) + OFFSET(DNN!$X$9,EZ$9,0)</f>
        <v>0.43031618918982212</v>
      </c>
      <c r="FA122" s="97">
        <f ca="1">SUMPRODUCT($ET122:$EX122,OFFSET(DNN!$Y$9:$AC$9,FA$9,0)) + OFFSET(DNN!$X$9,FA$9,0)</f>
        <v>-1.2643439935754107E-5</v>
      </c>
      <c r="FB122" s="97">
        <f ca="1">SUMPRODUCT($ET122:$EX122,OFFSET(DNN!$Y$9:$AC$9,FB$9,0)) + OFFSET(DNN!$X$9,FB$9,0)</f>
        <v>1.5239793458415756E-2</v>
      </c>
      <c r="FC122" s="97">
        <f ca="1">SUMPRODUCT($ET122:$EX122,OFFSET(DNN!$Y$9:$AC$9,FC$9,0)) + OFFSET(DNN!$X$9,FC$9,0)</f>
        <v>-8.8749521084055777E-4</v>
      </c>
      <c r="FD122" s="97">
        <f ca="1">SUMPRODUCT($ET122:$EX122,OFFSET(DNN!$Y$9:$AC$9,FD$9,0)) + OFFSET(DNN!$X$9,FD$9,0)</f>
        <v>-4.235816470721872E-4</v>
      </c>
      <c r="FE122" s="97">
        <f ca="1">SUMPRODUCT($ET122:$EX122,OFFSET(DNN!$Y$9:$AC$9,FE$9,0)) + OFFSET(DNN!$X$9,FE$9,0)</f>
        <v>-1.574182761064886E-5</v>
      </c>
      <c r="FF122" s="97">
        <f ca="1">SUMPRODUCT($ET122:$EX122,OFFSET(DNN!$Y$9:$AC$9,FF$9,0)) + OFFSET(DNN!$X$9,FF$9,0)</f>
        <v>-1.3491460223194656E-3</v>
      </c>
      <c r="FG122" s="97">
        <f ca="1">SUMPRODUCT($ET122:$EX122,OFFSET(DNN!$Y$9:$AC$9,FG$9,0)) + OFFSET(DNN!$X$9,FG$9,0)</f>
        <v>-6.2604808096248285E-2</v>
      </c>
      <c r="FH122" s="97">
        <f ca="1">SUMPRODUCT($ET122:$EX122,OFFSET(DNN!$Y$9:$AC$9,FH$9,0)) + OFFSET(DNN!$X$9,FH$9,0)</f>
        <v>8.6810016937029894E-4</v>
      </c>
      <c r="FI122" s="108">
        <f ca="1">SUMPRODUCT($ET122:$EX122,OFFSET(DNN!$Y$9:$AC$9,FI$9,0)) + OFFSET(DNN!$X$9,FI$9,0)</f>
        <v>-1.3182687612562751</v>
      </c>
      <c r="FJ122" s="98">
        <f ca="1">SUMPRODUCT($ET122:$EX122,OFFSET(DNN!$Y$9:$AC$9,FJ$9,0)) + OFFSET(DNN!$X$9,FJ$9,0)</f>
        <v>-2.2535161745939301E-5</v>
      </c>
      <c r="FL122" s="415">
        <f t="shared" ca="1" si="224"/>
        <v>0.43031618918982212</v>
      </c>
      <c r="FM122" s="130">
        <f t="shared" ca="1" si="225"/>
        <v>1</v>
      </c>
      <c r="FN122" s="131">
        <f t="shared" ca="1" si="226"/>
        <v>0.65029522127322903</v>
      </c>
      <c r="FO122" s="131">
        <f t="shared" ca="1" si="227"/>
        <v>0.66028983545318687</v>
      </c>
      <c r="FP122" s="131">
        <f t="shared" ca="1" si="228"/>
        <v>0.64972655813153501</v>
      </c>
      <c r="FQ122" s="131">
        <f t="shared" ca="1" si="229"/>
        <v>0.65002804502111444</v>
      </c>
      <c r="FR122" s="131">
        <f t="shared" ca="1" si="230"/>
        <v>0.65029320640965171</v>
      </c>
      <c r="FS122" s="131">
        <f t="shared" ca="1" si="231"/>
        <v>0.64942668056342145</v>
      </c>
      <c r="FT122" s="131">
        <f t="shared" ca="1" si="232"/>
        <v>0.61083952513994022</v>
      </c>
      <c r="FU122" s="132">
        <f t="shared" ca="1" si="233"/>
        <v>0.6508682169276182</v>
      </c>
      <c r="FV122" s="131">
        <f t="shared" ca="1" si="234"/>
        <v>0.17402001625314881</v>
      </c>
      <c r="FW122" s="83">
        <f t="shared" ca="1" si="235"/>
        <v>-2.2535161742124597E-5</v>
      </c>
    </row>
    <row r="123" spans="1:179">
      <c r="A123" s="19">
        <f t="shared" si="240"/>
        <v>113</v>
      </c>
      <c r="B123" s="1">
        <f t="shared" ca="1" si="236"/>
        <v>0</v>
      </c>
      <c r="C123" s="20">
        <f t="shared" ca="1" si="237"/>
        <v>113</v>
      </c>
      <c r="D123" s="19" t="str">
        <f t="shared" ca="1" si="238"/>
        <v>〇×〇×〇×--〇</v>
      </c>
      <c r="E123" s="7">
        <f t="shared" ca="1" si="206"/>
        <v>9</v>
      </c>
      <c r="F123" s="7">
        <f t="shared" ca="1" si="207"/>
        <v>1</v>
      </c>
      <c r="G123" s="1" t="str">
        <f t="shared" ca="1" si="139"/>
        <v>〇×〇×〇×--〇</v>
      </c>
      <c r="H123" s="20" t="b">
        <f t="shared" ca="1" si="140"/>
        <v>1</v>
      </c>
      <c r="I123" s="22">
        <f t="shared" ca="1" si="239"/>
        <v>-1</v>
      </c>
      <c r="J123" s="1" t="b">
        <f ca="1">(1&lt;COUNTIF(D$10:D123,D123))</f>
        <v>1</v>
      </c>
      <c r="K123" s="1" t="b">
        <f t="shared" ca="1" si="141"/>
        <v>1</v>
      </c>
      <c r="L123" s="7">
        <f ca="1">MATCH(TRUE,K123:K$1048576,FALSE)-1</f>
        <v>0</v>
      </c>
      <c r="M123" s="24" t="str">
        <f t="shared" ca="1" si="142"/>
        <v>〇×〇×〇×--〇_9</v>
      </c>
      <c r="N123" s="25">
        <f t="shared" ca="1" si="208"/>
        <v>-2.2535161742124597E-5</v>
      </c>
      <c r="O123" s="26">
        <f t="shared" ca="1" si="209"/>
        <v>-1</v>
      </c>
      <c r="P123" s="27">
        <f t="shared" ca="1" si="210"/>
        <v>-1</v>
      </c>
      <c r="R123" s="41" t="str">
        <f ca="1">VLOOKUP(S123,cvt!$B$2:$C$4,2,FALSE)&amp;VLOOKUP(T123,cvt!$B$2:$C$4,2,FALSE)&amp;VLOOKUP(U123,cvt!$B$2:$C$4,2,FALSE)
&amp;VLOOKUP(V123,cvt!$B$2:$C$4,2,FALSE)&amp;VLOOKUP(W123,cvt!$B$2:$C$4,2,FALSE)&amp;VLOOKUP(X123,cvt!$B$2:$C$4,2,FALSE)
&amp;VLOOKUP(Y123,cvt!$B$2:$C$4,2,FALSE)&amp;VLOOKUP(Z123,cvt!$B$2:$C$4,2,FALSE)&amp;VLOOKUP(AA123,cvt!$B$2:$C$4,2,FALSE)</f>
        <v>〇×〇×〇×--〇</v>
      </c>
      <c r="S123" s="7">
        <f ca="1">VLOOKUP(MID($D123,S$9+1,1), cvt!$A$2:$B$4,2, FALSE)</f>
        <v>1</v>
      </c>
      <c r="T123" s="7">
        <f ca="1">VLOOKUP(MID($D123,T$9+1,1), cvt!$A$2:$B$4,2, FALSE)</f>
        <v>-1</v>
      </c>
      <c r="U123" s="7">
        <f ca="1">VLOOKUP(MID($D123,U$9+1,1), cvt!$A$2:$B$4,2, FALSE)</f>
        <v>1</v>
      </c>
      <c r="V123" s="17">
        <f ca="1">VLOOKUP(MID($D123,V$9+1,1), cvt!$A$2:$B$4,2, FALSE)</f>
        <v>-1</v>
      </c>
      <c r="W123" s="7">
        <f ca="1">VLOOKUP(MID($D123,W$9+1,1), cvt!$A$2:$B$4,2, FALSE)</f>
        <v>1</v>
      </c>
      <c r="X123" s="18">
        <f ca="1">VLOOKUP(MID($D123,X$9+1,1), cvt!$A$2:$B$4,2, FALSE)</f>
        <v>-1</v>
      </c>
      <c r="Y123" s="7">
        <f ca="1">VLOOKUP(MID($D123,Y$9+1,1), cvt!$A$2:$B$4,2, FALSE)</f>
        <v>0</v>
      </c>
      <c r="Z123" s="7">
        <f ca="1">VLOOKUP(MID($D123,Z$9+1,1), cvt!$A$2:$B$4,2, FALSE)</f>
        <v>0</v>
      </c>
      <c r="AA123" s="42">
        <f ca="1">VLOOKUP(MID($D123,AA$9+1,1), cvt!$A$2:$B$4,2, FALSE)</f>
        <v>1</v>
      </c>
      <c r="AB123" s="7">
        <f t="shared" ca="1" si="211"/>
        <v>1</v>
      </c>
      <c r="AC123" s="50" t="b">
        <f t="shared" ca="1" si="212"/>
        <v>1</v>
      </c>
      <c r="AE123" s="19" t="str">
        <f ca="1">VLOOKUP(AF123,cvt!$B$2:$C$4,2,FALSE)&amp;VLOOKUP(AG123,cvt!$B$2:$C$4,2,FALSE)&amp;VLOOKUP(AH123,cvt!$B$2:$C$4,2,FALSE)
&amp;VLOOKUP(AI123,cvt!$B$2:$C$4,2,FALSE)&amp;VLOOKUP(AJ123,cvt!$B$2:$C$4,2,FALSE)&amp;VLOOKUP(AK123,cvt!$B$2:$C$4,2,FALSE)
&amp;VLOOKUP(AL123,cvt!$B$2:$C$4,2,FALSE)&amp;VLOOKUP(AM123,cvt!$B$2:$C$4,2,FALSE)&amp;VLOOKUP(AN123,cvt!$B$2:$C$4,2,FALSE)</f>
        <v>〇×〇×〇×--〇</v>
      </c>
      <c r="AF123" s="17">
        <f t="shared" ca="1" si="143"/>
        <v>1</v>
      </c>
      <c r="AG123" s="7">
        <f t="shared" ca="1" si="144"/>
        <v>-1</v>
      </c>
      <c r="AH123" s="7">
        <f t="shared" ca="1" si="145"/>
        <v>1</v>
      </c>
      <c r="AI123" s="17">
        <f t="shared" ca="1" si="146"/>
        <v>-1</v>
      </c>
      <c r="AJ123" s="7">
        <f t="shared" ca="1" si="147"/>
        <v>1</v>
      </c>
      <c r="AK123" s="18">
        <f t="shared" ca="1" si="148"/>
        <v>-1</v>
      </c>
      <c r="AL123" s="7">
        <f t="shared" ca="1" si="149"/>
        <v>0</v>
      </c>
      <c r="AM123" s="7">
        <f t="shared" ca="1" si="150"/>
        <v>0</v>
      </c>
      <c r="AN123" s="18">
        <f t="shared" ca="1" si="151"/>
        <v>1</v>
      </c>
      <c r="AO123" s="7">
        <f t="shared" ca="1" si="213"/>
        <v>1</v>
      </c>
      <c r="AP123" s="50" t="b">
        <f t="shared" ca="1" si="152"/>
        <v>1</v>
      </c>
      <c r="AS123" s="22">
        <f t="shared" ca="1" si="214"/>
        <v>0</v>
      </c>
      <c r="AT123" s="7">
        <f t="shared" ca="1" si="153"/>
        <v>0</v>
      </c>
      <c r="AU123" s="7">
        <f t="shared" ca="1" si="154"/>
        <v>0</v>
      </c>
      <c r="AV123" s="7">
        <f t="shared" ca="1" si="155"/>
        <v>0</v>
      </c>
      <c r="AW123" s="7">
        <f t="shared" ca="1" si="156"/>
        <v>0</v>
      </c>
      <c r="AX123" s="7">
        <f t="shared" ca="1" si="157"/>
        <v>0</v>
      </c>
      <c r="AY123" s="7">
        <f t="shared" ca="1" si="158"/>
        <v>0</v>
      </c>
      <c r="AZ123" s="7">
        <f t="shared" ca="1" si="159"/>
        <v>0</v>
      </c>
      <c r="BA123" s="18">
        <f t="shared" ca="1" si="160"/>
        <v>0</v>
      </c>
      <c r="BB123" s="295">
        <f t="shared" ca="1" si="215"/>
        <v>1</v>
      </c>
      <c r="BD123" s="132"/>
      <c r="BE123" s="297">
        <f t="shared" ca="1" si="216"/>
        <v>1</v>
      </c>
      <c r="BF123" s="298">
        <f t="shared" ca="1" si="161"/>
        <v>0.65029522127322903</v>
      </c>
      <c r="BG123" s="298">
        <f t="shared" ca="1" si="162"/>
        <v>0.66028983545318687</v>
      </c>
      <c r="BH123" s="318">
        <f t="shared" ca="1" si="163"/>
        <v>0.64972655813153501</v>
      </c>
      <c r="BI123" s="298">
        <f t="shared" ca="1" si="164"/>
        <v>0.65002804502111444</v>
      </c>
      <c r="BJ123" s="299">
        <f t="shared" ca="1" si="165"/>
        <v>0.65029320640965171</v>
      </c>
      <c r="BK123" s="298">
        <f t="shared" ca="1" si="166"/>
        <v>0.64942668056342145</v>
      </c>
      <c r="BL123" s="298">
        <f t="shared" ca="1" si="167"/>
        <v>0.61083952513994022</v>
      </c>
      <c r="BM123" s="299">
        <f t="shared" ca="1" si="168"/>
        <v>0.6508682169276182</v>
      </c>
      <c r="BN123" s="295">
        <f t="shared" ca="1" si="169"/>
        <v>0.17402001625314881</v>
      </c>
      <c r="BO123" s="248">
        <f t="shared" ca="1" si="217"/>
        <v>-2.2535161742124597E-5</v>
      </c>
      <c r="BQ123" s="304">
        <f t="shared" ca="1" si="218"/>
        <v>0.42412001625314877</v>
      </c>
      <c r="BR123" s="297">
        <f t="shared" ca="1" si="219"/>
        <v>0</v>
      </c>
      <c r="BS123" s="298">
        <f t="shared" ca="1" si="170"/>
        <v>0</v>
      </c>
      <c r="BT123" s="298">
        <f t="shared" ca="1" si="171"/>
        <v>0</v>
      </c>
      <c r="BU123" s="318">
        <f t="shared" ca="1" si="172"/>
        <v>0</v>
      </c>
      <c r="BV123" s="298">
        <f t="shared" ca="1" si="173"/>
        <v>0</v>
      </c>
      <c r="BW123" s="299">
        <f t="shared" ca="1" si="174"/>
        <v>0</v>
      </c>
      <c r="BX123" s="298">
        <f t="shared" ca="1" si="175"/>
        <v>0</v>
      </c>
      <c r="BY123" s="298">
        <f t="shared" ca="1" si="176"/>
        <v>0</v>
      </c>
      <c r="BZ123" s="298">
        <f t="shared" ca="1" si="177"/>
        <v>0</v>
      </c>
      <c r="CA123" s="315">
        <f t="shared" ca="1" si="178"/>
        <v>0.42412001625314877</v>
      </c>
      <c r="CC123" s="52"/>
      <c r="CD123" s="306">
        <f t="shared" ca="1" si="220"/>
        <v>0</v>
      </c>
      <c r="CE123" s="15">
        <f t="shared" ca="1" si="179"/>
        <v>0</v>
      </c>
      <c r="CF123" s="15">
        <f t="shared" ca="1" si="180"/>
        <v>0</v>
      </c>
      <c r="CG123" s="286">
        <f t="shared" ca="1" si="181"/>
        <v>0</v>
      </c>
      <c r="CH123" s="15">
        <f t="shared" ca="1" si="182"/>
        <v>0</v>
      </c>
      <c r="CI123" s="288">
        <f t="shared" ca="1" si="183"/>
        <v>0</v>
      </c>
      <c r="CJ123" s="15">
        <f t="shared" ca="1" si="184"/>
        <v>0</v>
      </c>
      <c r="CK123" s="15">
        <f t="shared" ca="1" si="185"/>
        <v>0</v>
      </c>
      <c r="CL123" s="15">
        <f t="shared" ca="1" si="186"/>
        <v>0</v>
      </c>
      <c r="CM123" s="313">
        <f t="shared" ca="1" si="187"/>
        <v>1</v>
      </c>
      <c r="CO123" s="320">
        <f t="shared" ca="1" si="221"/>
        <v>112</v>
      </c>
      <c r="CP123" s="22">
        <f ca="1">COUNTIFS($C$10:$C122,"&lt;"&amp;$C123,$M$10:$M122,$D123&amp;"_"&amp;CP$9)</f>
        <v>0</v>
      </c>
      <c r="CQ123" s="7">
        <f ca="1">COUNTIFS($C$10:$C122,"&lt;"&amp;$C123,$M$10:$M122,$D123&amp;"_"&amp;CQ$9)</f>
        <v>0</v>
      </c>
      <c r="CR123" s="7">
        <f ca="1">COUNTIFS($C$10:$C122,"&lt;"&amp;$C123,$M$10:$M122,$D123&amp;"_"&amp;CR$9)</f>
        <v>0</v>
      </c>
      <c r="CS123" s="17">
        <f ca="1">COUNTIFS($C$10:$C122,"&lt;"&amp;$C123,$M$10:$M122,$D123&amp;"_"&amp;CS$9)</f>
        <v>0</v>
      </c>
      <c r="CT123" s="7">
        <f ca="1">COUNTIFS($C$10:$C122,"&lt;"&amp;$C123,$M$10:$M122,$D123&amp;"_"&amp;CT$9)</f>
        <v>0</v>
      </c>
      <c r="CU123" s="18">
        <f ca="1">COUNTIFS($C$10:$C122,"&lt;"&amp;$C123,$M$10:$M122,$D123&amp;"_"&amp;CU$9)</f>
        <v>0</v>
      </c>
      <c r="CV123" s="7">
        <f ca="1">COUNTIFS($C$10:$C122,"&lt;"&amp;$C123,$M$10:$M122,$D123&amp;"_"&amp;CV$9)</f>
        <v>0</v>
      </c>
      <c r="CW123" s="7">
        <f ca="1">COUNTIFS($C$10:$C122,"&lt;"&amp;$C123,$M$10:$M122,$D123&amp;"_"&amp;CW$9)</f>
        <v>0</v>
      </c>
      <c r="CX123" s="7">
        <f ca="1">COUNTIFS($C$10:$C122,"&lt;"&amp;$C123,$M$10:$M122,$D123&amp;"_"&amp;CX$9)</f>
        <v>0</v>
      </c>
      <c r="CY123" s="221">
        <f ca="1">COUNTIFS($C$10:$C122,"&lt;"&amp;$C123,$M$10:$M122,$D123&amp;"_"&amp;CY$9)</f>
        <v>112</v>
      </c>
      <c r="DA123" s="20"/>
      <c r="DB123" s="308">
        <f ca="1">IF(CP123=0,0,SUMIFS($P$10:$P122, $C$10:$C122,"&lt;"&amp;$C123, $M$10:$M122,$D123&amp;"_"&amp;DB$9)/CP123)</f>
        <v>0</v>
      </c>
      <c r="DC123" s="263">
        <f ca="1">IF(CQ123=0,0,SUMIFS($P$10:$P122, $C$10:$C122,"&lt;"&amp;$C123, $M$10:$M122,$D123&amp;"_"&amp;DC$9)/CQ123)</f>
        <v>0</v>
      </c>
      <c r="DD123" s="263">
        <f ca="1">IF(CR123=0,0,SUMIFS($P$10:$P122, $C$10:$C122,"&lt;"&amp;$C123, $M$10:$M122,$D123&amp;"_"&amp;DD$9)/CR123)</f>
        <v>0</v>
      </c>
      <c r="DE123" s="262">
        <f ca="1">IF(CS123=0,0,SUMIFS($P$10:$P122, $C$10:$C122,"&lt;"&amp;$C123, $M$10:$M122,$D123&amp;"_"&amp;DE$9)/CS123)</f>
        <v>0</v>
      </c>
      <c r="DF123" s="263">
        <f ca="1">IF(CT123=0,0,SUMIFS($P$10:$P122, $C$10:$C122,"&lt;"&amp;$C123, $M$10:$M122,$D123&amp;"_"&amp;DF$9)/CT123)</f>
        <v>0</v>
      </c>
      <c r="DG123" s="310">
        <f ca="1">IF(CU123=0,0,SUMIFS($P$10:$P122, $C$10:$C122,"&lt;"&amp;$C123, $M$10:$M122,$D123&amp;"_"&amp;DG$9)/CU123)</f>
        <v>0</v>
      </c>
      <c r="DH123" s="263">
        <f ca="1">IF(CV123=0,0,SUMIFS($P$10:$P122, $C$10:$C122,"&lt;"&amp;$C123, $M$10:$M122,$D123&amp;"_"&amp;DH$9)/CV123)</f>
        <v>0</v>
      </c>
      <c r="DI123" s="263">
        <f ca="1">IF(CW123=0,0,SUMIFS($P$10:$P122, $C$10:$C122,"&lt;"&amp;$C123, $M$10:$M122,$D123&amp;"_"&amp;DI$9)/CW123)</f>
        <v>0</v>
      </c>
      <c r="DJ123" s="264">
        <f ca="1">IF(CX123=0,0,SUMIFS($P$10:$P122, $C$10:$C122,"&lt;"&amp;$C123, $M$10:$M122,$D123&amp;"_"&amp;DJ$9)/CX123)</f>
        <v>0</v>
      </c>
      <c r="DK123" s="264">
        <f ca="1">IF(CY123=0,0,SUMIFS($P$10:$P122, $C$10:$C122,"&lt;"&amp;$C123, $M$10:$M122,$D123&amp;"_"&amp;DK$9)/CY123)</f>
        <v>-1</v>
      </c>
      <c r="DM123" s="104"/>
      <c r="DN123" s="306">
        <f t="shared" ca="1" si="222"/>
        <v>-9999</v>
      </c>
      <c r="DO123" s="15">
        <f t="shared" ca="1" si="188"/>
        <v>-9999</v>
      </c>
      <c r="DP123" s="15">
        <f t="shared" ca="1" si="189"/>
        <v>-9999</v>
      </c>
      <c r="DQ123" s="15">
        <f t="shared" ca="1" si="190"/>
        <v>-9999</v>
      </c>
      <c r="DR123" s="15">
        <f t="shared" ca="1" si="191"/>
        <v>-9999</v>
      </c>
      <c r="DS123" s="15">
        <f t="shared" ca="1" si="192"/>
        <v>-9999</v>
      </c>
      <c r="DT123" s="15">
        <f t="shared" ca="1" si="193"/>
        <v>-9999</v>
      </c>
      <c r="DU123" s="15">
        <f t="shared" ca="1" si="194"/>
        <v>-9999</v>
      </c>
      <c r="DV123" s="52">
        <f t="shared" ca="1" si="195"/>
        <v>-9999</v>
      </c>
      <c r="DW123" s="313">
        <f t="shared" ca="1" si="196"/>
        <v>-0.9063450863339968</v>
      </c>
      <c r="DX123" s="52"/>
      <c r="DY123" s="402">
        <f t="shared" ca="1" si="223"/>
        <v>9</v>
      </c>
      <c r="ED123" s="19">
        <f t="shared" ca="1" si="241"/>
        <v>-1</v>
      </c>
      <c r="EE123" s="1">
        <f t="shared" ca="1" si="242"/>
        <v>1</v>
      </c>
      <c r="EF123" s="1">
        <f t="shared" ca="1" si="243"/>
        <v>-1</v>
      </c>
      <c r="EG123" s="2">
        <f t="shared" ca="1" si="244"/>
        <v>1</v>
      </c>
      <c r="EH123" s="1">
        <f t="shared" ca="1" si="245"/>
        <v>-1</v>
      </c>
      <c r="EI123" s="3">
        <f t="shared" ca="1" si="246"/>
        <v>1</v>
      </c>
      <c r="EJ123" s="1">
        <f t="shared" ca="1" si="247"/>
        <v>0</v>
      </c>
      <c r="EK123" s="1">
        <f t="shared" ca="1" si="248"/>
        <v>0</v>
      </c>
      <c r="EL123" s="20">
        <f t="shared" ca="1" si="249"/>
        <v>-1</v>
      </c>
      <c r="EN123" s="86">
        <f ca="1">MAX(0, SUMPRODUCT($ED123:$EL123,OFFSET(DNN!$E$9:$M$9,EN$9,0)) + OFFSET(DNN!$D$9,EN$9,0))</f>
        <v>0</v>
      </c>
      <c r="EO123" s="84">
        <f ca="1">MAX(0, SUMPRODUCT($ED123:$EL123,OFFSET(DNN!$E$9:$M$9,EO$9,0)) + OFFSET(DNN!$D$9,EO$9,0))</f>
        <v>7.2346022384755949E-3</v>
      </c>
      <c r="EP123" s="84">
        <f ca="1">MAX(0, SUMPRODUCT($ED123:$EL123,OFFSET(DNN!$E$9:$M$9,EP$9,0)) + OFFSET(DNN!$D$9,EP$9,0))</f>
        <v>3.6951849750035152E-3</v>
      </c>
      <c r="EQ123" s="84">
        <f ca="1">MAX(0, SUMPRODUCT($ED123:$EL123,OFFSET(DNN!$E$9:$M$9,EQ$9,0)) + OFFSET(DNN!$D$9,EQ$9,0))</f>
        <v>0</v>
      </c>
      <c r="ER123" s="85">
        <f ca="1">MAX(0, SUMPRODUCT($ED123:$EL123,OFFSET(DNN!$E$9:$M$9,ER$9,0)) + OFFSET(DNN!$D$9,ER$9,0))</f>
        <v>0</v>
      </c>
      <c r="ET123" s="86">
        <f ca="1">MAX(0, SUMPRODUCT($EN123:$ER123,OFFSET(DNN!$Q$9:$U$9,ET$9,0)) + OFFSET(DNN!$P$9,ET$9,0))</f>
        <v>4.3954959453478351E-4</v>
      </c>
      <c r="EU123" s="84">
        <f ca="1">MAX(0, SUMPRODUCT($EN123:$ER123,OFFSET(DNN!$Q$9:$U$9,EU$9,0)) + OFFSET(DNN!$P$9,EU$9,0))</f>
        <v>0</v>
      </c>
      <c r="EV123" s="84">
        <f ca="1">MAX(0, SUMPRODUCT($EN123:$ER123,OFFSET(DNN!$Q$9:$U$9,EV$9,0)) + OFFSET(DNN!$P$9,EV$9,0))</f>
        <v>1.2810123361902579E-3</v>
      </c>
      <c r="EW123" s="84">
        <f ca="1">MAX(0, SUMPRODUCT($EN123:$ER123,OFFSET(DNN!$Q$9:$U$9,EW$9,0)) + OFFSET(DNN!$P$9,EW$9,0))</f>
        <v>7.8382123007882457E-4</v>
      </c>
      <c r="EX123" s="85">
        <f ca="1">MAX(0, SUMPRODUCT($EN123:$ER123,OFFSET(DNN!$Q$9:$U$9,EX$9,0)) + OFFSET(DNN!$P$9,EX$9,0))</f>
        <v>0</v>
      </c>
      <c r="EZ123" s="111">
        <f ca="1">SUMPRODUCT($ET123:$EX123,OFFSET(DNN!$Y$9:$AC$9,EZ$9,0)) + OFFSET(DNN!$X$9,EZ$9,0)</f>
        <v>0.43031618918982212</v>
      </c>
      <c r="FA123" s="97">
        <f ca="1">SUMPRODUCT($ET123:$EX123,OFFSET(DNN!$Y$9:$AC$9,FA$9,0)) + OFFSET(DNN!$X$9,FA$9,0)</f>
        <v>-1.2643439935754107E-5</v>
      </c>
      <c r="FB123" s="97">
        <f ca="1">SUMPRODUCT($ET123:$EX123,OFFSET(DNN!$Y$9:$AC$9,FB$9,0)) + OFFSET(DNN!$X$9,FB$9,0)</f>
        <v>1.5239793458415756E-2</v>
      </c>
      <c r="FC123" s="97">
        <f ca="1">SUMPRODUCT($ET123:$EX123,OFFSET(DNN!$Y$9:$AC$9,FC$9,0)) + OFFSET(DNN!$X$9,FC$9,0)</f>
        <v>-8.8749521084055777E-4</v>
      </c>
      <c r="FD123" s="97">
        <f ca="1">SUMPRODUCT($ET123:$EX123,OFFSET(DNN!$Y$9:$AC$9,FD$9,0)) + OFFSET(DNN!$X$9,FD$9,0)</f>
        <v>-4.235816470721872E-4</v>
      </c>
      <c r="FE123" s="97">
        <f ca="1">SUMPRODUCT($ET123:$EX123,OFFSET(DNN!$Y$9:$AC$9,FE$9,0)) + OFFSET(DNN!$X$9,FE$9,0)</f>
        <v>-1.574182761064886E-5</v>
      </c>
      <c r="FF123" s="97">
        <f ca="1">SUMPRODUCT($ET123:$EX123,OFFSET(DNN!$Y$9:$AC$9,FF$9,0)) + OFFSET(DNN!$X$9,FF$9,0)</f>
        <v>-1.3491460223194656E-3</v>
      </c>
      <c r="FG123" s="97">
        <f ca="1">SUMPRODUCT($ET123:$EX123,OFFSET(DNN!$Y$9:$AC$9,FG$9,0)) + OFFSET(DNN!$X$9,FG$9,0)</f>
        <v>-6.2604808096248285E-2</v>
      </c>
      <c r="FH123" s="97">
        <f ca="1">SUMPRODUCT($ET123:$EX123,OFFSET(DNN!$Y$9:$AC$9,FH$9,0)) + OFFSET(DNN!$X$9,FH$9,0)</f>
        <v>8.6810016937029894E-4</v>
      </c>
      <c r="FI123" s="108">
        <f ca="1">SUMPRODUCT($ET123:$EX123,OFFSET(DNN!$Y$9:$AC$9,FI$9,0)) + OFFSET(DNN!$X$9,FI$9,0)</f>
        <v>-1.3182687612562751</v>
      </c>
      <c r="FJ123" s="98">
        <f ca="1">SUMPRODUCT($ET123:$EX123,OFFSET(DNN!$Y$9:$AC$9,FJ$9,0)) + OFFSET(DNN!$X$9,FJ$9,0)</f>
        <v>-2.2535161745939301E-5</v>
      </c>
      <c r="FL123" s="415">
        <f t="shared" ca="1" si="224"/>
        <v>0.43031618918982212</v>
      </c>
      <c r="FM123" s="130">
        <f t="shared" ca="1" si="225"/>
        <v>1</v>
      </c>
      <c r="FN123" s="131">
        <f t="shared" ca="1" si="226"/>
        <v>0.65029522127322903</v>
      </c>
      <c r="FO123" s="131">
        <f t="shared" ca="1" si="227"/>
        <v>0.66028983545318687</v>
      </c>
      <c r="FP123" s="131">
        <f t="shared" ca="1" si="228"/>
        <v>0.64972655813153501</v>
      </c>
      <c r="FQ123" s="131">
        <f t="shared" ca="1" si="229"/>
        <v>0.65002804502111444</v>
      </c>
      <c r="FR123" s="131">
        <f t="shared" ca="1" si="230"/>
        <v>0.65029320640965171</v>
      </c>
      <c r="FS123" s="131">
        <f t="shared" ca="1" si="231"/>
        <v>0.64942668056342145</v>
      </c>
      <c r="FT123" s="131">
        <f t="shared" ca="1" si="232"/>
        <v>0.61083952513994022</v>
      </c>
      <c r="FU123" s="132">
        <f t="shared" ca="1" si="233"/>
        <v>0.6508682169276182</v>
      </c>
      <c r="FV123" s="131">
        <f t="shared" ca="1" si="234"/>
        <v>0.17402001625314881</v>
      </c>
      <c r="FW123" s="83">
        <f t="shared" ca="1" si="235"/>
        <v>-2.2535161742124597E-5</v>
      </c>
    </row>
    <row r="124" spans="1:179">
      <c r="A124" s="19">
        <f t="shared" si="240"/>
        <v>114</v>
      </c>
      <c r="B124" s="1">
        <f t="shared" ca="1" si="236"/>
        <v>0</v>
      </c>
      <c r="C124" s="20">
        <f t="shared" ca="1" si="237"/>
        <v>114</v>
      </c>
      <c r="D124" s="19" t="str">
        <f t="shared" ca="1" si="238"/>
        <v>〇×〇×〇×--〇</v>
      </c>
      <c r="E124" s="7">
        <f t="shared" ca="1" si="206"/>
        <v>9</v>
      </c>
      <c r="F124" s="7">
        <f t="shared" ca="1" si="207"/>
        <v>1</v>
      </c>
      <c r="G124" s="1" t="str">
        <f t="shared" ca="1" si="139"/>
        <v>〇×〇×〇×--〇</v>
      </c>
      <c r="H124" s="20" t="b">
        <f t="shared" ca="1" si="140"/>
        <v>1</v>
      </c>
      <c r="I124" s="22">
        <f t="shared" ca="1" si="239"/>
        <v>-1</v>
      </c>
      <c r="J124" s="1" t="b">
        <f ca="1">(1&lt;COUNTIF(D$10:D124,D124))</f>
        <v>1</v>
      </c>
      <c r="K124" s="1" t="b">
        <f t="shared" ca="1" si="141"/>
        <v>1</v>
      </c>
      <c r="L124" s="7">
        <f ca="1">MATCH(TRUE,K124:K$1048576,FALSE)-1</f>
        <v>0</v>
      </c>
      <c r="M124" s="24" t="str">
        <f t="shared" ca="1" si="142"/>
        <v>〇×〇×〇×--〇_9</v>
      </c>
      <c r="N124" s="25">
        <f t="shared" ca="1" si="208"/>
        <v>-2.2535161742124597E-5</v>
      </c>
      <c r="O124" s="26">
        <f t="shared" ca="1" si="209"/>
        <v>-1</v>
      </c>
      <c r="P124" s="27">
        <f t="shared" ca="1" si="210"/>
        <v>-1</v>
      </c>
      <c r="R124" s="41" t="str">
        <f ca="1">VLOOKUP(S124,cvt!$B$2:$C$4,2,FALSE)&amp;VLOOKUP(T124,cvt!$B$2:$C$4,2,FALSE)&amp;VLOOKUP(U124,cvt!$B$2:$C$4,2,FALSE)
&amp;VLOOKUP(V124,cvt!$B$2:$C$4,2,FALSE)&amp;VLOOKUP(W124,cvt!$B$2:$C$4,2,FALSE)&amp;VLOOKUP(X124,cvt!$B$2:$C$4,2,FALSE)
&amp;VLOOKUP(Y124,cvt!$B$2:$C$4,2,FALSE)&amp;VLOOKUP(Z124,cvt!$B$2:$C$4,2,FALSE)&amp;VLOOKUP(AA124,cvt!$B$2:$C$4,2,FALSE)</f>
        <v>〇×〇×〇×--〇</v>
      </c>
      <c r="S124" s="7">
        <f ca="1">VLOOKUP(MID($D124,S$9+1,1), cvt!$A$2:$B$4,2, FALSE)</f>
        <v>1</v>
      </c>
      <c r="T124" s="7">
        <f ca="1">VLOOKUP(MID($D124,T$9+1,1), cvt!$A$2:$B$4,2, FALSE)</f>
        <v>-1</v>
      </c>
      <c r="U124" s="7">
        <f ca="1">VLOOKUP(MID($D124,U$9+1,1), cvt!$A$2:$B$4,2, FALSE)</f>
        <v>1</v>
      </c>
      <c r="V124" s="17">
        <f ca="1">VLOOKUP(MID($D124,V$9+1,1), cvt!$A$2:$B$4,2, FALSE)</f>
        <v>-1</v>
      </c>
      <c r="W124" s="7">
        <f ca="1">VLOOKUP(MID($D124,W$9+1,1), cvt!$A$2:$B$4,2, FALSE)</f>
        <v>1</v>
      </c>
      <c r="X124" s="18">
        <f ca="1">VLOOKUP(MID($D124,X$9+1,1), cvt!$A$2:$B$4,2, FALSE)</f>
        <v>-1</v>
      </c>
      <c r="Y124" s="7">
        <f ca="1">VLOOKUP(MID($D124,Y$9+1,1), cvt!$A$2:$B$4,2, FALSE)</f>
        <v>0</v>
      </c>
      <c r="Z124" s="7">
        <f ca="1">VLOOKUP(MID($D124,Z$9+1,1), cvt!$A$2:$B$4,2, FALSE)</f>
        <v>0</v>
      </c>
      <c r="AA124" s="42">
        <f ca="1">VLOOKUP(MID($D124,AA$9+1,1), cvt!$A$2:$B$4,2, FALSE)</f>
        <v>1</v>
      </c>
      <c r="AB124" s="7">
        <f t="shared" ca="1" si="211"/>
        <v>1</v>
      </c>
      <c r="AC124" s="50" t="b">
        <f t="shared" ca="1" si="212"/>
        <v>1</v>
      </c>
      <c r="AE124" s="19" t="str">
        <f ca="1">VLOOKUP(AF124,cvt!$B$2:$C$4,2,FALSE)&amp;VLOOKUP(AG124,cvt!$B$2:$C$4,2,FALSE)&amp;VLOOKUP(AH124,cvt!$B$2:$C$4,2,FALSE)
&amp;VLOOKUP(AI124,cvt!$B$2:$C$4,2,FALSE)&amp;VLOOKUP(AJ124,cvt!$B$2:$C$4,2,FALSE)&amp;VLOOKUP(AK124,cvt!$B$2:$C$4,2,FALSE)
&amp;VLOOKUP(AL124,cvt!$B$2:$C$4,2,FALSE)&amp;VLOOKUP(AM124,cvt!$B$2:$C$4,2,FALSE)&amp;VLOOKUP(AN124,cvt!$B$2:$C$4,2,FALSE)</f>
        <v>〇×〇×〇×--〇</v>
      </c>
      <c r="AF124" s="17">
        <f t="shared" ca="1" si="143"/>
        <v>1</v>
      </c>
      <c r="AG124" s="7">
        <f t="shared" ca="1" si="144"/>
        <v>-1</v>
      </c>
      <c r="AH124" s="7">
        <f t="shared" ca="1" si="145"/>
        <v>1</v>
      </c>
      <c r="AI124" s="17">
        <f t="shared" ca="1" si="146"/>
        <v>-1</v>
      </c>
      <c r="AJ124" s="7">
        <f t="shared" ca="1" si="147"/>
        <v>1</v>
      </c>
      <c r="AK124" s="18">
        <f t="shared" ca="1" si="148"/>
        <v>-1</v>
      </c>
      <c r="AL124" s="7">
        <f t="shared" ca="1" si="149"/>
        <v>0</v>
      </c>
      <c r="AM124" s="7">
        <f t="shared" ca="1" si="150"/>
        <v>0</v>
      </c>
      <c r="AN124" s="18">
        <f t="shared" ca="1" si="151"/>
        <v>1</v>
      </c>
      <c r="AO124" s="7">
        <f t="shared" ca="1" si="213"/>
        <v>1</v>
      </c>
      <c r="AP124" s="50" t="b">
        <f t="shared" ca="1" si="152"/>
        <v>1</v>
      </c>
      <c r="AS124" s="22">
        <f t="shared" ca="1" si="214"/>
        <v>0</v>
      </c>
      <c r="AT124" s="7">
        <f t="shared" ca="1" si="153"/>
        <v>0</v>
      </c>
      <c r="AU124" s="7">
        <f t="shared" ca="1" si="154"/>
        <v>0</v>
      </c>
      <c r="AV124" s="7">
        <f t="shared" ca="1" si="155"/>
        <v>0</v>
      </c>
      <c r="AW124" s="7">
        <f t="shared" ca="1" si="156"/>
        <v>0</v>
      </c>
      <c r="AX124" s="7">
        <f t="shared" ca="1" si="157"/>
        <v>0</v>
      </c>
      <c r="AY124" s="7">
        <f t="shared" ca="1" si="158"/>
        <v>0</v>
      </c>
      <c r="AZ124" s="7">
        <f t="shared" ca="1" si="159"/>
        <v>0</v>
      </c>
      <c r="BA124" s="18">
        <f t="shared" ca="1" si="160"/>
        <v>0</v>
      </c>
      <c r="BB124" s="295">
        <f t="shared" ca="1" si="215"/>
        <v>1</v>
      </c>
      <c r="BD124" s="132"/>
      <c r="BE124" s="297">
        <f t="shared" ca="1" si="216"/>
        <v>1</v>
      </c>
      <c r="BF124" s="298">
        <f t="shared" ca="1" si="161"/>
        <v>0.65029522127322903</v>
      </c>
      <c r="BG124" s="298">
        <f t="shared" ca="1" si="162"/>
        <v>0.66028983545318687</v>
      </c>
      <c r="BH124" s="318">
        <f t="shared" ca="1" si="163"/>
        <v>0.64972655813153501</v>
      </c>
      <c r="BI124" s="298">
        <f t="shared" ca="1" si="164"/>
        <v>0.65002804502111444</v>
      </c>
      <c r="BJ124" s="299">
        <f t="shared" ca="1" si="165"/>
        <v>0.65029320640965171</v>
      </c>
      <c r="BK124" s="298">
        <f t="shared" ca="1" si="166"/>
        <v>0.64942668056342145</v>
      </c>
      <c r="BL124" s="298">
        <f t="shared" ca="1" si="167"/>
        <v>0.61083952513994022</v>
      </c>
      <c r="BM124" s="299">
        <f t="shared" ca="1" si="168"/>
        <v>0.6508682169276182</v>
      </c>
      <c r="BN124" s="295">
        <f t="shared" ca="1" si="169"/>
        <v>0.17402001625314881</v>
      </c>
      <c r="BO124" s="248">
        <f t="shared" ca="1" si="217"/>
        <v>-2.2535161742124597E-5</v>
      </c>
      <c r="BQ124" s="304">
        <f t="shared" ca="1" si="218"/>
        <v>0.1741200162531488</v>
      </c>
      <c r="BR124" s="297">
        <f t="shared" ca="1" si="219"/>
        <v>0</v>
      </c>
      <c r="BS124" s="298">
        <f t="shared" ca="1" si="170"/>
        <v>0</v>
      </c>
      <c r="BT124" s="298">
        <f t="shared" ca="1" si="171"/>
        <v>0</v>
      </c>
      <c r="BU124" s="318">
        <f t="shared" ca="1" si="172"/>
        <v>0</v>
      </c>
      <c r="BV124" s="298">
        <f t="shared" ca="1" si="173"/>
        <v>0</v>
      </c>
      <c r="BW124" s="299">
        <f t="shared" ca="1" si="174"/>
        <v>0</v>
      </c>
      <c r="BX124" s="298">
        <f t="shared" ca="1" si="175"/>
        <v>0</v>
      </c>
      <c r="BY124" s="298">
        <f t="shared" ca="1" si="176"/>
        <v>0</v>
      </c>
      <c r="BZ124" s="298">
        <f t="shared" ca="1" si="177"/>
        <v>0</v>
      </c>
      <c r="CA124" s="315">
        <f t="shared" ca="1" si="178"/>
        <v>0.1741200162531488</v>
      </c>
      <c r="CC124" s="52"/>
      <c r="CD124" s="306">
        <f t="shared" ca="1" si="220"/>
        <v>0</v>
      </c>
      <c r="CE124" s="15">
        <f t="shared" ca="1" si="179"/>
        <v>0</v>
      </c>
      <c r="CF124" s="15">
        <f t="shared" ca="1" si="180"/>
        <v>0</v>
      </c>
      <c r="CG124" s="286">
        <f t="shared" ca="1" si="181"/>
        <v>0</v>
      </c>
      <c r="CH124" s="15">
        <f t="shared" ca="1" si="182"/>
        <v>0</v>
      </c>
      <c r="CI124" s="288">
        <f t="shared" ca="1" si="183"/>
        <v>0</v>
      </c>
      <c r="CJ124" s="15">
        <f t="shared" ca="1" si="184"/>
        <v>0</v>
      </c>
      <c r="CK124" s="15">
        <f t="shared" ca="1" si="185"/>
        <v>0</v>
      </c>
      <c r="CL124" s="15">
        <f t="shared" ca="1" si="186"/>
        <v>0</v>
      </c>
      <c r="CM124" s="313">
        <f t="shared" ca="1" si="187"/>
        <v>1</v>
      </c>
      <c r="CO124" s="320">
        <f t="shared" ca="1" si="221"/>
        <v>113</v>
      </c>
      <c r="CP124" s="22">
        <f ca="1">COUNTIFS($C$10:$C123,"&lt;"&amp;$C124,$M$10:$M123,$D124&amp;"_"&amp;CP$9)</f>
        <v>0</v>
      </c>
      <c r="CQ124" s="7">
        <f ca="1">COUNTIFS($C$10:$C123,"&lt;"&amp;$C124,$M$10:$M123,$D124&amp;"_"&amp;CQ$9)</f>
        <v>0</v>
      </c>
      <c r="CR124" s="7">
        <f ca="1">COUNTIFS($C$10:$C123,"&lt;"&amp;$C124,$M$10:$M123,$D124&amp;"_"&amp;CR$9)</f>
        <v>0</v>
      </c>
      <c r="CS124" s="17">
        <f ca="1">COUNTIFS($C$10:$C123,"&lt;"&amp;$C124,$M$10:$M123,$D124&amp;"_"&amp;CS$9)</f>
        <v>0</v>
      </c>
      <c r="CT124" s="7">
        <f ca="1">COUNTIFS($C$10:$C123,"&lt;"&amp;$C124,$M$10:$M123,$D124&amp;"_"&amp;CT$9)</f>
        <v>0</v>
      </c>
      <c r="CU124" s="18">
        <f ca="1">COUNTIFS($C$10:$C123,"&lt;"&amp;$C124,$M$10:$M123,$D124&amp;"_"&amp;CU$9)</f>
        <v>0</v>
      </c>
      <c r="CV124" s="7">
        <f ca="1">COUNTIFS($C$10:$C123,"&lt;"&amp;$C124,$M$10:$M123,$D124&amp;"_"&amp;CV$9)</f>
        <v>0</v>
      </c>
      <c r="CW124" s="7">
        <f ca="1">COUNTIFS($C$10:$C123,"&lt;"&amp;$C124,$M$10:$M123,$D124&amp;"_"&amp;CW$9)</f>
        <v>0</v>
      </c>
      <c r="CX124" s="7">
        <f ca="1">COUNTIFS($C$10:$C123,"&lt;"&amp;$C124,$M$10:$M123,$D124&amp;"_"&amp;CX$9)</f>
        <v>0</v>
      </c>
      <c r="CY124" s="221">
        <f ca="1">COUNTIFS($C$10:$C123,"&lt;"&amp;$C124,$M$10:$M123,$D124&amp;"_"&amp;CY$9)</f>
        <v>113</v>
      </c>
      <c r="DA124" s="20"/>
      <c r="DB124" s="308">
        <f ca="1">IF(CP124=0,0,SUMIFS($P$10:$P123, $C$10:$C123,"&lt;"&amp;$C124, $M$10:$M123,$D124&amp;"_"&amp;DB$9)/CP124)</f>
        <v>0</v>
      </c>
      <c r="DC124" s="263">
        <f ca="1">IF(CQ124=0,0,SUMIFS($P$10:$P123, $C$10:$C123,"&lt;"&amp;$C124, $M$10:$M123,$D124&amp;"_"&amp;DC$9)/CQ124)</f>
        <v>0</v>
      </c>
      <c r="DD124" s="263">
        <f ca="1">IF(CR124=0,0,SUMIFS($P$10:$P123, $C$10:$C123,"&lt;"&amp;$C124, $M$10:$M123,$D124&amp;"_"&amp;DD$9)/CR124)</f>
        <v>0</v>
      </c>
      <c r="DE124" s="262">
        <f ca="1">IF(CS124=0,0,SUMIFS($P$10:$P123, $C$10:$C123,"&lt;"&amp;$C124, $M$10:$M123,$D124&amp;"_"&amp;DE$9)/CS124)</f>
        <v>0</v>
      </c>
      <c r="DF124" s="263">
        <f ca="1">IF(CT124=0,0,SUMIFS($P$10:$P123, $C$10:$C123,"&lt;"&amp;$C124, $M$10:$M123,$D124&amp;"_"&amp;DF$9)/CT124)</f>
        <v>0</v>
      </c>
      <c r="DG124" s="310">
        <f ca="1">IF(CU124=0,0,SUMIFS($P$10:$P123, $C$10:$C123,"&lt;"&amp;$C124, $M$10:$M123,$D124&amp;"_"&amp;DG$9)/CU124)</f>
        <v>0</v>
      </c>
      <c r="DH124" s="263">
        <f ca="1">IF(CV124=0,0,SUMIFS($P$10:$P123, $C$10:$C123,"&lt;"&amp;$C124, $M$10:$M123,$D124&amp;"_"&amp;DH$9)/CV124)</f>
        <v>0</v>
      </c>
      <c r="DI124" s="263">
        <f ca="1">IF(CW124=0,0,SUMIFS($P$10:$P123, $C$10:$C123,"&lt;"&amp;$C124, $M$10:$M123,$D124&amp;"_"&amp;DI$9)/CW124)</f>
        <v>0</v>
      </c>
      <c r="DJ124" s="264">
        <f ca="1">IF(CX124=0,0,SUMIFS($P$10:$P123, $C$10:$C123,"&lt;"&amp;$C124, $M$10:$M123,$D124&amp;"_"&amp;DJ$9)/CX124)</f>
        <v>0</v>
      </c>
      <c r="DK124" s="264">
        <f ca="1">IF(CY124=0,0,SUMIFS($P$10:$P123, $C$10:$C123,"&lt;"&amp;$C124, $M$10:$M123,$D124&amp;"_"&amp;DK$9)/CY124)</f>
        <v>-1</v>
      </c>
      <c r="DM124" s="104"/>
      <c r="DN124" s="306">
        <f t="shared" ca="1" si="222"/>
        <v>-9999</v>
      </c>
      <c r="DO124" s="15">
        <f t="shared" ca="1" si="188"/>
        <v>-9999</v>
      </c>
      <c r="DP124" s="15">
        <f t="shared" ca="1" si="189"/>
        <v>-9999</v>
      </c>
      <c r="DQ124" s="15">
        <f t="shared" ca="1" si="190"/>
        <v>-9999</v>
      </c>
      <c r="DR124" s="15">
        <f t="shared" ca="1" si="191"/>
        <v>-9999</v>
      </c>
      <c r="DS124" s="15">
        <f t="shared" ca="1" si="192"/>
        <v>-9999</v>
      </c>
      <c r="DT124" s="15">
        <f t="shared" ca="1" si="193"/>
        <v>-9999</v>
      </c>
      <c r="DU124" s="15">
        <f t="shared" ca="1" si="194"/>
        <v>-9999</v>
      </c>
      <c r="DV124" s="52">
        <f t="shared" ca="1" si="195"/>
        <v>-9999</v>
      </c>
      <c r="DW124" s="313">
        <f t="shared" ca="1" si="196"/>
        <v>-0.90675310690583644</v>
      </c>
      <c r="DX124" s="52"/>
      <c r="DY124" s="402">
        <f t="shared" ca="1" si="223"/>
        <v>9</v>
      </c>
      <c r="ED124" s="19">
        <f t="shared" ca="1" si="241"/>
        <v>-1</v>
      </c>
      <c r="EE124" s="1">
        <f t="shared" ca="1" si="242"/>
        <v>1</v>
      </c>
      <c r="EF124" s="1">
        <f t="shared" ca="1" si="243"/>
        <v>-1</v>
      </c>
      <c r="EG124" s="2">
        <f t="shared" ca="1" si="244"/>
        <v>1</v>
      </c>
      <c r="EH124" s="1">
        <f t="shared" ca="1" si="245"/>
        <v>-1</v>
      </c>
      <c r="EI124" s="3">
        <f t="shared" ca="1" si="246"/>
        <v>1</v>
      </c>
      <c r="EJ124" s="1">
        <f t="shared" ca="1" si="247"/>
        <v>0</v>
      </c>
      <c r="EK124" s="1">
        <f t="shared" ca="1" si="248"/>
        <v>0</v>
      </c>
      <c r="EL124" s="20">
        <f t="shared" ca="1" si="249"/>
        <v>-1</v>
      </c>
      <c r="EN124" s="86">
        <f ca="1">MAX(0, SUMPRODUCT($ED124:$EL124,OFFSET(DNN!$E$9:$M$9,EN$9,0)) + OFFSET(DNN!$D$9,EN$9,0))</f>
        <v>0</v>
      </c>
      <c r="EO124" s="84">
        <f ca="1">MAX(0, SUMPRODUCT($ED124:$EL124,OFFSET(DNN!$E$9:$M$9,EO$9,0)) + OFFSET(DNN!$D$9,EO$9,0))</f>
        <v>7.2346022384755949E-3</v>
      </c>
      <c r="EP124" s="84">
        <f ca="1">MAX(0, SUMPRODUCT($ED124:$EL124,OFFSET(DNN!$E$9:$M$9,EP$9,0)) + OFFSET(DNN!$D$9,EP$9,0))</f>
        <v>3.6951849750035152E-3</v>
      </c>
      <c r="EQ124" s="84">
        <f ca="1">MAX(0, SUMPRODUCT($ED124:$EL124,OFFSET(DNN!$E$9:$M$9,EQ$9,0)) + OFFSET(DNN!$D$9,EQ$9,0))</f>
        <v>0</v>
      </c>
      <c r="ER124" s="85">
        <f ca="1">MAX(0, SUMPRODUCT($ED124:$EL124,OFFSET(DNN!$E$9:$M$9,ER$9,0)) + OFFSET(DNN!$D$9,ER$9,0))</f>
        <v>0</v>
      </c>
      <c r="ET124" s="86">
        <f ca="1">MAX(0, SUMPRODUCT($EN124:$ER124,OFFSET(DNN!$Q$9:$U$9,ET$9,0)) + OFFSET(DNN!$P$9,ET$9,0))</f>
        <v>4.3954959453478351E-4</v>
      </c>
      <c r="EU124" s="84">
        <f ca="1">MAX(0, SUMPRODUCT($EN124:$ER124,OFFSET(DNN!$Q$9:$U$9,EU$9,0)) + OFFSET(DNN!$P$9,EU$9,0))</f>
        <v>0</v>
      </c>
      <c r="EV124" s="84">
        <f ca="1">MAX(0, SUMPRODUCT($EN124:$ER124,OFFSET(DNN!$Q$9:$U$9,EV$9,0)) + OFFSET(DNN!$P$9,EV$9,0))</f>
        <v>1.2810123361902579E-3</v>
      </c>
      <c r="EW124" s="84">
        <f ca="1">MAX(0, SUMPRODUCT($EN124:$ER124,OFFSET(DNN!$Q$9:$U$9,EW$9,0)) + OFFSET(DNN!$P$9,EW$9,0))</f>
        <v>7.8382123007882457E-4</v>
      </c>
      <c r="EX124" s="85">
        <f ca="1">MAX(0, SUMPRODUCT($EN124:$ER124,OFFSET(DNN!$Q$9:$U$9,EX$9,0)) + OFFSET(DNN!$P$9,EX$9,0))</f>
        <v>0</v>
      </c>
      <c r="EZ124" s="111">
        <f ca="1">SUMPRODUCT($ET124:$EX124,OFFSET(DNN!$Y$9:$AC$9,EZ$9,0)) + OFFSET(DNN!$X$9,EZ$9,0)</f>
        <v>0.43031618918982212</v>
      </c>
      <c r="FA124" s="97">
        <f ca="1">SUMPRODUCT($ET124:$EX124,OFFSET(DNN!$Y$9:$AC$9,FA$9,0)) + OFFSET(DNN!$X$9,FA$9,0)</f>
        <v>-1.2643439935754107E-5</v>
      </c>
      <c r="FB124" s="97">
        <f ca="1">SUMPRODUCT($ET124:$EX124,OFFSET(DNN!$Y$9:$AC$9,FB$9,0)) + OFFSET(DNN!$X$9,FB$9,0)</f>
        <v>1.5239793458415756E-2</v>
      </c>
      <c r="FC124" s="97">
        <f ca="1">SUMPRODUCT($ET124:$EX124,OFFSET(DNN!$Y$9:$AC$9,FC$9,0)) + OFFSET(DNN!$X$9,FC$9,0)</f>
        <v>-8.8749521084055777E-4</v>
      </c>
      <c r="FD124" s="97">
        <f ca="1">SUMPRODUCT($ET124:$EX124,OFFSET(DNN!$Y$9:$AC$9,FD$9,0)) + OFFSET(DNN!$X$9,FD$9,0)</f>
        <v>-4.235816470721872E-4</v>
      </c>
      <c r="FE124" s="97">
        <f ca="1">SUMPRODUCT($ET124:$EX124,OFFSET(DNN!$Y$9:$AC$9,FE$9,0)) + OFFSET(DNN!$X$9,FE$9,0)</f>
        <v>-1.574182761064886E-5</v>
      </c>
      <c r="FF124" s="97">
        <f ca="1">SUMPRODUCT($ET124:$EX124,OFFSET(DNN!$Y$9:$AC$9,FF$9,0)) + OFFSET(DNN!$X$9,FF$9,0)</f>
        <v>-1.3491460223194656E-3</v>
      </c>
      <c r="FG124" s="97">
        <f ca="1">SUMPRODUCT($ET124:$EX124,OFFSET(DNN!$Y$9:$AC$9,FG$9,0)) + OFFSET(DNN!$X$9,FG$9,0)</f>
        <v>-6.2604808096248285E-2</v>
      </c>
      <c r="FH124" s="97">
        <f ca="1">SUMPRODUCT($ET124:$EX124,OFFSET(DNN!$Y$9:$AC$9,FH$9,0)) + OFFSET(DNN!$X$9,FH$9,0)</f>
        <v>8.6810016937029894E-4</v>
      </c>
      <c r="FI124" s="108">
        <f ca="1">SUMPRODUCT($ET124:$EX124,OFFSET(DNN!$Y$9:$AC$9,FI$9,0)) + OFFSET(DNN!$X$9,FI$9,0)</f>
        <v>-1.3182687612562751</v>
      </c>
      <c r="FJ124" s="98">
        <f ca="1">SUMPRODUCT($ET124:$EX124,OFFSET(DNN!$Y$9:$AC$9,FJ$9,0)) + OFFSET(DNN!$X$9,FJ$9,0)</f>
        <v>-2.2535161745939301E-5</v>
      </c>
      <c r="FL124" s="415">
        <f t="shared" ca="1" si="224"/>
        <v>0.43031618918982212</v>
      </c>
      <c r="FM124" s="130">
        <f t="shared" ca="1" si="225"/>
        <v>1</v>
      </c>
      <c r="FN124" s="131">
        <f t="shared" ca="1" si="226"/>
        <v>0.65029522127322903</v>
      </c>
      <c r="FO124" s="131">
        <f t="shared" ca="1" si="227"/>
        <v>0.66028983545318687</v>
      </c>
      <c r="FP124" s="131">
        <f t="shared" ca="1" si="228"/>
        <v>0.64972655813153501</v>
      </c>
      <c r="FQ124" s="131">
        <f t="shared" ca="1" si="229"/>
        <v>0.65002804502111444</v>
      </c>
      <c r="FR124" s="131">
        <f t="shared" ca="1" si="230"/>
        <v>0.65029320640965171</v>
      </c>
      <c r="FS124" s="131">
        <f t="shared" ca="1" si="231"/>
        <v>0.64942668056342145</v>
      </c>
      <c r="FT124" s="131">
        <f t="shared" ca="1" si="232"/>
        <v>0.61083952513994022</v>
      </c>
      <c r="FU124" s="132">
        <f t="shared" ca="1" si="233"/>
        <v>0.6508682169276182</v>
      </c>
      <c r="FV124" s="131">
        <f t="shared" ca="1" si="234"/>
        <v>0.17402001625314881</v>
      </c>
      <c r="FW124" s="83">
        <f t="shared" ca="1" si="235"/>
        <v>-2.2535161742124597E-5</v>
      </c>
    </row>
    <row r="125" spans="1:179">
      <c r="A125" s="19">
        <f t="shared" si="240"/>
        <v>115</v>
      </c>
      <c r="B125" s="1">
        <f t="shared" ca="1" si="236"/>
        <v>0</v>
      </c>
      <c r="C125" s="20">
        <f t="shared" ca="1" si="237"/>
        <v>115</v>
      </c>
      <c r="D125" s="19" t="str">
        <f t="shared" ca="1" si="238"/>
        <v>〇×〇×〇×--〇</v>
      </c>
      <c r="E125" s="7">
        <f t="shared" ca="1" si="206"/>
        <v>9</v>
      </c>
      <c r="F125" s="7">
        <f t="shared" ca="1" si="207"/>
        <v>1</v>
      </c>
      <c r="G125" s="1" t="str">
        <f t="shared" ca="1" si="139"/>
        <v>〇×〇×〇×--〇</v>
      </c>
      <c r="H125" s="20" t="b">
        <f t="shared" ca="1" si="140"/>
        <v>1</v>
      </c>
      <c r="I125" s="22">
        <f t="shared" ca="1" si="239"/>
        <v>-1</v>
      </c>
      <c r="J125" s="1" t="b">
        <f ca="1">(1&lt;COUNTIF(D$10:D125,D125))</f>
        <v>1</v>
      </c>
      <c r="K125" s="1" t="b">
        <f t="shared" ca="1" si="141"/>
        <v>1</v>
      </c>
      <c r="L125" s="7">
        <f ca="1">MATCH(TRUE,K125:K$1048576,FALSE)-1</f>
        <v>0</v>
      </c>
      <c r="M125" s="24" t="str">
        <f t="shared" ca="1" si="142"/>
        <v>〇×〇×〇×--〇_9</v>
      </c>
      <c r="N125" s="25">
        <f t="shared" ca="1" si="208"/>
        <v>-2.2535161742124597E-5</v>
      </c>
      <c r="O125" s="26">
        <f t="shared" ca="1" si="209"/>
        <v>-1</v>
      </c>
      <c r="P125" s="27">
        <f t="shared" ca="1" si="210"/>
        <v>-1</v>
      </c>
      <c r="R125" s="41" t="str">
        <f ca="1">VLOOKUP(S125,cvt!$B$2:$C$4,2,FALSE)&amp;VLOOKUP(T125,cvt!$B$2:$C$4,2,FALSE)&amp;VLOOKUP(U125,cvt!$B$2:$C$4,2,FALSE)
&amp;VLOOKUP(V125,cvt!$B$2:$C$4,2,FALSE)&amp;VLOOKUP(W125,cvt!$B$2:$C$4,2,FALSE)&amp;VLOOKUP(X125,cvt!$B$2:$C$4,2,FALSE)
&amp;VLOOKUP(Y125,cvt!$B$2:$C$4,2,FALSE)&amp;VLOOKUP(Z125,cvt!$B$2:$C$4,2,FALSE)&amp;VLOOKUP(AA125,cvt!$B$2:$C$4,2,FALSE)</f>
        <v>〇×〇×〇×--〇</v>
      </c>
      <c r="S125" s="7">
        <f ca="1">VLOOKUP(MID($D125,S$9+1,1), cvt!$A$2:$B$4,2, FALSE)</f>
        <v>1</v>
      </c>
      <c r="T125" s="7">
        <f ca="1">VLOOKUP(MID($D125,T$9+1,1), cvt!$A$2:$B$4,2, FALSE)</f>
        <v>-1</v>
      </c>
      <c r="U125" s="7">
        <f ca="1">VLOOKUP(MID($D125,U$9+1,1), cvt!$A$2:$B$4,2, FALSE)</f>
        <v>1</v>
      </c>
      <c r="V125" s="17">
        <f ca="1">VLOOKUP(MID($D125,V$9+1,1), cvt!$A$2:$B$4,2, FALSE)</f>
        <v>-1</v>
      </c>
      <c r="W125" s="7">
        <f ca="1">VLOOKUP(MID($D125,W$9+1,1), cvt!$A$2:$B$4,2, FALSE)</f>
        <v>1</v>
      </c>
      <c r="X125" s="18">
        <f ca="1">VLOOKUP(MID($D125,X$9+1,1), cvt!$A$2:$B$4,2, FALSE)</f>
        <v>-1</v>
      </c>
      <c r="Y125" s="7">
        <f ca="1">VLOOKUP(MID($D125,Y$9+1,1), cvt!$A$2:$B$4,2, FALSE)</f>
        <v>0</v>
      </c>
      <c r="Z125" s="7">
        <f ca="1">VLOOKUP(MID($D125,Z$9+1,1), cvt!$A$2:$B$4,2, FALSE)</f>
        <v>0</v>
      </c>
      <c r="AA125" s="42">
        <f ca="1">VLOOKUP(MID($D125,AA$9+1,1), cvt!$A$2:$B$4,2, FALSE)</f>
        <v>1</v>
      </c>
      <c r="AB125" s="7">
        <f t="shared" ca="1" si="211"/>
        <v>1</v>
      </c>
      <c r="AC125" s="50" t="b">
        <f t="shared" ca="1" si="212"/>
        <v>1</v>
      </c>
      <c r="AE125" s="19" t="str">
        <f ca="1">VLOOKUP(AF125,cvt!$B$2:$C$4,2,FALSE)&amp;VLOOKUP(AG125,cvt!$B$2:$C$4,2,FALSE)&amp;VLOOKUP(AH125,cvt!$B$2:$C$4,2,FALSE)
&amp;VLOOKUP(AI125,cvt!$B$2:$C$4,2,FALSE)&amp;VLOOKUP(AJ125,cvt!$B$2:$C$4,2,FALSE)&amp;VLOOKUP(AK125,cvt!$B$2:$C$4,2,FALSE)
&amp;VLOOKUP(AL125,cvt!$B$2:$C$4,2,FALSE)&amp;VLOOKUP(AM125,cvt!$B$2:$C$4,2,FALSE)&amp;VLOOKUP(AN125,cvt!$B$2:$C$4,2,FALSE)</f>
        <v>〇×〇×〇×--〇</v>
      </c>
      <c r="AF125" s="17">
        <f t="shared" ca="1" si="143"/>
        <v>1</v>
      </c>
      <c r="AG125" s="7">
        <f t="shared" ca="1" si="144"/>
        <v>-1</v>
      </c>
      <c r="AH125" s="7">
        <f t="shared" ca="1" si="145"/>
        <v>1</v>
      </c>
      <c r="AI125" s="17">
        <f t="shared" ca="1" si="146"/>
        <v>-1</v>
      </c>
      <c r="AJ125" s="7">
        <f t="shared" ca="1" si="147"/>
        <v>1</v>
      </c>
      <c r="AK125" s="18">
        <f t="shared" ca="1" si="148"/>
        <v>-1</v>
      </c>
      <c r="AL125" s="7">
        <f t="shared" ca="1" si="149"/>
        <v>0</v>
      </c>
      <c r="AM125" s="7">
        <f t="shared" ca="1" si="150"/>
        <v>0</v>
      </c>
      <c r="AN125" s="18">
        <f t="shared" ca="1" si="151"/>
        <v>1</v>
      </c>
      <c r="AO125" s="7">
        <f t="shared" ca="1" si="213"/>
        <v>1</v>
      </c>
      <c r="AP125" s="50" t="b">
        <f t="shared" ca="1" si="152"/>
        <v>1</v>
      </c>
      <c r="AS125" s="22">
        <f t="shared" ca="1" si="214"/>
        <v>0</v>
      </c>
      <c r="AT125" s="7">
        <f t="shared" ca="1" si="153"/>
        <v>0</v>
      </c>
      <c r="AU125" s="7">
        <f t="shared" ca="1" si="154"/>
        <v>0</v>
      </c>
      <c r="AV125" s="7">
        <f t="shared" ca="1" si="155"/>
        <v>0</v>
      </c>
      <c r="AW125" s="7">
        <f t="shared" ca="1" si="156"/>
        <v>0</v>
      </c>
      <c r="AX125" s="7">
        <f t="shared" ca="1" si="157"/>
        <v>0</v>
      </c>
      <c r="AY125" s="7">
        <f t="shared" ca="1" si="158"/>
        <v>0</v>
      </c>
      <c r="AZ125" s="7">
        <f t="shared" ca="1" si="159"/>
        <v>0</v>
      </c>
      <c r="BA125" s="18">
        <f t="shared" ca="1" si="160"/>
        <v>0</v>
      </c>
      <c r="BB125" s="295">
        <f t="shared" ca="1" si="215"/>
        <v>1</v>
      </c>
      <c r="BD125" s="132"/>
      <c r="BE125" s="297">
        <f t="shared" ca="1" si="216"/>
        <v>1</v>
      </c>
      <c r="BF125" s="298">
        <f t="shared" ca="1" si="161"/>
        <v>0.65029522127322903</v>
      </c>
      <c r="BG125" s="298">
        <f t="shared" ca="1" si="162"/>
        <v>0.66028983545318687</v>
      </c>
      <c r="BH125" s="318">
        <f t="shared" ca="1" si="163"/>
        <v>0.64972655813153501</v>
      </c>
      <c r="BI125" s="298">
        <f t="shared" ca="1" si="164"/>
        <v>0.65002804502111444</v>
      </c>
      <c r="BJ125" s="299">
        <f t="shared" ca="1" si="165"/>
        <v>0.65029320640965171</v>
      </c>
      <c r="BK125" s="298">
        <f t="shared" ca="1" si="166"/>
        <v>0.64942668056342145</v>
      </c>
      <c r="BL125" s="298">
        <f t="shared" ca="1" si="167"/>
        <v>0.61083952513994022</v>
      </c>
      <c r="BM125" s="299">
        <f t="shared" ca="1" si="168"/>
        <v>0.6508682169276182</v>
      </c>
      <c r="BN125" s="295">
        <f t="shared" ca="1" si="169"/>
        <v>0.17402001625314881</v>
      </c>
      <c r="BO125" s="248">
        <f t="shared" ca="1" si="217"/>
        <v>-2.2535161742124597E-5</v>
      </c>
      <c r="BQ125" s="304">
        <f t="shared" ca="1" si="218"/>
        <v>0.42412001625314877</v>
      </c>
      <c r="BR125" s="297">
        <f t="shared" ca="1" si="219"/>
        <v>0</v>
      </c>
      <c r="BS125" s="298">
        <f t="shared" ca="1" si="170"/>
        <v>0</v>
      </c>
      <c r="BT125" s="298">
        <f t="shared" ca="1" si="171"/>
        <v>0</v>
      </c>
      <c r="BU125" s="318">
        <f t="shared" ca="1" si="172"/>
        <v>0</v>
      </c>
      <c r="BV125" s="298">
        <f t="shared" ca="1" si="173"/>
        <v>0</v>
      </c>
      <c r="BW125" s="299">
        <f t="shared" ca="1" si="174"/>
        <v>0</v>
      </c>
      <c r="BX125" s="298">
        <f t="shared" ca="1" si="175"/>
        <v>0</v>
      </c>
      <c r="BY125" s="298">
        <f t="shared" ca="1" si="176"/>
        <v>0</v>
      </c>
      <c r="BZ125" s="298">
        <f t="shared" ca="1" si="177"/>
        <v>0</v>
      </c>
      <c r="CA125" s="315">
        <f t="shared" ca="1" si="178"/>
        <v>0.42412001625314877</v>
      </c>
      <c r="CC125" s="52"/>
      <c r="CD125" s="306">
        <f t="shared" ca="1" si="220"/>
        <v>0</v>
      </c>
      <c r="CE125" s="15">
        <f t="shared" ca="1" si="179"/>
        <v>0</v>
      </c>
      <c r="CF125" s="15">
        <f t="shared" ca="1" si="180"/>
        <v>0</v>
      </c>
      <c r="CG125" s="286">
        <f t="shared" ca="1" si="181"/>
        <v>0</v>
      </c>
      <c r="CH125" s="15">
        <f t="shared" ca="1" si="182"/>
        <v>0</v>
      </c>
      <c r="CI125" s="288">
        <f t="shared" ca="1" si="183"/>
        <v>0</v>
      </c>
      <c r="CJ125" s="15">
        <f t="shared" ca="1" si="184"/>
        <v>0</v>
      </c>
      <c r="CK125" s="15">
        <f t="shared" ca="1" si="185"/>
        <v>0</v>
      </c>
      <c r="CL125" s="15">
        <f t="shared" ca="1" si="186"/>
        <v>0</v>
      </c>
      <c r="CM125" s="313">
        <f t="shared" ca="1" si="187"/>
        <v>1</v>
      </c>
      <c r="CO125" s="320">
        <f t="shared" ca="1" si="221"/>
        <v>114</v>
      </c>
      <c r="CP125" s="22">
        <f ca="1">COUNTIFS($C$10:$C124,"&lt;"&amp;$C125,$M$10:$M124,$D125&amp;"_"&amp;CP$9)</f>
        <v>0</v>
      </c>
      <c r="CQ125" s="7">
        <f ca="1">COUNTIFS($C$10:$C124,"&lt;"&amp;$C125,$M$10:$M124,$D125&amp;"_"&amp;CQ$9)</f>
        <v>0</v>
      </c>
      <c r="CR125" s="7">
        <f ca="1">COUNTIFS($C$10:$C124,"&lt;"&amp;$C125,$M$10:$M124,$D125&amp;"_"&amp;CR$9)</f>
        <v>0</v>
      </c>
      <c r="CS125" s="17">
        <f ca="1">COUNTIFS($C$10:$C124,"&lt;"&amp;$C125,$M$10:$M124,$D125&amp;"_"&amp;CS$9)</f>
        <v>0</v>
      </c>
      <c r="CT125" s="7">
        <f ca="1">COUNTIFS($C$10:$C124,"&lt;"&amp;$C125,$M$10:$M124,$D125&amp;"_"&amp;CT$9)</f>
        <v>0</v>
      </c>
      <c r="CU125" s="18">
        <f ca="1">COUNTIFS($C$10:$C124,"&lt;"&amp;$C125,$M$10:$M124,$D125&amp;"_"&amp;CU$9)</f>
        <v>0</v>
      </c>
      <c r="CV125" s="7">
        <f ca="1">COUNTIFS($C$10:$C124,"&lt;"&amp;$C125,$M$10:$M124,$D125&amp;"_"&amp;CV$9)</f>
        <v>0</v>
      </c>
      <c r="CW125" s="7">
        <f ca="1">COUNTIFS($C$10:$C124,"&lt;"&amp;$C125,$M$10:$M124,$D125&amp;"_"&amp;CW$9)</f>
        <v>0</v>
      </c>
      <c r="CX125" s="7">
        <f ca="1">COUNTIFS($C$10:$C124,"&lt;"&amp;$C125,$M$10:$M124,$D125&amp;"_"&amp;CX$9)</f>
        <v>0</v>
      </c>
      <c r="CY125" s="221">
        <f ca="1">COUNTIFS($C$10:$C124,"&lt;"&amp;$C125,$M$10:$M124,$D125&amp;"_"&amp;CY$9)</f>
        <v>114</v>
      </c>
      <c r="DA125" s="20"/>
      <c r="DB125" s="308">
        <f ca="1">IF(CP125=0,0,SUMIFS($P$10:$P124, $C$10:$C124,"&lt;"&amp;$C125, $M$10:$M124,$D125&amp;"_"&amp;DB$9)/CP125)</f>
        <v>0</v>
      </c>
      <c r="DC125" s="263">
        <f ca="1">IF(CQ125=0,0,SUMIFS($P$10:$P124, $C$10:$C124,"&lt;"&amp;$C125, $M$10:$M124,$D125&amp;"_"&amp;DC$9)/CQ125)</f>
        <v>0</v>
      </c>
      <c r="DD125" s="263">
        <f ca="1">IF(CR125=0,0,SUMIFS($P$10:$P124, $C$10:$C124,"&lt;"&amp;$C125, $M$10:$M124,$D125&amp;"_"&amp;DD$9)/CR125)</f>
        <v>0</v>
      </c>
      <c r="DE125" s="262">
        <f ca="1">IF(CS125=0,0,SUMIFS($P$10:$P124, $C$10:$C124,"&lt;"&amp;$C125, $M$10:$M124,$D125&amp;"_"&amp;DE$9)/CS125)</f>
        <v>0</v>
      </c>
      <c r="DF125" s="263">
        <f ca="1">IF(CT125=0,0,SUMIFS($P$10:$P124, $C$10:$C124,"&lt;"&amp;$C125, $M$10:$M124,$D125&amp;"_"&amp;DF$9)/CT125)</f>
        <v>0</v>
      </c>
      <c r="DG125" s="310">
        <f ca="1">IF(CU125=0,0,SUMIFS($P$10:$P124, $C$10:$C124,"&lt;"&amp;$C125, $M$10:$M124,$D125&amp;"_"&amp;DG$9)/CU125)</f>
        <v>0</v>
      </c>
      <c r="DH125" s="263">
        <f ca="1">IF(CV125=0,0,SUMIFS($P$10:$P124, $C$10:$C124,"&lt;"&amp;$C125, $M$10:$M124,$D125&amp;"_"&amp;DH$9)/CV125)</f>
        <v>0</v>
      </c>
      <c r="DI125" s="263">
        <f ca="1">IF(CW125=0,0,SUMIFS($P$10:$P124, $C$10:$C124,"&lt;"&amp;$C125, $M$10:$M124,$D125&amp;"_"&amp;DI$9)/CW125)</f>
        <v>0</v>
      </c>
      <c r="DJ125" s="264">
        <f ca="1">IF(CX125=0,0,SUMIFS($P$10:$P124, $C$10:$C124,"&lt;"&amp;$C125, $M$10:$M124,$D125&amp;"_"&amp;DJ$9)/CX125)</f>
        <v>0</v>
      </c>
      <c r="DK125" s="264">
        <f ca="1">IF(CY125=0,0,SUMIFS($P$10:$P124, $C$10:$C124,"&lt;"&amp;$C125, $M$10:$M124,$D125&amp;"_"&amp;DK$9)/CY125)</f>
        <v>-1</v>
      </c>
      <c r="DM125" s="104"/>
      <c r="DN125" s="306">
        <f t="shared" ca="1" si="222"/>
        <v>-9999</v>
      </c>
      <c r="DO125" s="15">
        <f t="shared" ca="1" si="188"/>
        <v>-9999</v>
      </c>
      <c r="DP125" s="15">
        <f t="shared" ca="1" si="189"/>
        <v>-9999</v>
      </c>
      <c r="DQ125" s="15">
        <f t="shared" ca="1" si="190"/>
        <v>-9999</v>
      </c>
      <c r="DR125" s="15">
        <f t="shared" ca="1" si="191"/>
        <v>-9999</v>
      </c>
      <c r="DS125" s="15">
        <f t="shared" ca="1" si="192"/>
        <v>-9999</v>
      </c>
      <c r="DT125" s="15">
        <f t="shared" ca="1" si="193"/>
        <v>-9999</v>
      </c>
      <c r="DU125" s="15">
        <f t="shared" ca="1" si="194"/>
        <v>-9999</v>
      </c>
      <c r="DV125" s="52">
        <f t="shared" ca="1" si="195"/>
        <v>-9999</v>
      </c>
      <c r="DW125" s="313">
        <f t="shared" ca="1" si="196"/>
        <v>-0.90715584128668425</v>
      </c>
      <c r="DX125" s="52"/>
      <c r="DY125" s="402">
        <f t="shared" ca="1" si="223"/>
        <v>9</v>
      </c>
      <c r="ED125" s="19">
        <f t="shared" ca="1" si="241"/>
        <v>-1</v>
      </c>
      <c r="EE125" s="1">
        <f t="shared" ca="1" si="242"/>
        <v>1</v>
      </c>
      <c r="EF125" s="1">
        <f t="shared" ca="1" si="243"/>
        <v>-1</v>
      </c>
      <c r="EG125" s="2">
        <f t="shared" ca="1" si="244"/>
        <v>1</v>
      </c>
      <c r="EH125" s="1">
        <f t="shared" ca="1" si="245"/>
        <v>-1</v>
      </c>
      <c r="EI125" s="3">
        <f t="shared" ca="1" si="246"/>
        <v>1</v>
      </c>
      <c r="EJ125" s="1">
        <f t="shared" ca="1" si="247"/>
        <v>0</v>
      </c>
      <c r="EK125" s="1">
        <f t="shared" ca="1" si="248"/>
        <v>0</v>
      </c>
      <c r="EL125" s="20">
        <f t="shared" ca="1" si="249"/>
        <v>-1</v>
      </c>
      <c r="EN125" s="86">
        <f ca="1">MAX(0, SUMPRODUCT($ED125:$EL125,OFFSET(DNN!$E$9:$M$9,EN$9,0)) + OFFSET(DNN!$D$9,EN$9,0))</f>
        <v>0</v>
      </c>
      <c r="EO125" s="84">
        <f ca="1">MAX(0, SUMPRODUCT($ED125:$EL125,OFFSET(DNN!$E$9:$M$9,EO$9,0)) + OFFSET(DNN!$D$9,EO$9,0))</f>
        <v>7.2346022384755949E-3</v>
      </c>
      <c r="EP125" s="84">
        <f ca="1">MAX(0, SUMPRODUCT($ED125:$EL125,OFFSET(DNN!$E$9:$M$9,EP$9,0)) + OFFSET(DNN!$D$9,EP$9,0))</f>
        <v>3.6951849750035152E-3</v>
      </c>
      <c r="EQ125" s="84">
        <f ca="1">MAX(0, SUMPRODUCT($ED125:$EL125,OFFSET(DNN!$E$9:$M$9,EQ$9,0)) + OFFSET(DNN!$D$9,EQ$9,0))</f>
        <v>0</v>
      </c>
      <c r="ER125" s="85">
        <f ca="1">MAX(0, SUMPRODUCT($ED125:$EL125,OFFSET(DNN!$E$9:$M$9,ER$9,0)) + OFFSET(DNN!$D$9,ER$9,0))</f>
        <v>0</v>
      </c>
      <c r="ET125" s="86">
        <f ca="1">MAX(0, SUMPRODUCT($EN125:$ER125,OFFSET(DNN!$Q$9:$U$9,ET$9,0)) + OFFSET(DNN!$P$9,ET$9,0))</f>
        <v>4.3954959453478351E-4</v>
      </c>
      <c r="EU125" s="84">
        <f ca="1">MAX(0, SUMPRODUCT($EN125:$ER125,OFFSET(DNN!$Q$9:$U$9,EU$9,0)) + OFFSET(DNN!$P$9,EU$9,0))</f>
        <v>0</v>
      </c>
      <c r="EV125" s="84">
        <f ca="1">MAX(0, SUMPRODUCT($EN125:$ER125,OFFSET(DNN!$Q$9:$U$9,EV$9,0)) + OFFSET(DNN!$P$9,EV$9,0))</f>
        <v>1.2810123361902579E-3</v>
      </c>
      <c r="EW125" s="84">
        <f ca="1">MAX(0, SUMPRODUCT($EN125:$ER125,OFFSET(DNN!$Q$9:$U$9,EW$9,0)) + OFFSET(DNN!$P$9,EW$9,0))</f>
        <v>7.8382123007882457E-4</v>
      </c>
      <c r="EX125" s="85">
        <f ca="1">MAX(0, SUMPRODUCT($EN125:$ER125,OFFSET(DNN!$Q$9:$U$9,EX$9,0)) + OFFSET(DNN!$P$9,EX$9,0))</f>
        <v>0</v>
      </c>
      <c r="EZ125" s="111">
        <f ca="1">SUMPRODUCT($ET125:$EX125,OFFSET(DNN!$Y$9:$AC$9,EZ$9,0)) + OFFSET(DNN!$X$9,EZ$9,0)</f>
        <v>0.43031618918982212</v>
      </c>
      <c r="FA125" s="97">
        <f ca="1">SUMPRODUCT($ET125:$EX125,OFFSET(DNN!$Y$9:$AC$9,FA$9,0)) + OFFSET(DNN!$X$9,FA$9,0)</f>
        <v>-1.2643439935754107E-5</v>
      </c>
      <c r="FB125" s="97">
        <f ca="1">SUMPRODUCT($ET125:$EX125,OFFSET(DNN!$Y$9:$AC$9,FB$9,0)) + OFFSET(DNN!$X$9,FB$9,0)</f>
        <v>1.5239793458415756E-2</v>
      </c>
      <c r="FC125" s="97">
        <f ca="1">SUMPRODUCT($ET125:$EX125,OFFSET(DNN!$Y$9:$AC$9,FC$9,0)) + OFFSET(DNN!$X$9,FC$9,0)</f>
        <v>-8.8749521084055777E-4</v>
      </c>
      <c r="FD125" s="97">
        <f ca="1">SUMPRODUCT($ET125:$EX125,OFFSET(DNN!$Y$9:$AC$9,FD$9,0)) + OFFSET(DNN!$X$9,FD$9,0)</f>
        <v>-4.235816470721872E-4</v>
      </c>
      <c r="FE125" s="97">
        <f ca="1">SUMPRODUCT($ET125:$EX125,OFFSET(DNN!$Y$9:$AC$9,FE$9,0)) + OFFSET(DNN!$X$9,FE$9,0)</f>
        <v>-1.574182761064886E-5</v>
      </c>
      <c r="FF125" s="97">
        <f ca="1">SUMPRODUCT($ET125:$EX125,OFFSET(DNN!$Y$9:$AC$9,FF$9,0)) + OFFSET(DNN!$X$9,FF$9,0)</f>
        <v>-1.3491460223194656E-3</v>
      </c>
      <c r="FG125" s="97">
        <f ca="1">SUMPRODUCT($ET125:$EX125,OFFSET(DNN!$Y$9:$AC$9,FG$9,0)) + OFFSET(DNN!$X$9,FG$9,0)</f>
        <v>-6.2604808096248285E-2</v>
      </c>
      <c r="FH125" s="97">
        <f ca="1">SUMPRODUCT($ET125:$EX125,OFFSET(DNN!$Y$9:$AC$9,FH$9,0)) + OFFSET(DNN!$X$9,FH$9,0)</f>
        <v>8.6810016937029894E-4</v>
      </c>
      <c r="FI125" s="108">
        <f ca="1">SUMPRODUCT($ET125:$EX125,OFFSET(DNN!$Y$9:$AC$9,FI$9,0)) + OFFSET(DNN!$X$9,FI$9,0)</f>
        <v>-1.3182687612562751</v>
      </c>
      <c r="FJ125" s="98">
        <f ca="1">SUMPRODUCT($ET125:$EX125,OFFSET(DNN!$Y$9:$AC$9,FJ$9,0)) + OFFSET(DNN!$X$9,FJ$9,0)</f>
        <v>-2.2535161745939301E-5</v>
      </c>
      <c r="FL125" s="415">
        <f t="shared" ca="1" si="224"/>
        <v>0.43031618918982212</v>
      </c>
      <c r="FM125" s="130">
        <f t="shared" ca="1" si="225"/>
        <v>1</v>
      </c>
      <c r="FN125" s="131">
        <f t="shared" ca="1" si="226"/>
        <v>0.65029522127322903</v>
      </c>
      <c r="FO125" s="131">
        <f t="shared" ca="1" si="227"/>
        <v>0.66028983545318687</v>
      </c>
      <c r="FP125" s="131">
        <f t="shared" ca="1" si="228"/>
        <v>0.64972655813153501</v>
      </c>
      <c r="FQ125" s="131">
        <f t="shared" ca="1" si="229"/>
        <v>0.65002804502111444</v>
      </c>
      <c r="FR125" s="131">
        <f t="shared" ca="1" si="230"/>
        <v>0.65029320640965171</v>
      </c>
      <c r="FS125" s="131">
        <f t="shared" ca="1" si="231"/>
        <v>0.64942668056342145</v>
      </c>
      <c r="FT125" s="131">
        <f t="shared" ca="1" si="232"/>
        <v>0.61083952513994022</v>
      </c>
      <c r="FU125" s="132">
        <f t="shared" ca="1" si="233"/>
        <v>0.6508682169276182</v>
      </c>
      <c r="FV125" s="131">
        <f t="shared" ca="1" si="234"/>
        <v>0.17402001625314881</v>
      </c>
      <c r="FW125" s="83">
        <f t="shared" ca="1" si="235"/>
        <v>-2.2535161742124597E-5</v>
      </c>
    </row>
    <row r="126" spans="1:179">
      <c r="A126" s="19">
        <f t="shared" si="240"/>
        <v>116</v>
      </c>
      <c r="B126" s="1">
        <f t="shared" ca="1" si="236"/>
        <v>0</v>
      </c>
      <c r="C126" s="20">
        <f t="shared" ca="1" si="237"/>
        <v>116</v>
      </c>
      <c r="D126" s="19" t="str">
        <f t="shared" ca="1" si="238"/>
        <v>〇×〇×〇×--〇</v>
      </c>
      <c r="E126" s="7">
        <f t="shared" ca="1" si="206"/>
        <v>9</v>
      </c>
      <c r="F126" s="7">
        <f t="shared" ca="1" si="207"/>
        <v>1</v>
      </c>
      <c r="G126" s="1" t="str">
        <f t="shared" ca="1" si="139"/>
        <v>〇×〇×〇×--〇</v>
      </c>
      <c r="H126" s="20" t="b">
        <f t="shared" ca="1" si="140"/>
        <v>1</v>
      </c>
      <c r="I126" s="22">
        <f t="shared" ca="1" si="239"/>
        <v>-1</v>
      </c>
      <c r="J126" s="1" t="b">
        <f ca="1">(1&lt;COUNTIF(D$10:D126,D126))</f>
        <v>1</v>
      </c>
      <c r="K126" s="1" t="b">
        <f t="shared" ca="1" si="141"/>
        <v>1</v>
      </c>
      <c r="L126" s="7">
        <f ca="1">MATCH(TRUE,K126:K$1048576,FALSE)-1</f>
        <v>0</v>
      </c>
      <c r="M126" s="24" t="str">
        <f t="shared" ca="1" si="142"/>
        <v>〇×〇×〇×--〇_9</v>
      </c>
      <c r="N126" s="25">
        <f t="shared" ca="1" si="208"/>
        <v>-2.2535161742124597E-5</v>
      </c>
      <c r="O126" s="26">
        <f t="shared" ca="1" si="209"/>
        <v>-1</v>
      </c>
      <c r="P126" s="27">
        <f t="shared" ca="1" si="210"/>
        <v>-1</v>
      </c>
      <c r="R126" s="41" t="str">
        <f ca="1">VLOOKUP(S126,cvt!$B$2:$C$4,2,FALSE)&amp;VLOOKUP(T126,cvt!$B$2:$C$4,2,FALSE)&amp;VLOOKUP(U126,cvt!$B$2:$C$4,2,FALSE)
&amp;VLOOKUP(V126,cvt!$B$2:$C$4,2,FALSE)&amp;VLOOKUP(W126,cvt!$B$2:$C$4,2,FALSE)&amp;VLOOKUP(X126,cvt!$B$2:$C$4,2,FALSE)
&amp;VLOOKUP(Y126,cvt!$B$2:$C$4,2,FALSE)&amp;VLOOKUP(Z126,cvt!$B$2:$C$4,2,FALSE)&amp;VLOOKUP(AA126,cvt!$B$2:$C$4,2,FALSE)</f>
        <v>〇×〇×〇×--〇</v>
      </c>
      <c r="S126" s="7">
        <f ca="1">VLOOKUP(MID($D126,S$9+1,1), cvt!$A$2:$B$4,2, FALSE)</f>
        <v>1</v>
      </c>
      <c r="T126" s="7">
        <f ca="1">VLOOKUP(MID($D126,T$9+1,1), cvt!$A$2:$B$4,2, FALSE)</f>
        <v>-1</v>
      </c>
      <c r="U126" s="7">
        <f ca="1">VLOOKUP(MID($D126,U$9+1,1), cvt!$A$2:$B$4,2, FALSE)</f>
        <v>1</v>
      </c>
      <c r="V126" s="17">
        <f ca="1">VLOOKUP(MID($D126,V$9+1,1), cvt!$A$2:$B$4,2, FALSE)</f>
        <v>-1</v>
      </c>
      <c r="W126" s="7">
        <f ca="1">VLOOKUP(MID($D126,W$9+1,1), cvt!$A$2:$B$4,2, FALSE)</f>
        <v>1</v>
      </c>
      <c r="X126" s="18">
        <f ca="1">VLOOKUP(MID($D126,X$9+1,1), cvt!$A$2:$B$4,2, FALSE)</f>
        <v>-1</v>
      </c>
      <c r="Y126" s="7">
        <f ca="1">VLOOKUP(MID($D126,Y$9+1,1), cvt!$A$2:$B$4,2, FALSE)</f>
        <v>0</v>
      </c>
      <c r="Z126" s="7">
        <f ca="1">VLOOKUP(MID($D126,Z$9+1,1), cvt!$A$2:$B$4,2, FALSE)</f>
        <v>0</v>
      </c>
      <c r="AA126" s="42">
        <f ca="1">VLOOKUP(MID($D126,AA$9+1,1), cvt!$A$2:$B$4,2, FALSE)</f>
        <v>1</v>
      </c>
      <c r="AB126" s="7">
        <f t="shared" ca="1" si="211"/>
        <v>1</v>
      </c>
      <c r="AC126" s="50" t="b">
        <f t="shared" ca="1" si="212"/>
        <v>1</v>
      </c>
      <c r="AE126" s="19" t="str">
        <f ca="1">VLOOKUP(AF126,cvt!$B$2:$C$4,2,FALSE)&amp;VLOOKUP(AG126,cvt!$B$2:$C$4,2,FALSE)&amp;VLOOKUP(AH126,cvt!$B$2:$C$4,2,FALSE)
&amp;VLOOKUP(AI126,cvt!$B$2:$C$4,2,FALSE)&amp;VLOOKUP(AJ126,cvt!$B$2:$C$4,2,FALSE)&amp;VLOOKUP(AK126,cvt!$B$2:$C$4,2,FALSE)
&amp;VLOOKUP(AL126,cvt!$B$2:$C$4,2,FALSE)&amp;VLOOKUP(AM126,cvt!$B$2:$C$4,2,FALSE)&amp;VLOOKUP(AN126,cvt!$B$2:$C$4,2,FALSE)</f>
        <v>〇×〇×〇×--〇</v>
      </c>
      <c r="AF126" s="17">
        <f t="shared" ca="1" si="143"/>
        <v>1</v>
      </c>
      <c r="AG126" s="7">
        <f t="shared" ca="1" si="144"/>
        <v>-1</v>
      </c>
      <c r="AH126" s="7">
        <f t="shared" ca="1" si="145"/>
        <v>1</v>
      </c>
      <c r="AI126" s="17">
        <f t="shared" ca="1" si="146"/>
        <v>-1</v>
      </c>
      <c r="AJ126" s="7">
        <f t="shared" ca="1" si="147"/>
        <v>1</v>
      </c>
      <c r="AK126" s="18">
        <f t="shared" ca="1" si="148"/>
        <v>-1</v>
      </c>
      <c r="AL126" s="7">
        <f t="shared" ca="1" si="149"/>
        <v>0</v>
      </c>
      <c r="AM126" s="7">
        <f t="shared" ca="1" si="150"/>
        <v>0</v>
      </c>
      <c r="AN126" s="18">
        <f t="shared" ca="1" si="151"/>
        <v>1</v>
      </c>
      <c r="AO126" s="7">
        <f t="shared" ca="1" si="213"/>
        <v>1</v>
      </c>
      <c r="AP126" s="50" t="b">
        <f t="shared" ca="1" si="152"/>
        <v>1</v>
      </c>
      <c r="AS126" s="22">
        <f t="shared" ca="1" si="214"/>
        <v>0</v>
      </c>
      <c r="AT126" s="7">
        <f t="shared" ca="1" si="153"/>
        <v>0</v>
      </c>
      <c r="AU126" s="7">
        <f t="shared" ca="1" si="154"/>
        <v>0</v>
      </c>
      <c r="AV126" s="7">
        <f t="shared" ca="1" si="155"/>
        <v>0</v>
      </c>
      <c r="AW126" s="7">
        <f t="shared" ca="1" si="156"/>
        <v>0</v>
      </c>
      <c r="AX126" s="7">
        <f t="shared" ca="1" si="157"/>
        <v>0</v>
      </c>
      <c r="AY126" s="7">
        <f t="shared" ca="1" si="158"/>
        <v>0</v>
      </c>
      <c r="AZ126" s="7">
        <f t="shared" ca="1" si="159"/>
        <v>0</v>
      </c>
      <c r="BA126" s="18">
        <f t="shared" ca="1" si="160"/>
        <v>0</v>
      </c>
      <c r="BB126" s="295">
        <f t="shared" ca="1" si="215"/>
        <v>1</v>
      </c>
      <c r="BD126" s="132"/>
      <c r="BE126" s="297">
        <f t="shared" ca="1" si="216"/>
        <v>1</v>
      </c>
      <c r="BF126" s="298">
        <f t="shared" ca="1" si="161"/>
        <v>0.65029522127322903</v>
      </c>
      <c r="BG126" s="298">
        <f t="shared" ca="1" si="162"/>
        <v>0.66028983545318687</v>
      </c>
      <c r="BH126" s="318">
        <f t="shared" ca="1" si="163"/>
        <v>0.64972655813153501</v>
      </c>
      <c r="BI126" s="298">
        <f t="shared" ca="1" si="164"/>
        <v>0.65002804502111444</v>
      </c>
      <c r="BJ126" s="299">
        <f t="shared" ca="1" si="165"/>
        <v>0.65029320640965171</v>
      </c>
      <c r="BK126" s="298">
        <f t="shared" ca="1" si="166"/>
        <v>0.64942668056342145</v>
      </c>
      <c r="BL126" s="298">
        <f t="shared" ca="1" si="167"/>
        <v>0.61083952513994022</v>
      </c>
      <c r="BM126" s="299">
        <f t="shared" ca="1" si="168"/>
        <v>0.6508682169276182</v>
      </c>
      <c r="BN126" s="295">
        <f t="shared" ca="1" si="169"/>
        <v>0.17402001625314881</v>
      </c>
      <c r="BO126" s="248">
        <f t="shared" ca="1" si="217"/>
        <v>-2.2535161742124597E-5</v>
      </c>
      <c r="BQ126" s="304">
        <f t="shared" ca="1" si="218"/>
        <v>0.1741200162531488</v>
      </c>
      <c r="BR126" s="297">
        <f t="shared" ca="1" si="219"/>
        <v>0</v>
      </c>
      <c r="BS126" s="298">
        <f t="shared" ca="1" si="170"/>
        <v>0</v>
      </c>
      <c r="BT126" s="298">
        <f t="shared" ca="1" si="171"/>
        <v>0</v>
      </c>
      <c r="BU126" s="318">
        <f t="shared" ca="1" si="172"/>
        <v>0</v>
      </c>
      <c r="BV126" s="298">
        <f t="shared" ca="1" si="173"/>
        <v>0</v>
      </c>
      <c r="BW126" s="299">
        <f t="shared" ca="1" si="174"/>
        <v>0</v>
      </c>
      <c r="BX126" s="298">
        <f t="shared" ca="1" si="175"/>
        <v>0</v>
      </c>
      <c r="BY126" s="298">
        <f t="shared" ca="1" si="176"/>
        <v>0</v>
      </c>
      <c r="BZ126" s="298">
        <f t="shared" ca="1" si="177"/>
        <v>0</v>
      </c>
      <c r="CA126" s="315">
        <f t="shared" ca="1" si="178"/>
        <v>0.1741200162531488</v>
      </c>
      <c r="CC126" s="52"/>
      <c r="CD126" s="306">
        <f t="shared" ca="1" si="220"/>
        <v>0</v>
      </c>
      <c r="CE126" s="15">
        <f t="shared" ca="1" si="179"/>
        <v>0</v>
      </c>
      <c r="CF126" s="15">
        <f t="shared" ca="1" si="180"/>
        <v>0</v>
      </c>
      <c r="CG126" s="286">
        <f t="shared" ca="1" si="181"/>
        <v>0</v>
      </c>
      <c r="CH126" s="15">
        <f t="shared" ca="1" si="182"/>
        <v>0</v>
      </c>
      <c r="CI126" s="288">
        <f t="shared" ca="1" si="183"/>
        <v>0</v>
      </c>
      <c r="CJ126" s="15">
        <f t="shared" ca="1" si="184"/>
        <v>0</v>
      </c>
      <c r="CK126" s="15">
        <f t="shared" ca="1" si="185"/>
        <v>0</v>
      </c>
      <c r="CL126" s="15">
        <f t="shared" ca="1" si="186"/>
        <v>0</v>
      </c>
      <c r="CM126" s="313">
        <f t="shared" ca="1" si="187"/>
        <v>1</v>
      </c>
      <c r="CO126" s="320">
        <f t="shared" ca="1" si="221"/>
        <v>115</v>
      </c>
      <c r="CP126" s="22">
        <f ca="1">COUNTIFS($C$10:$C125,"&lt;"&amp;$C126,$M$10:$M125,$D126&amp;"_"&amp;CP$9)</f>
        <v>0</v>
      </c>
      <c r="CQ126" s="7">
        <f ca="1">COUNTIFS($C$10:$C125,"&lt;"&amp;$C126,$M$10:$M125,$D126&amp;"_"&amp;CQ$9)</f>
        <v>0</v>
      </c>
      <c r="CR126" s="7">
        <f ca="1">COUNTIFS($C$10:$C125,"&lt;"&amp;$C126,$M$10:$M125,$D126&amp;"_"&amp;CR$9)</f>
        <v>0</v>
      </c>
      <c r="CS126" s="17">
        <f ca="1">COUNTIFS($C$10:$C125,"&lt;"&amp;$C126,$M$10:$M125,$D126&amp;"_"&amp;CS$9)</f>
        <v>0</v>
      </c>
      <c r="CT126" s="7">
        <f ca="1">COUNTIFS($C$10:$C125,"&lt;"&amp;$C126,$M$10:$M125,$D126&amp;"_"&amp;CT$9)</f>
        <v>0</v>
      </c>
      <c r="CU126" s="18">
        <f ca="1">COUNTIFS($C$10:$C125,"&lt;"&amp;$C126,$M$10:$M125,$D126&amp;"_"&amp;CU$9)</f>
        <v>0</v>
      </c>
      <c r="CV126" s="7">
        <f ca="1">COUNTIFS($C$10:$C125,"&lt;"&amp;$C126,$M$10:$M125,$D126&amp;"_"&amp;CV$9)</f>
        <v>0</v>
      </c>
      <c r="CW126" s="7">
        <f ca="1">COUNTIFS($C$10:$C125,"&lt;"&amp;$C126,$M$10:$M125,$D126&amp;"_"&amp;CW$9)</f>
        <v>0</v>
      </c>
      <c r="CX126" s="7">
        <f ca="1">COUNTIFS($C$10:$C125,"&lt;"&amp;$C126,$M$10:$M125,$D126&amp;"_"&amp;CX$9)</f>
        <v>0</v>
      </c>
      <c r="CY126" s="221">
        <f ca="1">COUNTIFS($C$10:$C125,"&lt;"&amp;$C126,$M$10:$M125,$D126&amp;"_"&amp;CY$9)</f>
        <v>115</v>
      </c>
      <c r="DA126" s="20"/>
      <c r="DB126" s="308">
        <f ca="1">IF(CP126=0,0,SUMIFS($P$10:$P125, $C$10:$C125,"&lt;"&amp;$C126, $M$10:$M125,$D126&amp;"_"&amp;DB$9)/CP126)</f>
        <v>0</v>
      </c>
      <c r="DC126" s="263">
        <f ca="1">IF(CQ126=0,0,SUMIFS($P$10:$P125, $C$10:$C125,"&lt;"&amp;$C126, $M$10:$M125,$D126&amp;"_"&amp;DC$9)/CQ126)</f>
        <v>0</v>
      </c>
      <c r="DD126" s="263">
        <f ca="1">IF(CR126=0,0,SUMIFS($P$10:$P125, $C$10:$C125,"&lt;"&amp;$C126, $M$10:$M125,$D126&amp;"_"&amp;DD$9)/CR126)</f>
        <v>0</v>
      </c>
      <c r="DE126" s="262">
        <f ca="1">IF(CS126=0,0,SUMIFS($P$10:$P125, $C$10:$C125,"&lt;"&amp;$C126, $M$10:$M125,$D126&amp;"_"&amp;DE$9)/CS126)</f>
        <v>0</v>
      </c>
      <c r="DF126" s="263">
        <f ca="1">IF(CT126=0,0,SUMIFS($P$10:$P125, $C$10:$C125,"&lt;"&amp;$C126, $M$10:$M125,$D126&amp;"_"&amp;DF$9)/CT126)</f>
        <v>0</v>
      </c>
      <c r="DG126" s="310">
        <f ca="1">IF(CU126=0,0,SUMIFS($P$10:$P125, $C$10:$C125,"&lt;"&amp;$C126, $M$10:$M125,$D126&amp;"_"&amp;DG$9)/CU126)</f>
        <v>0</v>
      </c>
      <c r="DH126" s="263">
        <f ca="1">IF(CV126=0,0,SUMIFS($P$10:$P125, $C$10:$C125,"&lt;"&amp;$C126, $M$10:$M125,$D126&amp;"_"&amp;DH$9)/CV126)</f>
        <v>0</v>
      </c>
      <c r="DI126" s="263">
        <f ca="1">IF(CW126=0,0,SUMIFS($P$10:$P125, $C$10:$C125,"&lt;"&amp;$C126, $M$10:$M125,$D126&amp;"_"&amp;DI$9)/CW126)</f>
        <v>0</v>
      </c>
      <c r="DJ126" s="264">
        <f ca="1">IF(CX126=0,0,SUMIFS($P$10:$P125, $C$10:$C125,"&lt;"&amp;$C126, $M$10:$M125,$D126&amp;"_"&amp;DJ$9)/CX126)</f>
        <v>0</v>
      </c>
      <c r="DK126" s="264">
        <f ca="1">IF(CY126=0,0,SUMIFS($P$10:$P125, $C$10:$C125,"&lt;"&amp;$C126, $M$10:$M125,$D126&amp;"_"&amp;DK$9)/CY126)</f>
        <v>-1</v>
      </c>
      <c r="DM126" s="104"/>
      <c r="DN126" s="306">
        <f t="shared" ca="1" si="222"/>
        <v>-9999</v>
      </c>
      <c r="DO126" s="15">
        <f t="shared" ca="1" si="188"/>
        <v>-9999</v>
      </c>
      <c r="DP126" s="15">
        <f t="shared" ca="1" si="189"/>
        <v>-9999</v>
      </c>
      <c r="DQ126" s="15">
        <f t="shared" ca="1" si="190"/>
        <v>-9999</v>
      </c>
      <c r="DR126" s="15">
        <f t="shared" ca="1" si="191"/>
        <v>-9999</v>
      </c>
      <c r="DS126" s="15">
        <f t="shared" ca="1" si="192"/>
        <v>-9999</v>
      </c>
      <c r="DT126" s="15">
        <f t="shared" ca="1" si="193"/>
        <v>-9999</v>
      </c>
      <c r="DU126" s="15">
        <f t="shared" ca="1" si="194"/>
        <v>-9999</v>
      </c>
      <c r="DV126" s="52">
        <f t="shared" ca="1" si="195"/>
        <v>-9999</v>
      </c>
      <c r="DW126" s="313">
        <f t="shared" ca="1" si="196"/>
        <v>-0.9075534026313482</v>
      </c>
      <c r="DX126" s="52"/>
      <c r="DY126" s="402">
        <f t="shared" ca="1" si="223"/>
        <v>9</v>
      </c>
      <c r="ED126" s="19">
        <f t="shared" ca="1" si="241"/>
        <v>-1</v>
      </c>
      <c r="EE126" s="1">
        <f t="shared" ca="1" si="242"/>
        <v>1</v>
      </c>
      <c r="EF126" s="1">
        <f t="shared" ca="1" si="243"/>
        <v>-1</v>
      </c>
      <c r="EG126" s="2">
        <f t="shared" ca="1" si="244"/>
        <v>1</v>
      </c>
      <c r="EH126" s="1">
        <f t="shared" ca="1" si="245"/>
        <v>-1</v>
      </c>
      <c r="EI126" s="3">
        <f t="shared" ca="1" si="246"/>
        <v>1</v>
      </c>
      <c r="EJ126" s="1">
        <f t="shared" ca="1" si="247"/>
        <v>0</v>
      </c>
      <c r="EK126" s="1">
        <f t="shared" ca="1" si="248"/>
        <v>0</v>
      </c>
      <c r="EL126" s="20">
        <f t="shared" ca="1" si="249"/>
        <v>-1</v>
      </c>
      <c r="EN126" s="86">
        <f ca="1">MAX(0, SUMPRODUCT($ED126:$EL126,OFFSET(DNN!$E$9:$M$9,EN$9,0)) + OFFSET(DNN!$D$9,EN$9,0))</f>
        <v>0</v>
      </c>
      <c r="EO126" s="84">
        <f ca="1">MAX(0, SUMPRODUCT($ED126:$EL126,OFFSET(DNN!$E$9:$M$9,EO$9,0)) + OFFSET(DNN!$D$9,EO$9,0))</f>
        <v>7.2346022384755949E-3</v>
      </c>
      <c r="EP126" s="84">
        <f ca="1">MAX(0, SUMPRODUCT($ED126:$EL126,OFFSET(DNN!$E$9:$M$9,EP$9,0)) + OFFSET(DNN!$D$9,EP$9,0))</f>
        <v>3.6951849750035152E-3</v>
      </c>
      <c r="EQ126" s="84">
        <f ca="1">MAX(0, SUMPRODUCT($ED126:$EL126,OFFSET(DNN!$E$9:$M$9,EQ$9,0)) + OFFSET(DNN!$D$9,EQ$9,0))</f>
        <v>0</v>
      </c>
      <c r="ER126" s="85">
        <f ca="1">MAX(0, SUMPRODUCT($ED126:$EL126,OFFSET(DNN!$E$9:$M$9,ER$9,0)) + OFFSET(DNN!$D$9,ER$9,0))</f>
        <v>0</v>
      </c>
      <c r="ET126" s="86">
        <f ca="1">MAX(0, SUMPRODUCT($EN126:$ER126,OFFSET(DNN!$Q$9:$U$9,ET$9,0)) + OFFSET(DNN!$P$9,ET$9,0))</f>
        <v>4.3954959453478351E-4</v>
      </c>
      <c r="EU126" s="84">
        <f ca="1">MAX(0, SUMPRODUCT($EN126:$ER126,OFFSET(DNN!$Q$9:$U$9,EU$9,0)) + OFFSET(DNN!$P$9,EU$9,0))</f>
        <v>0</v>
      </c>
      <c r="EV126" s="84">
        <f ca="1">MAX(0, SUMPRODUCT($EN126:$ER126,OFFSET(DNN!$Q$9:$U$9,EV$9,0)) + OFFSET(DNN!$P$9,EV$9,0))</f>
        <v>1.2810123361902579E-3</v>
      </c>
      <c r="EW126" s="84">
        <f ca="1">MAX(0, SUMPRODUCT($EN126:$ER126,OFFSET(DNN!$Q$9:$U$9,EW$9,0)) + OFFSET(DNN!$P$9,EW$9,0))</f>
        <v>7.8382123007882457E-4</v>
      </c>
      <c r="EX126" s="85">
        <f ca="1">MAX(0, SUMPRODUCT($EN126:$ER126,OFFSET(DNN!$Q$9:$U$9,EX$9,0)) + OFFSET(DNN!$P$9,EX$9,0))</f>
        <v>0</v>
      </c>
      <c r="EZ126" s="111">
        <f ca="1">SUMPRODUCT($ET126:$EX126,OFFSET(DNN!$Y$9:$AC$9,EZ$9,0)) + OFFSET(DNN!$X$9,EZ$9,0)</f>
        <v>0.43031618918982212</v>
      </c>
      <c r="FA126" s="97">
        <f ca="1">SUMPRODUCT($ET126:$EX126,OFFSET(DNN!$Y$9:$AC$9,FA$9,0)) + OFFSET(DNN!$X$9,FA$9,0)</f>
        <v>-1.2643439935754107E-5</v>
      </c>
      <c r="FB126" s="97">
        <f ca="1">SUMPRODUCT($ET126:$EX126,OFFSET(DNN!$Y$9:$AC$9,FB$9,0)) + OFFSET(DNN!$X$9,FB$9,0)</f>
        <v>1.5239793458415756E-2</v>
      </c>
      <c r="FC126" s="97">
        <f ca="1">SUMPRODUCT($ET126:$EX126,OFFSET(DNN!$Y$9:$AC$9,FC$9,0)) + OFFSET(DNN!$X$9,FC$9,0)</f>
        <v>-8.8749521084055777E-4</v>
      </c>
      <c r="FD126" s="97">
        <f ca="1">SUMPRODUCT($ET126:$EX126,OFFSET(DNN!$Y$9:$AC$9,FD$9,0)) + OFFSET(DNN!$X$9,FD$9,0)</f>
        <v>-4.235816470721872E-4</v>
      </c>
      <c r="FE126" s="97">
        <f ca="1">SUMPRODUCT($ET126:$EX126,OFFSET(DNN!$Y$9:$AC$9,FE$9,0)) + OFFSET(DNN!$X$9,FE$9,0)</f>
        <v>-1.574182761064886E-5</v>
      </c>
      <c r="FF126" s="97">
        <f ca="1">SUMPRODUCT($ET126:$EX126,OFFSET(DNN!$Y$9:$AC$9,FF$9,0)) + OFFSET(DNN!$X$9,FF$9,0)</f>
        <v>-1.3491460223194656E-3</v>
      </c>
      <c r="FG126" s="97">
        <f ca="1">SUMPRODUCT($ET126:$EX126,OFFSET(DNN!$Y$9:$AC$9,FG$9,0)) + OFFSET(DNN!$X$9,FG$9,0)</f>
        <v>-6.2604808096248285E-2</v>
      </c>
      <c r="FH126" s="97">
        <f ca="1">SUMPRODUCT($ET126:$EX126,OFFSET(DNN!$Y$9:$AC$9,FH$9,0)) + OFFSET(DNN!$X$9,FH$9,0)</f>
        <v>8.6810016937029894E-4</v>
      </c>
      <c r="FI126" s="108">
        <f ca="1">SUMPRODUCT($ET126:$EX126,OFFSET(DNN!$Y$9:$AC$9,FI$9,0)) + OFFSET(DNN!$X$9,FI$9,0)</f>
        <v>-1.3182687612562751</v>
      </c>
      <c r="FJ126" s="98">
        <f ca="1">SUMPRODUCT($ET126:$EX126,OFFSET(DNN!$Y$9:$AC$9,FJ$9,0)) + OFFSET(DNN!$X$9,FJ$9,0)</f>
        <v>-2.2535161745939301E-5</v>
      </c>
      <c r="FL126" s="415">
        <f t="shared" ca="1" si="224"/>
        <v>0.43031618918982212</v>
      </c>
      <c r="FM126" s="130">
        <f t="shared" ca="1" si="225"/>
        <v>1</v>
      </c>
      <c r="FN126" s="131">
        <f t="shared" ca="1" si="226"/>
        <v>0.65029522127322903</v>
      </c>
      <c r="FO126" s="131">
        <f t="shared" ca="1" si="227"/>
        <v>0.66028983545318687</v>
      </c>
      <c r="FP126" s="131">
        <f t="shared" ca="1" si="228"/>
        <v>0.64972655813153501</v>
      </c>
      <c r="FQ126" s="131">
        <f t="shared" ca="1" si="229"/>
        <v>0.65002804502111444</v>
      </c>
      <c r="FR126" s="131">
        <f t="shared" ca="1" si="230"/>
        <v>0.65029320640965171</v>
      </c>
      <c r="FS126" s="131">
        <f t="shared" ca="1" si="231"/>
        <v>0.64942668056342145</v>
      </c>
      <c r="FT126" s="131">
        <f t="shared" ca="1" si="232"/>
        <v>0.61083952513994022</v>
      </c>
      <c r="FU126" s="132">
        <f t="shared" ca="1" si="233"/>
        <v>0.6508682169276182</v>
      </c>
      <c r="FV126" s="131">
        <f t="shared" ca="1" si="234"/>
        <v>0.17402001625314881</v>
      </c>
      <c r="FW126" s="83">
        <f t="shared" ca="1" si="235"/>
        <v>-2.2535161742124597E-5</v>
      </c>
    </row>
    <row r="127" spans="1:179">
      <c r="A127" s="19">
        <f t="shared" si="240"/>
        <v>117</v>
      </c>
      <c r="B127" s="1">
        <f t="shared" ca="1" si="236"/>
        <v>0</v>
      </c>
      <c r="C127" s="20">
        <f t="shared" ca="1" si="237"/>
        <v>117</v>
      </c>
      <c r="D127" s="19" t="str">
        <f t="shared" ca="1" si="238"/>
        <v>〇×〇×〇×--〇</v>
      </c>
      <c r="E127" s="7">
        <f t="shared" ca="1" si="206"/>
        <v>9</v>
      </c>
      <c r="F127" s="7">
        <f t="shared" ca="1" si="207"/>
        <v>1</v>
      </c>
      <c r="G127" s="1" t="str">
        <f t="shared" ca="1" si="139"/>
        <v>〇×〇×〇×--〇</v>
      </c>
      <c r="H127" s="20" t="b">
        <f t="shared" ca="1" si="140"/>
        <v>1</v>
      </c>
      <c r="I127" s="22">
        <f t="shared" ca="1" si="239"/>
        <v>-1</v>
      </c>
      <c r="J127" s="1" t="b">
        <f ca="1">(1&lt;COUNTIF(D$10:D127,D127))</f>
        <v>1</v>
      </c>
      <c r="K127" s="1" t="b">
        <f t="shared" ca="1" si="141"/>
        <v>1</v>
      </c>
      <c r="L127" s="7">
        <f ca="1">MATCH(TRUE,K127:K$1048576,FALSE)-1</f>
        <v>0</v>
      </c>
      <c r="M127" s="24" t="str">
        <f t="shared" ca="1" si="142"/>
        <v>〇×〇×〇×--〇_9</v>
      </c>
      <c r="N127" s="25">
        <f t="shared" ca="1" si="208"/>
        <v>-2.2535161742124597E-5</v>
      </c>
      <c r="O127" s="26">
        <f t="shared" ca="1" si="209"/>
        <v>-1</v>
      </c>
      <c r="P127" s="27">
        <f t="shared" ca="1" si="210"/>
        <v>-1</v>
      </c>
      <c r="R127" s="41" t="str">
        <f ca="1">VLOOKUP(S127,cvt!$B$2:$C$4,2,FALSE)&amp;VLOOKUP(T127,cvt!$B$2:$C$4,2,FALSE)&amp;VLOOKUP(U127,cvt!$B$2:$C$4,2,FALSE)
&amp;VLOOKUP(V127,cvt!$B$2:$C$4,2,FALSE)&amp;VLOOKUP(W127,cvt!$B$2:$C$4,2,FALSE)&amp;VLOOKUP(X127,cvt!$B$2:$C$4,2,FALSE)
&amp;VLOOKUP(Y127,cvt!$B$2:$C$4,2,FALSE)&amp;VLOOKUP(Z127,cvt!$B$2:$C$4,2,FALSE)&amp;VLOOKUP(AA127,cvt!$B$2:$C$4,2,FALSE)</f>
        <v>〇×〇×〇×--〇</v>
      </c>
      <c r="S127" s="7">
        <f ca="1">VLOOKUP(MID($D127,S$9+1,1), cvt!$A$2:$B$4,2, FALSE)</f>
        <v>1</v>
      </c>
      <c r="T127" s="7">
        <f ca="1">VLOOKUP(MID($D127,T$9+1,1), cvt!$A$2:$B$4,2, FALSE)</f>
        <v>-1</v>
      </c>
      <c r="U127" s="7">
        <f ca="1">VLOOKUP(MID($D127,U$9+1,1), cvt!$A$2:$B$4,2, FALSE)</f>
        <v>1</v>
      </c>
      <c r="V127" s="17">
        <f ca="1">VLOOKUP(MID($D127,V$9+1,1), cvt!$A$2:$B$4,2, FALSE)</f>
        <v>-1</v>
      </c>
      <c r="W127" s="7">
        <f ca="1">VLOOKUP(MID($D127,W$9+1,1), cvt!$A$2:$B$4,2, FALSE)</f>
        <v>1</v>
      </c>
      <c r="X127" s="18">
        <f ca="1">VLOOKUP(MID($D127,X$9+1,1), cvt!$A$2:$B$4,2, FALSE)</f>
        <v>-1</v>
      </c>
      <c r="Y127" s="7">
        <f ca="1">VLOOKUP(MID($D127,Y$9+1,1), cvt!$A$2:$B$4,2, FALSE)</f>
        <v>0</v>
      </c>
      <c r="Z127" s="7">
        <f ca="1">VLOOKUP(MID($D127,Z$9+1,1), cvt!$A$2:$B$4,2, FALSE)</f>
        <v>0</v>
      </c>
      <c r="AA127" s="42">
        <f ca="1">VLOOKUP(MID($D127,AA$9+1,1), cvt!$A$2:$B$4,2, FALSE)</f>
        <v>1</v>
      </c>
      <c r="AB127" s="7">
        <f t="shared" ca="1" si="211"/>
        <v>1</v>
      </c>
      <c r="AC127" s="50" t="b">
        <f t="shared" ca="1" si="212"/>
        <v>1</v>
      </c>
      <c r="AE127" s="19" t="str">
        <f ca="1">VLOOKUP(AF127,cvt!$B$2:$C$4,2,FALSE)&amp;VLOOKUP(AG127,cvt!$B$2:$C$4,2,FALSE)&amp;VLOOKUP(AH127,cvt!$B$2:$C$4,2,FALSE)
&amp;VLOOKUP(AI127,cvt!$B$2:$C$4,2,FALSE)&amp;VLOOKUP(AJ127,cvt!$B$2:$C$4,2,FALSE)&amp;VLOOKUP(AK127,cvt!$B$2:$C$4,2,FALSE)
&amp;VLOOKUP(AL127,cvt!$B$2:$C$4,2,FALSE)&amp;VLOOKUP(AM127,cvt!$B$2:$C$4,2,FALSE)&amp;VLOOKUP(AN127,cvt!$B$2:$C$4,2,FALSE)</f>
        <v>〇×〇×〇×--〇</v>
      </c>
      <c r="AF127" s="17">
        <f t="shared" ca="1" si="143"/>
        <v>1</v>
      </c>
      <c r="AG127" s="7">
        <f t="shared" ca="1" si="144"/>
        <v>-1</v>
      </c>
      <c r="AH127" s="7">
        <f t="shared" ca="1" si="145"/>
        <v>1</v>
      </c>
      <c r="AI127" s="17">
        <f t="shared" ca="1" si="146"/>
        <v>-1</v>
      </c>
      <c r="AJ127" s="7">
        <f t="shared" ca="1" si="147"/>
        <v>1</v>
      </c>
      <c r="AK127" s="18">
        <f t="shared" ca="1" si="148"/>
        <v>-1</v>
      </c>
      <c r="AL127" s="7">
        <f t="shared" ca="1" si="149"/>
        <v>0</v>
      </c>
      <c r="AM127" s="7">
        <f t="shared" ca="1" si="150"/>
        <v>0</v>
      </c>
      <c r="AN127" s="18">
        <f t="shared" ca="1" si="151"/>
        <v>1</v>
      </c>
      <c r="AO127" s="7">
        <f t="shared" ca="1" si="213"/>
        <v>1</v>
      </c>
      <c r="AP127" s="50" t="b">
        <f t="shared" ca="1" si="152"/>
        <v>1</v>
      </c>
      <c r="AS127" s="22">
        <f t="shared" ca="1" si="214"/>
        <v>0</v>
      </c>
      <c r="AT127" s="7">
        <f t="shared" ca="1" si="153"/>
        <v>0</v>
      </c>
      <c r="AU127" s="7">
        <f t="shared" ca="1" si="154"/>
        <v>0</v>
      </c>
      <c r="AV127" s="7">
        <f t="shared" ca="1" si="155"/>
        <v>0</v>
      </c>
      <c r="AW127" s="7">
        <f t="shared" ca="1" si="156"/>
        <v>0</v>
      </c>
      <c r="AX127" s="7">
        <f t="shared" ca="1" si="157"/>
        <v>0</v>
      </c>
      <c r="AY127" s="7">
        <f t="shared" ca="1" si="158"/>
        <v>0</v>
      </c>
      <c r="AZ127" s="7">
        <f t="shared" ca="1" si="159"/>
        <v>0</v>
      </c>
      <c r="BA127" s="18">
        <f t="shared" ca="1" si="160"/>
        <v>0</v>
      </c>
      <c r="BB127" s="295">
        <f t="shared" ca="1" si="215"/>
        <v>1</v>
      </c>
      <c r="BD127" s="132"/>
      <c r="BE127" s="297">
        <f t="shared" ca="1" si="216"/>
        <v>1</v>
      </c>
      <c r="BF127" s="298">
        <f t="shared" ca="1" si="161"/>
        <v>0.65029522127322903</v>
      </c>
      <c r="BG127" s="298">
        <f t="shared" ca="1" si="162"/>
        <v>0.66028983545318687</v>
      </c>
      <c r="BH127" s="318">
        <f t="shared" ca="1" si="163"/>
        <v>0.64972655813153501</v>
      </c>
      <c r="BI127" s="298">
        <f t="shared" ca="1" si="164"/>
        <v>0.65002804502111444</v>
      </c>
      <c r="BJ127" s="299">
        <f t="shared" ca="1" si="165"/>
        <v>0.65029320640965171</v>
      </c>
      <c r="BK127" s="298">
        <f t="shared" ca="1" si="166"/>
        <v>0.64942668056342145</v>
      </c>
      <c r="BL127" s="298">
        <f t="shared" ca="1" si="167"/>
        <v>0.61083952513994022</v>
      </c>
      <c r="BM127" s="299">
        <f t="shared" ca="1" si="168"/>
        <v>0.6508682169276182</v>
      </c>
      <c r="BN127" s="295">
        <f t="shared" ca="1" si="169"/>
        <v>0.17402001625314881</v>
      </c>
      <c r="BO127" s="248">
        <f t="shared" ca="1" si="217"/>
        <v>-2.2535161742124597E-5</v>
      </c>
      <c r="BQ127" s="304">
        <f t="shared" ca="1" si="218"/>
        <v>0.1741200162531488</v>
      </c>
      <c r="BR127" s="297">
        <f t="shared" ca="1" si="219"/>
        <v>0</v>
      </c>
      <c r="BS127" s="298">
        <f t="shared" ca="1" si="170"/>
        <v>0</v>
      </c>
      <c r="BT127" s="298">
        <f t="shared" ca="1" si="171"/>
        <v>0</v>
      </c>
      <c r="BU127" s="318">
        <f t="shared" ca="1" si="172"/>
        <v>0</v>
      </c>
      <c r="BV127" s="298">
        <f t="shared" ca="1" si="173"/>
        <v>0</v>
      </c>
      <c r="BW127" s="299">
        <f t="shared" ca="1" si="174"/>
        <v>0</v>
      </c>
      <c r="BX127" s="298">
        <f t="shared" ca="1" si="175"/>
        <v>0</v>
      </c>
      <c r="BY127" s="298">
        <f t="shared" ca="1" si="176"/>
        <v>0</v>
      </c>
      <c r="BZ127" s="298">
        <f t="shared" ca="1" si="177"/>
        <v>0</v>
      </c>
      <c r="CA127" s="315">
        <f t="shared" ca="1" si="178"/>
        <v>0.1741200162531488</v>
      </c>
      <c r="CC127" s="52"/>
      <c r="CD127" s="306">
        <f t="shared" ca="1" si="220"/>
        <v>0</v>
      </c>
      <c r="CE127" s="15">
        <f t="shared" ca="1" si="179"/>
        <v>0</v>
      </c>
      <c r="CF127" s="15">
        <f t="shared" ca="1" si="180"/>
        <v>0</v>
      </c>
      <c r="CG127" s="286">
        <f t="shared" ca="1" si="181"/>
        <v>0</v>
      </c>
      <c r="CH127" s="15">
        <f t="shared" ca="1" si="182"/>
        <v>0</v>
      </c>
      <c r="CI127" s="288">
        <f t="shared" ca="1" si="183"/>
        <v>0</v>
      </c>
      <c r="CJ127" s="15">
        <f t="shared" ca="1" si="184"/>
        <v>0</v>
      </c>
      <c r="CK127" s="15">
        <f t="shared" ca="1" si="185"/>
        <v>0</v>
      </c>
      <c r="CL127" s="15">
        <f t="shared" ca="1" si="186"/>
        <v>0</v>
      </c>
      <c r="CM127" s="313">
        <f t="shared" ca="1" si="187"/>
        <v>1</v>
      </c>
      <c r="CO127" s="320">
        <f t="shared" ca="1" si="221"/>
        <v>116</v>
      </c>
      <c r="CP127" s="22">
        <f ca="1">COUNTIFS($C$10:$C126,"&lt;"&amp;$C127,$M$10:$M126,$D127&amp;"_"&amp;CP$9)</f>
        <v>0</v>
      </c>
      <c r="CQ127" s="7">
        <f ca="1">COUNTIFS($C$10:$C126,"&lt;"&amp;$C127,$M$10:$M126,$D127&amp;"_"&amp;CQ$9)</f>
        <v>0</v>
      </c>
      <c r="CR127" s="7">
        <f ca="1">COUNTIFS($C$10:$C126,"&lt;"&amp;$C127,$M$10:$M126,$D127&amp;"_"&amp;CR$9)</f>
        <v>0</v>
      </c>
      <c r="CS127" s="17">
        <f ca="1">COUNTIFS($C$10:$C126,"&lt;"&amp;$C127,$M$10:$M126,$D127&amp;"_"&amp;CS$9)</f>
        <v>0</v>
      </c>
      <c r="CT127" s="7">
        <f ca="1">COUNTIFS($C$10:$C126,"&lt;"&amp;$C127,$M$10:$M126,$D127&amp;"_"&amp;CT$9)</f>
        <v>0</v>
      </c>
      <c r="CU127" s="18">
        <f ca="1">COUNTIFS($C$10:$C126,"&lt;"&amp;$C127,$M$10:$M126,$D127&amp;"_"&amp;CU$9)</f>
        <v>0</v>
      </c>
      <c r="CV127" s="7">
        <f ca="1">COUNTIFS($C$10:$C126,"&lt;"&amp;$C127,$M$10:$M126,$D127&amp;"_"&amp;CV$9)</f>
        <v>0</v>
      </c>
      <c r="CW127" s="7">
        <f ca="1">COUNTIFS($C$10:$C126,"&lt;"&amp;$C127,$M$10:$M126,$D127&amp;"_"&amp;CW$9)</f>
        <v>0</v>
      </c>
      <c r="CX127" s="7">
        <f ca="1">COUNTIFS($C$10:$C126,"&lt;"&amp;$C127,$M$10:$M126,$D127&amp;"_"&amp;CX$9)</f>
        <v>0</v>
      </c>
      <c r="CY127" s="221">
        <f ca="1">COUNTIFS($C$10:$C126,"&lt;"&amp;$C127,$M$10:$M126,$D127&amp;"_"&amp;CY$9)</f>
        <v>116</v>
      </c>
      <c r="DA127" s="20"/>
      <c r="DB127" s="308">
        <f ca="1">IF(CP127=0,0,SUMIFS($P$10:$P126, $C$10:$C126,"&lt;"&amp;$C127, $M$10:$M126,$D127&amp;"_"&amp;DB$9)/CP127)</f>
        <v>0</v>
      </c>
      <c r="DC127" s="263">
        <f ca="1">IF(CQ127=0,0,SUMIFS($P$10:$P126, $C$10:$C126,"&lt;"&amp;$C127, $M$10:$M126,$D127&amp;"_"&amp;DC$9)/CQ127)</f>
        <v>0</v>
      </c>
      <c r="DD127" s="263">
        <f ca="1">IF(CR127=0,0,SUMIFS($P$10:$P126, $C$10:$C126,"&lt;"&amp;$C127, $M$10:$M126,$D127&amp;"_"&amp;DD$9)/CR127)</f>
        <v>0</v>
      </c>
      <c r="DE127" s="262">
        <f ca="1">IF(CS127=0,0,SUMIFS($P$10:$P126, $C$10:$C126,"&lt;"&amp;$C127, $M$10:$M126,$D127&amp;"_"&amp;DE$9)/CS127)</f>
        <v>0</v>
      </c>
      <c r="DF127" s="263">
        <f ca="1">IF(CT127=0,0,SUMIFS($P$10:$P126, $C$10:$C126,"&lt;"&amp;$C127, $M$10:$M126,$D127&amp;"_"&amp;DF$9)/CT127)</f>
        <v>0</v>
      </c>
      <c r="DG127" s="310">
        <f ca="1">IF(CU127=0,0,SUMIFS($P$10:$P126, $C$10:$C126,"&lt;"&amp;$C127, $M$10:$M126,$D127&amp;"_"&amp;DG$9)/CU127)</f>
        <v>0</v>
      </c>
      <c r="DH127" s="263">
        <f ca="1">IF(CV127=0,0,SUMIFS($P$10:$P126, $C$10:$C126,"&lt;"&amp;$C127, $M$10:$M126,$D127&amp;"_"&amp;DH$9)/CV127)</f>
        <v>0</v>
      </c>
      <c r="DI127" s="263">
        <f ca="1">IF(CW127=0,0,SUMIFS($P$10:$P126, $C$10:$C126,"&lt;"&amp;$C127, $M$10:$M126,$D127&amp;"_"&amp;DI$9)/CW127)</f>
        <v>0</v>
      </c>
      <c r="DJ127" s="264">
        <f ca="1">IF(CX127=0,0,SUMIFS($P$10:$P126, $C$10:$C126,"&lt;"&amp;$C127, $M$10:$M126,$D127&amp;"_"&amp;DJ$9)/CX127)</f>
        <v>0</v>
      </c>
      <c r="DK127" s="264">
        <f ca="1">IF(CY127=0,0,SUMIFS($P$10:$P126, $C$10:$C126,"&lt;"&amp;$C127, $M$10:$M126,$D127&amp;"_"&amp;DK$9)/CY127)</f>
        <v>-1</v>
      </c>
      <c r="DM127" s="104"/>
      <c r="DN127" s="306">
        <f t="shared" ca="1" si="222"/>
        <v>-9999</v>
      </c>
      <c r="DO127" s="15">
        <f t="shared" ca="1" si="188"/>
        <v>-9999</v>
      </c>
      <c r="DP127" s="15">
        <f t="shared" ca="1" si="189"/>
        <v>-9999</v>
      </c>
      <c r="DQ127" s="15">
        <f t="shared" ca="1" si="190"/>
        <v>-9999</v>
      </c>
      <c r="DR127" s="15">
        <f t="shared" ca="1" si="191"/>
        <v>-9999</v>
      </c>
      <c r="DS127" s="15">
        <f t="shared" ca="1" si="192"/>
        <v>-9999</v>
      </c>
      <c r="DT127" s="15">
        <f t="shared" ca="1" si="193"/>
        <v>-9999</v>
      </c>
      <c r="DU127" s="15">
        <f t="shared" ca="1" si="194"/>
        <v>-9999</v>
      </c>
      <c r="DV127" s="52">
        <f t="shared" ca="1" si="195"/>
        <v>-9999</v>
      </c>
      <c r="DW127" s="313">
        <f t="shared" ca="1" si="196"/>
        <v>-0.9079459007327435</v>
      </c>
      <c r="DX127" s="52"/>
      <c r="DY127" s="402">
        <f t="shared" ca="1" si="223"/>
        <v>9</v>
      </c>
      <c r="ED127" s="19">
        <f t="shared" ca="1" si="241"/>
        <v>-1</v>
      </c>
      <c r="EE127" s="1">
        <f t="shared" ca="1" si="242"/>
        <v>1</v>
      </c>
      <c r="EF127" s="1">
        <f t="shared" ca="1" si="243"/>
        <v>-1</v>
      </c>
      <c r="EG127" s="2">
        <f t="shared" ca="1" si="244"/>
        <v>1</v>
      </c>
      <c r="EH127" s="1">
        <f t="shared" ca="1" si="245"/>
        <v>-1</v>
      </c>
      <c r="EI127" s="3">
        <f t="shared" ca="1" si="246"/>
        <v>1</v>
      </c>
      <c r="EJ127" s="1">
        <f t="shared" ca="1" si="247"/>
        <v>0</v>
      </c>
      <c r="EK127" s="1">
        <f t="shared" ca="1" si="248"/>
        <v>0</v>
      </c>
      <c r="EL127" s="20">
        <f t="shared" ca="1" si="249"/>
        <v>-1</v>
      </c>
      <c r="EN127" s="86">
        <f ca="1">MAX(0, SUMPRODUCT($ED127:$EL127,OFFSET(DNN!$E$9:$M$9,EN$9,0)) + OFFSET(DNN!$D$9,EN$9,0))</f>
        <v>0</v>
      </c>
      <c r="EO127" s="84">
        <f ca="1">MAX(0, SUMPRODUCT($ED127:$EL127,OFFSET(DNN!$E$9:$M$9,EO$9,0)) + OFFSET(DNN!$D$9,EO$9,0))</f>
        <v>7.2346022384755949E-3</v>
      </c>
      <c r="EP127" s="84">
        <f ca="1">MAX(0, SUMPRODUCT($ED127:$EL127,OFFSET(DNN!$E$9:$M$9,EP$9,0)) + OFFSET(DNN!$D$9,EP$9,0))</f>
        <v>3.6951849750035152E-3</v>
      </c>
      <c r="EQ127" s="84">
        <f ca="1">MAX(0, SUMPRODUCT($ED127:$EL127,OFFSET(DNN!$E$9:$M$9,EQ$9,0)) + OFFSET(DNN!$D$9,EQ$9,0))</f>
        <v>0</v>
      </c>
      <c r="ER127" s="85">
        <f ca="1">MAX(0, SUMPRODUCT($ED127:$EL127,OFFSET(DNN!$E$9:$M$9,ER$9,0)) + OFFSET(DNN!$D$9,ER$9,0))</f>
        <v>0</v>
      </c>
      <c r="ET127" s="86">
        <f ca="1">MAX(0, SUMPRODUCT($EN127:$ER127,OFFSET(DNN!$Q$9:$U$9,ET$9,0)) + OFFSET(DNN!$P$9,ET$9,0))</f>
        <v>4.3954959453478351E-4</v>
      </c>
      <c r="EU127" s="84">
        <f ca="1">MAX(0, SUMPRODUCT($EN127:$ER127,OFFSET(DNN!$Q$9:$U$9,EU$9,0)) + OFFSET(DNN!$P$9,EU$9,0))</f>
        <v>0</v>
      </c>
      <c r="EV127" s="84">
        <f ca="1">MAX(0, SUMPRODUCT($EN127:$ER127,OFFSET(DNN!$Q$9:$U$9,EV$9,0)) + OFFSET(DNN!$P$9,EV$9,0))</f>
        <v>1.2810123361902579E-3</v>
      </c>
      <c r="EW127" s="84">
        <f ca="1">MAX(0, SUMPRODUCT($EN127:$ER127,OFFSET(DNN!$Q$9:$U$9,EW$9,0)) + OFFSET(DNN!$P$9,EW$9,0))</f>
        <v>7.8382123007882457E-4</v>
      </c>
      <c r="EX127" s="85">
        <f ca="1">MAX(0, SUMPRODUCT($EN127:$ER127,OFFSET(DNN!$Q$9:$U$9,EX$9,0)) + OFFSET(DNN!$P$9,EX$9,0))</f>
        <v>0</v>
      </c>
      <c r="EZ127" s="111">
        <f ca="1">SUMPRODUCT($ET127:$EX127,OFFSET(DNN!$Y$9:$AC$9,EZ$9,0)) + OFFSET(DNN!$X$9,EZ$9,0)</f>
        <v>0.43031618918982212</v>
      </c>
      <c r="FA127" s="97">
        <f ca="1">SUMPRODUCT($ET127:$EX127,OFFSET(DNN!$Y$9:$AC$9,FA$9,0)) + OFFSET(DNN!$X$9,FA$9,0)</f>
        <v>-1.2643439935754107E-5</v>
      </c>
      <c r="FB127" s="97">
        <f ca="1">SUMPRODUCT($ET127:$EX127,OFFSET(DNN!$Y$9:$AC$9,FB$9,0)) + OFFSET(DNN!$X$9,FB$9,0)</f>
        <v>1.5239793458415756E-2</v>
      </c>
      <c r="FC127" s="97">
        <f ca="1">SUMPRODUCT($ET127:$EX127,OFFSET(DNN!$Y$9:$AC$9,FC$9,0)) + OFFSET(DNN!$X$9,FC$9,0)</f>
        <v>-8.8749521084055777E-4</v>
      </c>
      <c r="FD127" s="97">
        <f ca="1">SUMPRODUCT($ET127:$EX127,OFFSET(DNN!$Y$9:$AC$9,FD$9,0)) + OFFSET(DNN!$X$9,FD$9,0)</f>
        <v>-4.235816470721872E-4</v>
      </c>
      <c r="FE127" s="97">
        <f ca="1">SUMPRODUCT($ET127:$EX127,OFFSET(DNN!$Y$9:$AC$9,FE$9,0)) + OFFSET(DNN!$X$9,FE$9,0)</f>
        <v>-1.574182761064886E-5</v>
      </c>
      <c r="FF127" s="97">
        <f ca="1">SUMPRODUCT($ET127:$EX127,OFFSET(DNN!$Y$9:$AC$9,FF$9,0)) + OFFSET(DNN!$X$9,FF$9,0)</f>
        <v>-1.3491460223194656E-3</v>
      </c>
      <c r="FG127" s="97">
        <f ca="1">SUMPRODUCT($ET127:$EX127,OFFSET(DNN!$Y$9:$AC$9,FG$9,0)) + OFFSET(DNN!$X$9,FG$9,0)</f>
        <v>-6.2604808096248285E-2</v>
      </c>
      <c r="FH127" s="97">
        <f ca="1">SUMPRODUCT($ET127:$EX127,OFFSET(DNN!$Y$9:$AC$9,FH$9,0)) + OFFSET(DNN!$X$9,FH$9,0)</f>
        <v>8.6810016937029894E-4</v>
      </c>
      <c r="FI127" s="108">
        <f ca="1">SUMPRODUCT($ET127:$EX127,OFFSET(DNN!$Y$9:$AC$9,FI$9,0)) + OFFSET(DNN!$X$9,FI$9,0)</f>
        <v>-1.3182687612562751</v>
      </c>
      <c r="FJ127" s="98">
        <f ca="1">SUMPRODUCT($ET127:$EX127,OFFSET(DNN!$Y$9:$AC$9,FJ$9,0)) + OFFSET(DNN!$X$9,FJ$9,0)</f>
        <v>-2.2535161745939301E-5</v>
      </c>
      <c r="FL127" s="415">
        <f t="shared" ca="1" si="224"/>
        <v>0.43031618918982212</v>
      </c>
      <c r="FM127" s="130">
        <f t="shared" ca="1" si="225"/>
        <v>1</v>
      </c>
      <c r="FN127" s="131">
        <f t="shared" ca="1" si="226"/>
        <v>0.65029522127322903</v>
      </c>
      <c r="FO127" s="131">
        <f t="shared" ca="1" si="227"/>
        <v>0.66028983545318687</v>
      </c>
      <c r="FP127" s="131">
        <f t="shared" ca="1" si="228"/>
        <v>0.64972655813153501</v>
      </c>
      <c r="FQ127" s="131">
        <f t="shared" ca="1" si="229"/>
        <v>0.65002804502111444</v>
      </c>
      <c r="FR127" s="131">
        <f t="shared" ca="1" si="230"/>
        <v>0.65029320640965171</v>
      </c>
      <c r="FS127" s="131">
        <f t="shared" ca="1" si="231"/>
        <v>0.64942668056342145</v>
      </c>
      <c r="FT127" s="131">
        <f t="shared" ca="1" si="232"/>
        <v>0.61083952513994022</v>
      </c>
      <c r="FU127" s="132">
        <f t="shared" ca="1" si="233"/>
        <v>0.6508682169276182</v>
      </c>
      <c r="FV127" s="131">
        <f t="shared" ca="1" si="234"/>
        <v>0.17402001625314881</v>
      </c>
      <c r="FW127" s="83">
        <f t="shared" ca="1" si="235"/>
        <v>-2.2535161742124597E-5</v>
      </c>
    </row>
    <row r="128" spans="1:179">
      <c r="A128" s="19">
        <f t="shared" si="240"/>
        <v>118</v>
      </c>
      <c r="B128" s="1">
        <f t="shared" ca="1" si="236"/>
        <v>0</v>
      </c>
      <c r="C128" s="20">
        <f t="shared" ca="1" si="237"/>
        <v>118</v>
      </c>
      <c r="D128" s="19" t="str">
        <f t="shared" ca="1" si="238"/>
        <v>〇×〇×〇×--〇</v>
      </c>
      <c r="E128" s="7">
        <f t="shared" ca="1" si="206"/>
        <v>9</v>
      </c>
      <c r="F128" s="7">
        <f t="shared" ca="1" si="207"/>
        <v>1</v>
      </c>
      <c r="G128" s="1" t="str">
        <f t="shared" ref="G128:G145" ca="1" si="250">AE128</f>
        <v>〇×〇×〇×--〇</v>
      </c>
      <c r="H128" s="20" t="b">
        <f t="shared" ref="H128:H145" ca="1" si="251">AP128</f>
        <v>1</v>
      </c>
      <c r="I128" s="22">
        <f t="shared" ca="1" si="239"/>
        <v>-1</v>
      </c>
      <c r="J128" s="1" t="b">
        <f ca="1">(1&lt;COUNTIF(D$10:D128,D128))</f>
        <v>1</v>
      </c>
      <c r="K128" s="1" t="b">
        <f t="shared" ref="K128:K145" ca="1" si="252">OR(H128=TRUE,J128=FALSE)</f>
        <v>1</v>
      </c>
      <c r="L128" s="7">
        <f ca="1">MATCH(TRUE,K128:K$1048576,FALSE)-1</f>
        <v>0</v>
      </c>
      <c r="M128" s="24" t="str">
        <f t="shared" ref="M128:M145" ca="1" si="253">D128&amp;"_"&amp;IF(J128=FALSE, "X", E128)</f>
        <v>〇×〇×〇×--〇_9</v>
      </c>
      <c r="N128" s="25">
        <f t="shared" ca="1" si="208"/>
        <v>-2.2535161742124597E-5</v>
      </c>
      <c r="O128" s="26">
        <f t="shared" ca="1" si="209"/>
        <v>-1</v>
      </c>
      <c r="P128" s="27">
        <f t="shared" ca="1" si="210"/>
        <v>-1</v>
      </c>
      <c r="R128" s="41" t="str">
        <f ca="1">VLOOKUP(S128,cvt!$B$2:$C$4,2,FALSE)&amp;VLOOKUP(T128,cvt!$B$2:$C$4,2,FALSE)&amp;VLOOKUP(U128,cvt!$B$2:$C$4,2,FALSE)
&amp;VLOOKUP(V128,cvt!$B$2:$C$4,2,FALSE)&amp;VLOOKUP(W128,cvt!$B$2:$C$4,2,FALSE)&amp;VLOOKUP(X128,cvt!$B$2:$C$4,2,FALSE)
&amp;VLOOKUP(Y128,cvt!$B$2:$C$4,2,FALSE)&amp;VLOOKUP(Z128,cvt!$B$2:$C$4,2,FALSE)&amp;VLOOKUP(AA128,cvt!$B$2:$C$4,2,FALSE)</f>
        <v>〇×〇×〇×--〇</v>
      </c>
      <c r="S128" s="7">
        <f ca="1">VLOOKUP(MID($D128,S$9+1,1), cvt!$A$2:$B$4,2, FALSE)</f>
        <v>1</v>
      </c>
      <c r="T128" s="7">
        <f ca="1">VLOOKUP(MID($D128,T$9+1,1), cvt!$A$2:$B$4,2, FALSE)</f>
        <v>-1</v>
      </c>
      <c r="U128" s="7">
        <f ca="1">VLOOKUP(MID($D128,U$9+1,1), cvt!$A$2:$B$4,2, FALSE)</f>
        <v>1</v>
      </c>
      <c r="V128" s="17">
        <f ca="1">VLOOKUP(MID($D128,V$9+1,1), cvt!$A$2:$B$4,2, FALSE)</f>
        <v>-1</v>
      </c>
      <c r="W128" s="7">
        <f ca="1">VLOOKUP(MID($D128,W$9+1,1), cvt!$A$2:$B$4,2, FALSE)</f>
        <v>1</v>
      </c>
      <c r="X128" s="18">
        <f ca="1">VLOOKUP(MID($D128,X$9+1,1), cvt!$A$2:$B$4,2, FALSE)</f>
        <v>-1</v>
      </c>
      <c r="Y128" s="7">
        <f ca="1">VLOOKUP(MID($D128,Y$9+1,1), cvt!$A$2:$B$4,2, FALSE)</f>
        <v>0</v>
      </c>
      <c r="Z128" s="7">
        <f ca="1">VLOOKUP(MID($D128,Z$9+1,1), cvt!$A$2:$B$4,2, FALSE)</f>
        <v>0</v>
      </c>
      <c r="AA128" s="42">
        <f ca="1">VLOOKUP(MID($D128,AA$9+1,1), cvt!$A$2:$B$4,2, FALSE)</f>
        <v>1</v>
      </c>
      <c r="AB128" s="7">
        <f t="shared" ca="1" si="211"/>
        <v>1</v>
      </c>
      <c r="AC128" s="50" t="b">
        <f t="shared" ca="1" si="212"/>
        <v>1</v>
      </c>
      <c r="AE128" s="19" t="str">
        <f ca="1">VLOOKUP(AF128,cvt!$B$2:$C$4,2,FALSE)&amp;VLOOKUP(AG128,cvt!$B$2:$C$4,2,FALSE)&amp;VLOOKUP(AH128,cvt!$B$2:$C$4,2,FALSE)
&amp;VLOOKUP(AI128,cvt!$B$2:$C$4,2,FALSE)&amp;VLOOKUP(AJ128,cvt!$B$2:$C$4,2,FALSE)&amp;VLOOKUP(AK128,cvt!$B$2:$C$4,2,FALSE)
&amp;VLOOKUP(AL128,cvt!$B$2:$C$4,2,FALSE)&amp;VLOOKUP(AM128,cvt!$B$2:$C$4,2,FALSE)&amp;VLOOKUP(AN128,cvt!$B$2:$C$4,2,FALSE)</f>
        <v>〇×〇×〇×--〇</v>
      </c>
      <c r="AF128" s="17">
        <f t="shared" ref="AF128:AF145" ca="1" si="254">IF($E128=AF$9, $I128,S128)</f>
        <v>1</v>
      </c>
      <c r="AG128" s="7">
        <f t="shared" ref="AG128:AG145" ca="1" si="255">IF($E128=AG$9, $I128,T128)</f>
        <v>-1</v>
      </c>
      <c r="AH128" s="7">
        <f t="shared" ref="AH128:AH145" ca="1" si="256">IF($E128=AH$9, $I128,U128)</f>
        <v>1</v>
      </c>
      <c r="AI128" s="17">
        <f t="shared" ref="AI128:AI145" ca="1" si="257">IF($E128=AI$9, $I128,V128)</f>
        <v>-1</v>
      </c>
      <c r="AJ128" s="7">
        <f t="shared" ref="AJ128:AJ145" ca="1" si="258">IF($E128=AJ$9, $I128,W128)</f>
        <v>1</v>
      </c>
      <c r="AK128" s="18">
        <f t="shared" ref="AK128:AK145" ca="1" si="259">IF($E128=AK$9, $I128,X128)</f>
        <v>-1</v>
      </c>
      <c r="AL128" s="7">
        <f t="shared" ref="AL128:AL145" ca="1" si="260">IF($E128=AL$9, $I128,Y128)</f>
        <v>0</v>
      </c>
      <c r="AM128" s="7">
        <f t="shared" ref="AM128:AM145" ca="1" si="261">IF($E128=AM$9, $I128,Z128)</f>
        <v>0</v>
      </c>
      <c r="AN128" s="18">
        <f t="shared" ref="AN128:AN145" ca="1" si="262">IF($E128=AN$9, $I128,AA128)</f>
        <v>1</v>
      </c>
      <c r="AO128" s="7">
        <f t="shared" ca="1" si="213"/>
        <v>1</v>
      </c>
      <c r="AP128" s="50" t="b">
        <f t="shared" ref="AP128:AP145" ca="1" si="263">OR(AO128&lt;&gt;0,COUNTIF(AF128:AN128,0)=0)</f>
        <v>1</v>
      </c>
      <c r="AS128" s="22">
        <f t="shared" ca="1" si="214"/>
        <v>0</v>
      </c>
      <c r="AT128" s="7">
        <f t="shared" ca="1" si="153"/>
        <v>0</v>
      </c>
      <c r="AU128" s="7">
        <f t="shared" ca="1" si="154"/>
        <v>0</v>
      </c>
      <c r="AV128" s="7">
        <f t="shared" ca="1" si="155"/>
        <v>0</v>
      </c>
      <c r="AW128" s="7">
        <f t="shared" ca="1" si="156"/>
        <v>0</v>
      </c>
      <c r="AX128" s="7">
        <f t="shared" ca="1" si="157"/>
        <v>0</v>
      </c>
      <c r="AY128" s="7">
        <f t="shared" ca="1" si="158"/>
        <v>0</v>
      </c>
      <c r="AZ128" s="7">
        <f t="shared" ca="1" si="159"/>
        <v>0</v>
      </c>
      <c r="BA128" s="18">
        <f t="shared" ca="1" si="160"/>
        <v>0</v>
      </c>
      <c r="BB128" s="295">
        <f t="shared" ca="1" si="215"/>
        <v>1</v>
      </c>
      <c r="BD128" s="132"/>
      <c r="BE128" s="297">
        <f t="shared" ca="1" si="216"/>
        <v>1</v>
      </c>
      <c r="BF128" s="298">
        <f t="shared" ca="1" si="161"/>
        <v>0.65029522127322903</v>
      </c>
      <c r="BG128" s="298">
        <f t="shared" ca="1" si="162"/>
        <v>0.66028983545318687</v>
      </c>
      <c r="BH128" s="318">
        <f t="shared" ca="1" si="163"/>
        <v>0.64972655813153501</v>
      </c>
      <c r="BI128" s="298">
        <f t="shared" ca="1" si="164"/>
        <v>0.65002804502111444</v>
      </c>
      <c r="BJ128" s="299">
        <f t="shared" ca="1" si="165"/>
        <v>0.65029320640965171</v>
      </c>
      <c r="BK128" s="298">
        <f t="shared" ca="1" si="166"/>
        <v>0.64942668056342145</v>
      </c>
      <c r="BL128" s="298">
        <f t="shared" ca="1" si="167"/>
        <v>0.61083952513994022</v>
      </c>
      <c r="BM128" s="299">
        <f t="shared" ca="1" si="168"/>
        <v>0.6508682169276182</v>
      </c>
      <c r="BN128" s="295">
        <f t="shared" ca="1" si="169"/>
        <v>0.17402001625314881</v>
      </c>
      <c r="BO128" s="248">
        <f t="shared" ca="1" si="217"/>
        <v>-2.2535161742124597E-5</v>
      </c>
      <c r="BQ128" s="304">
        <f t="shared" ca="1" si="218"/>
        <v>0.1741200162531488</v>
      </c>
      <c r="BR128" s="297">
        <f t="shared" ca="1" si="219"/>
        <v>0</v>
      </c>
      <c r="BS128" s="298">
        <f t="shared" ca="1" si="170"/>
        <v>0</v>
      </c>
      <c r="BT128" s="298">
        <f t="shared" ca="1" si="171"/>
        <v>0</v>
      </c>
      <c r="BU128" s="318">
        <f t="shared" ca="1" si="172"/>
        <v>0</v>
      </c>
      <c r="BV128" s="298">
        <f t="shared" ca="1" si="173"/>
        <v>0</v>
      </c>
      <c r="BW128" s="299">
        <f t="shared" ca="1" si="174"/>
        <v>0</v>
      </c>
      <c r="BX128" s="298">
        <f t="shared" ca="1" si="175"/>
        <v>0</v>
      </c>
      <c r="BY128" s="298">
        <f t="shared" ca="1" si="176"/>
        <v>0</v>
      </c>
      <c r="BZ128" s="298">
        <f t="shared" ca="1" si="177"/>
        <v>0</v>
      </c>
      <c r="CA128" s="315">
        <f t="shared" ca="1" si="178"/>
        <v>0.1741200162531488</v>
      </c>
      <c r="CC128" s="52"/>
      <c r="CD128" s="306">
        <f t="shared" ca="1" si="220"/>
        <v>0</v>
      </c>
      <c r="CE128" s="15">
        <f t="shared" ca="1" si="179"/>
        <v>0</v>
      </c>
      <c r="CF128" s="15">
        <f t="shared" ca="1" si="180"/>
        <v>0</v>
      </c>
      <c r="CG128" s="286">
        <f t="shared" ca="1" si="181"/>
        <v>0</v>
      </c>
      <c r="CH128" s="15">
        <f t="shared" ca="1" si="182"/>
        <v>0</v>
      </c>
      <c r="CI128" s="288">
        <f t="shared" ca="1" si="183"/>
        <v>0</v>
      </c>
      <c r="CJ128" s="15">
        <f t="shared" ca="1" si="184"/>
        <v>0</v>
      </c>
      <c r="CK128" s="15">
        <f t="shared" ca="1" si="185"/>
        <v>0</v>
      </c>
      <c r="CL128" s="15">
        <f t="shared" ca="1" si="186"/>
        <v>0</v>
      </c>
      <c r="CM128" s="313">
        <f t="shared" ca="1" si="187"/>
        <v>1</v>
      </c>
      <c r="CO128" s="320">
        <f t="shared" ca="1" si="221"/>
        <v>117</v>
      </c>
      <c r="CP128" s="22">
        <f ca="1">COUNTIFS($C$10:$C127,"&lt;"&amp;$C128,$M$10:$M127,$D128&amp;"_"&amp;CP$9)</f>
        <v>0</v>
      </c>
      <c r="CQ128" s="7">
        <f ca="1">COUNTIFS($C$10:$C127,"&lt;"&amp;$C128,$M$10:$M127,$D128&amp;"_"&amp;CQ$9)</f>
        <v>0</v>
      </c>
      <c r="CR128" s="7">
        <f ca="1">COUNTIFS($C$10:$C127,"&lt;"&amp;$C128,$M$10:$M127,$D128&amp;"_"&amp;CR$9)</f>
        <v>0</v>
      </c>
      <c r="CS128" s="17">
        <f ca="1">COUNTIFS($C$10:$C127,"&lt;"&amp;$C128,$M$10:$M127,$D128&amp;"_"&amp;CS$9)</f>
        <v>0</v>
      </c>
      <c r="CT128" s="7">
        <f ca="1">COUNTIFS($C$10:$C127,"&lt;"&amp;$C128,$M$10:$M127,$D128&amp;"_"&amp;CT$9)</f>
        <v>0</v>
      </c>
      <c r="CU128" s="18">
        <f ca="1">COUNTIFS($C$10:$C127,"&lt;"&amp;$C128,$M$10:$M127,$D128&amp;"_"&amp;CU$9)</f>
        <v>0</v>
      </c>
      <c r="CV128" s="7">
        <f ca="1">COUNTIFS($C$10:$C127,"&lt;"&amp;$C128,$M$10:$M127,$D128&amp;"_"&amp;CV$9)</f>
        <v>0</v>
      </c>
      <c r="CW128" s="7">
        <f ca="1">COUNTIFS($C$10:$C127,"&lt;"&amp;$C128,$M$10:$M127,$D128&amp;"_"&amp;CW$9)</f>
        <v>0</v>
      </c>
      <c r="CX128" s="7">
        <f ca="1">COUNTIFS($C$10:$C127,"&lt;"&amp;$C128,$M$10:$M127,$D128&amp;"_"&amp;CX$9)</f>
        <v>0</v>
      </c>
      <c r="CY128" s="221">
        <f ca="1">COUNTIFS($C$10:$C127,"&lt;"&amp;$C128,$M$10:$M127,$D128&amp;"_"&amp;CY$9)</f>
        <v>117</v>
      </c>
      <c r="DA128" s="20"/>
      <c r="DB128" s="308">
        <f ca="1">IF(CP128=0,0,SUMIFS($P$10:$P127, $C$10:$C127,"&lt;"&amp;$C128, $M$10:$M127,$D128&amp;"_"&amp;DB$9)/CP128)</f>
        <v>0</v>
      </c>
      <c r="DC128" s="263">
        <f ca="1">IF(CQ128=0,0,SUMIFS($P$10:$P127, $C$10:$C127,"&lt;"&amp;$C128, $M$10:$M127,$D128&amp;"_"&amp;DC$9)/CQ128)</f>
        <v>0</v>
      </c>
      <c r="DD128" s="263">
        <f ca="1">IF(CR128=0,0,SUMIFS($P$10:$P127, $C$10:$C127,"&lt;"&amp;$C128, $M$10:$M127,$D128&amp;"_"&amp;DD$9)/CR128)</f>
        <v>0</v>
      </c>
      <c r="DE128" s="262">
        <f ca="1">IF(CS128=0,0,SUMIFS($P$10:$P127, $C$10:$C127,"&lt;"&amp;$C128, $M$10:$M127,$D128&amp;"_"&amp;DE$9)/CS128)</f>
        <v>0</v>
      </c>
      <c r="DF128" s="263">
        <f ca="1">IF(CT128=0,0,SUMIFS($P$10:$P127, $C$10:$C127,"&lt;"&amp;$C128, $M$10:$M127,$D128&amp;"_"&amp;DF$9)/CT128)</f>
        <v>0</v>
      </c>
      <c r="DG128" s="310">
        <f ca="1">IF(CU128=0,0,SUMIFS($P$10:$P127, $C$10:$C127,"&lt;"&amp;$C128, $M$10:$M127,$D128&amp;"_"&amp;DG$9)/CU128)</f>
        <v>0</v>
      </c>
      <c r="DH128" s="263">
        <f ca="1">IF(CV128=0,0,SUMIFS($P$10:$P127, $C$10:$C127,"&lt;"&amp;$C128, $M$10:$M127,$D128&amp;"_"&amp;DH$9)/CV128)</f>
        <v>0</v>
      </c>
      <c r="DI128" s="263">
        <f ca="1">IF(CW128=0,0,SUMIFS($P$10:$P127, $C$10:$C127,"&lt;"&amp;$C128, $M$10:$M127,$D128&amp;"_"&amp;DI$9)/CW128)</f>
        <v>0</v>
      </c>
      <c r="DJ128" s="264">
        <f ca="1">IF(CX128=0,0,SUMIFS($P$10:$P127, $C$10:$C127,"&lt;"&amp;$C128, $M$10:$M127,$D128&amp;"_"&amp;DJ$9)/CX128)</f>
        <v>0</v>
      </c>
      <c r="DK128" s="264">
        <f ca="1">IF(CY128=0,0,SUMIFS($P$10:$P127, $C$10:$C127,"&lt;"&amp;$C128, $M$10:$M127,$D128&amp;"_"&amp;DK$9)/CY128)</f>
        <v>-1</v>
      </c>
      <c r="DM128" s="104"/>
      <c r="DN128" s="306">
        <f t="shared" ca="1" si="222"/>
        <v>-9999</v>
      </c>
      <c r="DO128" s="15">
        <f t="shared" ca="1" si="188"/>
        <v>-9999</v>
      </c>
      <c r="DP128" s="15">
        <f t="shared" ca="1" si="189"/>
        <v>-9999</v>
      </c>
      <c r="DQ128" s="15">
        <f t="shared" ca="1" si="190"/>
        <v>-9999</v>
      </c>
      <c r="DR128" s="15">
        <f t="shared" ca="1" si="191"/>
        <v>-9999</v>
      </c>
      <c r="DS128" s="15">
        <f t="shared" ca="1" si="192"/>
        <v>-9999</v>
      </c>
      <c r="DT128" s="15">
        <f t="shared" ca="1" si="193"/>
        <v>-9999</v>
      </c>
      <c r="DU128" s="15">
        <f t="shared" ca="1" si="194"/>
        <v>-9999</v>
      </c>
      <c r="DV128" s="52">
        <f t="shared" ca="1" si="195"/>
        <v>-9999</v>
      </c>
      <c r="DW128" s="313">
        <f t="shared" ca="1" si="196"/>
        <v>-0.90833344214922063</v>
      </c>
      <c r="DX128" s="52"/>
      <c r="DY128" s="402">
        <f t="shared" ca="1" si="223"/>
        <v>9</v>
      </c>
      <c r="ED128" s="19">
        <f t="shared" ca="1" si="241"/>
        <v>-1</v>
      </c>
      <c r="EE128" s="1">
        <f t="shared" ca="1" si="242"/>
        <v>1</v>
      </c>
      <c r="EF128" s="1">
        <f t="shared" ca="1" si="243"/>
        <v>-1</v>
      </c>
      <c r="EG128" s="2">
        <f t="shared" ca="1" si="244"/>
        <v>1</v>
      </c>
      <c r="EH128" s="1">
        <f t="shared" ca="1" si="245"/>
        <v>-1</v>
      </c>
      <c r="EI128" s="3">
        <f t="shared" ca="1" si="246"/>
        <v>1</v>
      </c>
      <c r="EJ128" s="1">
        <f t="shared" ca="1" si="247"/>
        <v>0</v>
      </c>
      <c r="EK128" s="1">
        <f t="shared" ca="1" si="248"/>
        <v>0</v>
      </c>
      <c r="EL128" s="20">
        <f t="shared" ca="1" si="249"/>
        <v>-1</v>
      </c>
      <c r="EN128" s="86">
        <f ca="1">MAX(0, SUMPRODUCT($ED128:$EL128,OFFSET(DNN!$E$9:$M$9,EN$9,0)) + OFFSET(DNN!$D$9,EN$9,0))</f>
        <v>0</v>
      </c>
      <c r="EO128" s="84">
        <f ca="1">MAX(0, SUMPRODUCT($ED128:$EL128,OFFSET(DNN!$E$9:$M$9,EO$9,0)) + OFFSET(DNN!$D$9,EO$9,0))</f>
        <v>7.2346022384755949E-3</v>
      </c>
      <c r="EP128" s="84">
        <f ca="1">MAX(0, SUMPRODUCT($ED128:$EL128,OFFSET(DNN!$E$9:$M$9,EP$9,0)) + OFFSET(DNN!$D$9,EP$9,0))</f>
        <v>3.6951849750035152E-3</v>
      </c>
      <c r="EQ128" s="84">
        <f ca="1">MAX(0, SUMPRODUCT($ED128:$EL128,OFFSET(DNN!$E$9:$M$9,EQ$9,0)) + OFFSET(DNN!$D$9,EQ$9,0))</f>
        <v>0</v>
      </c>
      <c r="ER128" s="85">
        <f ca="1">MAX(0, SUMPRODUCT($ED128:$EL128,OFFSET(DNN!$E$9:$M$9,ER$9,0)) + OFFSET(DNN!$D$9,ER$9,0))</f>
        <v>0</v>
      </c>
      <c r="ET128" s="86">
        <f ca="1">MAX(0, SUMPRODUCT($EN128:$ER128,OFFSET(DNN!$Q$9:$U$9,ET$9,0)) + OFFSET(DNN!$P$9,ET$9,0))</f>
        <v>4.3954959453478351E-4</v>
      </c>
      <c r="EU128" s="84">
        <f ca="1">MAX(0, SUMPRODUCT($EN128:$ER128,OFFSET(DNN!$Q$9:$U$9,EU$9,0)) + OFFSET(DNN!$P$9,EU$9,0))</f>
        <v>0</v>
      </c>
      <c r="EV128" s="84">
        <f ca="1">MAX(0, SUMPRODUCT($EN128:$ER128,OFFSET(DNN!$Q$9:$U$9,EV$9,0)) + OFFSET(DNN!$P$9,EV$9,0))</f>
        <v>1.2810123361902579E-3</v>
      </c>
      <c r="EW128" s="84">
        <f ca="1">MAX(0, SUMPRODUCT($EN128:$ER128,OFFSET(DNN!$Q$9:$U$9,EW$9,0)) + OFFSET(DNN!$P$9,EW$9,0))</f>
        <v>7.8382123007882457E-4</v>
      </c>
      <c r="EX128" s="85">
        <f ca="1">MAX(0, SUMPRODUCT($EN128:$ER128,OFFSET(DNN!$Q$9:$U$9,EX$9,0)) + OFFSET(DNN!$P$9,EX$9,0))</f>
        <v>0</v>
      </c>
      <c r="EZ128" s="111">
        <f ca="1">SUMPRODUCT($ET128:$EX128,OFFSET(DNN!$Y$9:$AC$9,EZ$9,0)) + OFFSET(DNN!$X$9,EZ$9,0)</f>
        <v>0.43031618918982212</v>
      </c>
      <c r="FA128" s="97">
        <f ca="1">SUMPRODUCT($ET128:$EX128,OFFSET(DNN!$Y$9:$AC$9,FA$9,0)) + OFFSET(DNN!$X$9,FA$9,0)</f>
        <v>-1.2643439935754107E-5</v>
      </c>
      <c r="FB128" s="97">
        <f ca="1">SUMPRODUCT($ET128:$EX128,OFFSET(DNN!$Y$9:$AC$9,FB$9,0)) + OFFSET(DNN!$X$9,FB$9,0)</f>
        <v>1.5239793458415756E-2</v>
      </c>
      <c r="FC128" s="97">
        <f ca="1">SUMPRODUCT($ET128:$EX128,OFFSET(DNN!$Y$9:$AC$9,FC$9,0)) + OFFSET(DNN!$X$9,FC$9,0)</f>
        <v>-8.8749521084055777E-4</v>
      </c>
      <c r="FD128" s="97">
        <f ca="1">SUMPRODUCT($ET128:$EX128,OFFSET(DNN!$Y$9:$AC$9,FD$9,0)) + OFFSET(DNN!$X$9,FD$9,0)</f>
        <v>-4.235816470721872E-4</v>
      </c>
      <c r="FE128" s="97">
        <f ca="1">SUMPRODUCT($ET128:$EX128,OFFSET(DNN!$Y$9:$AC$9,FE$9,0)) + OFFSET(DNN!$X$9,FE$9,0)</f>
        <v>-1.574182761064886E-5</v>
      </c>
      <c r="FF128" s="97">
        <f ca="1">SUMPRODUCT($ET128:$EX128,OFFSET(DNN!$Y$9:$AC$9,FF$9,0)) + OFFSET(DNN!$X$9,FF$9,0)</f>
        <v>-1.3491460223194656E-3</v>
      </c>
      <c r="FG128" s="97">
        <f ca="1">SUMPRODUCT($ET128:$EX128,OFFSET(DNN!$Y$9:$AC$9,FG$9,0)) + OFFSET(DNN!$X$9,FG$9,0)</f>
        <v>-6.2604808096248285E-2</v>
      </c>
      <c r="FH128" s="97">
        <f ca="1">SUMPRODUCT($ET128:$EX128,OFFSET(DNN!$Y$9:$AC$9,FH$9,0)) + OFFSET(DNN!$X$9,FH$9,0)</f>
        <v>8.6810016937029894E-4</v>
      </c>
      <c r="FI128" s="108">
        <f ca="1">SUMPRODUCT($ET128:$EX128,OFFSET(DNN!$Y$9:$AC$9,FI$9,0)) + OFFSET(DNN!$X$9,FI$9,0)</f>
        <v>-1.3182687612562751</v>
      </c>
      <c r="FJ128" s="98">
        <f ca="1">SUMPRODUCT($ET128:$EX128,OFFSET(DNN!$Y$9:$AC$9,FJ$9,0)) + OFFSET(DNN!$X$9,FJ$9,0)</f>
        <v>-2.2535161745939301E-5</v>
      </c>
      <c r="FL128" s="415">
        <f t="shared" ca="1" si="224"/>
        <v>0.43031618918982212</v>
      </c>
      <c r="FM128" s="130">
        <f t="shared" ca="1" si="225"/>
        <v>1</v>
      </c>
      <c r="FN128" s="131">
        <f t="shared" ca="1" si="226"/>
        <v>0.65029522127322903</v>
      </c>
      <c r="FO128" s="131">
        <f t="shared" ca="1" si="227"/>
        <v>0.66028983545318687</v>
      </c>
      <c r="FP128" s="131">
        <f t="shared" ca="1" si="228"/>
        <v>0.64972655813153501</v>
      </c>
      <c r="FQ128" s="131">
        <f t="shared" ca="1" si="229"/>
        <v>0.65002804502111444</v>
      </c>
      <c r="FR128" s="131">
        <f t="shared" ca="1" si="230"/>
        <v>0.65029320640965171</v>
      </c>
      <c r="FS128" s="131">
        <f t="shared" ca="1" si="231"/>
        <v>0.64942668056342145</v>
      </c>
      <c r="FT128" s="131">
        <f t="shared" ca="1" si="232"/>
        <v>0.61083952513994022</v>
      </c>
      <c r="FU128" s="132">
        <f t="shared" ca="1" si="233"/>
        <v>0.6508682169276182</v>
      </c>
      <c r="FV128" s="131">
        <f t="shared" ca="1" si="234"/>
        <v>0.17402001625314881</v>
      </c>
      <c r="FW128" s="83">
        <f t="shared" ca="1" si="235"/>
        <v>-2.2535161742124597E-5</v>
      </c>
    </row>
    <row r="129" spans="1:179">
      <c r="A129" s="19">
        <f t="shared" si="240"/>
        <v>119</v>
      </c>
      <c r="B129" s="1">
        <f t="shared" ca="1" si="236"/>
        <v>0</v>
      </c>
      <c r="C129" s="20">
        <f t="shared" ca="1" si="237"/>
        <v>119</v>
      </c>
      <c r="D129" s="19" t="str">
        <f t="shared" ca="1" si="238"/>
        <v>〇×〇×〇×--〇</v>
      </c>
      <c r="E129" s="7">
        <f t="shared" ca="1" si="206"/>
        <v>9</v>
      </c>
      <c r="F129" s="7">
        <f t="shared" ca="1" si="207"/>
        <v>1</v>
      </c>
      <c r="G129" s="1" t="str">
        <f t="shared" ca="1" si="250"/>
        <v>〇×〇×〇×--〇</v>
      </c>
      <c r="H129" s="20" t="b">
        <f t="shared" ca="1" si="251"/>
        <v>1</v>
      </c>
      <c r="I129" s="22">
        <f t="shared" ca="1" si="239"/>
        <v>-1</v>
      </c>
      <c r="J129" s="1" t="b">
        <f ca="1">(1&lt;COUNTIF(D$10:D129,D129))</f>
        <v>1</v>
      </c>
      <c r="K129" s="1" t="b">
        <f t="shared" ca="1" si="252"/>
        <v>1</v>
      </c>
      <c r="L129" s="7">
        <f ca="1">MATCH(TRUE,K129:K$1048576,FALSE)-1</f>
        <v>0</v>
      </c>
      <c r="M129" s="24" t="str">
        <f t="shared" ca="1" si="253"/>
        <v>〇×〇×〇×--〇_9</v>
      </c>
      <c r="N129" s="25">
        <f t="shared" ca="1" si="208"/>
        <v>-2.2535161742124597E-5</v>
      </c>
      <c r="O129" s="26">
        <f t="shared" ca="1" si="209"/>
        <v>-1</v>
      </c>
      <c r="P129" s="27">
        <f t="shared" ca="1" si="210"/>
        <v>-1</v>
      </c>
      <c r="R129" s="41" t="str">
        <f ca="1">VLOOKUP(S129,cvt!$B$2:$C$4,2,FALSE)&amp;VLOOKUP(T129,cvt!$B$2:$C$4,2,FALSE)&amp;VLOOKUP(U129,cvt!$B$2:$C$4,2,FALSE)
&amp;VLOOKUP(V129,cvt!$B$2:$C$4,2,FALSE)&amp;VLOOKUP(W129,cvt!$B$2:$C$4,2,FALSE)&amp;VLOOKUP(X129,cvt!$B$2:$C$4,2,FALSE)
&amp;VLOOKUP(Y129,cvt!$B$2:$C$4,2,FALSE)&amp;VLOOKUP(Z129,cvt!$B$2:$C$4,2,FALSE)&amp;VLOOKUP(AA129,cvt!$B$2:$C$4,2,FALSE)</f>
        <v>〇×〇×〇×--〇</v>
      </c>
      <c r="S129" s="7">
        <f ca="1">VLOOKUP(MID($D129,S$9+1,1), cvt!$A$2:$B$4,2, FALSE)</f>
        <v>1</v>
      </c>
      <c r="T129" s="7">
        <f ca="1">VLOOKUP(MID($D129,T$9+1,1), cvt!$A$2:$B$4,2, FALSE)</f>
        <v>-1</v>
      </c>
      <c r="U129" s="7">
        <f ca="1">VLOOKUP(MID($D129,U$9+1,1), cvt!$A$2:$B$4,2, FALSE)</f>
        <v>1</v>
      </c>
      <c r="V129" s="17">
        <f ca="1">VLOOKUP(MID($D129,V$9+1,1), cvt!$A$2:$B$4,2, FALSE)</f>
        <v>-1</v>
      </c>
      <c r="W129" s="7">
        <f ca="1">VLOOKUP(MID($D129,W$9+1,1), cvt!$A$2:$B$4,2, FALSE)</f>
        <v>1</v>
      </c>
      <c r="X129" s="18">
        <f ca="1">VLOOKUP(MID($D129,X$9+1,1), cvt!$A$2:$B$4,2, FALSE)</f>
        <v>-1</v>
      </c>
      <c r="Y129" s="7">
        <f ca="1">VLOOKUP(MID($D129,Y$9+1,1), cvt!$A$2:$B$4,2, FALSE)</f>
        <v>0</v>
      </c>
      <c r="Z129" s="7">
        <f ca="1">VLOOKUP(MID($D129,Z$9+1,1), cvt!$A$2:$B$4,2, FALSE)</f>
        <v>0</v>
      </c>
      <c r="AA129" s="42">
        <f ca="1">VLOOKUP(MID($D129,AA$9+1,1), cvt!$A$2:$B$4,2, FALSE)</f>
        <v>1</v>
      </c>
      <c r="AB129" s="7">
        <f t="shared" ca="1" si="211"/>
        <v>1</v>
      </c>
      <c r="AC129" s="50" t="b">
        <f t="shared" ca="1" si="212"/>
        <v>1</v>
      </c>
      <c r="AE129" s="19" t="str">
        <f ca="1">VLOOKUP(AF129,cvt!$B$2:$C$4,2,FALSE)&amp;VLOOKUP(AG129,cvt!$B$2:$C$4,2,FALSE)&amp;VLOOKUP(AH129,cvt!$B$2:$C$4,2,FALSE)
&amp;VLOOKUP(AI129,cvt!$B$2:$C$4,2,FALSE)&amp;VLOOKUP(AJ129,cvt!$B$2:$C$4,2,FALSE)&amp;VLOOKUP(AK129,cvt!$B$2:$C$4,2,FALSE)
&amp;VLOOKUP(AL129,cvt!$B$2:$C$4,2,FALSE)&amp;VLOOKUP(AM129,cvt!$B$2:$C$4,2,FALSE)&amp;VLOOKUP(AN129,cvt!$B$2:$C$4,2,FALSE)</f>
        <v>〇×〇×〇×--〇</v>
      </c>
      <c r="AF129" s="17">
        <f t="shared" ca="1" si="254"/>
        <v>1</v>
      </c>
      <c r="AG129" s="7">
        <f t="shared" ca="1" si="255"/>
        <v>-1</v>
      </c>
      <c r="AH129" s="7">
        <f t="shared" ca="1" si="256"/>
        <v>1</v>
      </c>
      <c r="AI129" s="17">
        <f t="shared" ca="1" si="257"/>
        <v>-1</v>
      </c>
      <c r="AJ129" s="7">
        <f t="shared" ca="1" si="258"/>
        <v>1</v>
      </c>
      <c r="AK129" s="18">
        <f t="shared" ca="1" si="259"/>
        <v>-1</v>
      </c>
      <c r="AL129" s="7">
        <f t="shared" ca="1" si="260"/>
        <v>0</v>
      </c>
      <c r="AM129" s="7">
        <f t="shared" ca="1" si="261"/>
        <v>0</v>
      </c>
      <c r="AN129" s="18">
        <f t="shared" ca="1" si="262"/>
        <v>1</v>
      </c>
      <c r="AO129" s="7">
        <f t="shared" ca="1" si="213"/>
        <v>1</v>
      </c>
      <c r="AP129" s="50" t="b">
        <f t="shared" ca="1" si="263"/>
        <v>1</v>
      </c>
      <c r="AS129" s="22">
        <f t="shared" ca="1" si="214"/>
        <v>0</v>
      </c>
      <c r="AT129" s="7">
        <f t="shared" ca="1" si="153"/>
        <v>0</v>
      </c>
      <c r="AU129" s="7">
        <f t="shared" ca="1" si="154"/>
        <v>0</v>
      </c>
      <c r="AV129" s="7">
        <f t="shared" ca="1" si="155"/>
        <v>0</v>
      </c>
      <c r="AW129" s="7">
        <f t="shared" ca="1" si="156"/>
        <v>0</v>
      </c>
      <c r="AX129" s="7">
        <f t="shared" ca="1" si="157"/>
        <v>0</v>
      </c>
      <c r="AY129" s="7">
        <f t="shared" ca="1" si="158"/>
        <v>0</v>
      </c>
      <c r="AZ129" s="7">
        <f t="shared" ca="1" si="159"/>
        <v>0</v>
      </c>
      <c r="BA129" s="18">
        <f t="shared" ca="1" si="160"/>
        <v>0</v>
      </c>
      <c r="BB129" s="295">
        <f t="shared" ca="1" si="215"/>
        <v>1</v>
      </c>
      <c r="BD129" s="132"/>
      <c r="BE129" s="297">
        <f t="shared" ca="1" si="216"/>
        <v>1</v>
      </c>
      <c r="BF129" s="298">
        <f t="shared" ca="1" si="161"/>
        <v>0.65029522127322903</v>
      </c>
      <c r="BG129" s="298">
        <f t="shared" ca="1" si="162"/>
        <v>0.66028983545318687</v>
      </c>
      <c r="BH129" s="318">
        <f t="shared" ca="1" si="163"/>
        <v>0.64972655813153501</v>
      </c>
      <c r="BI129" s="298">
        <f t="shared" ca="1" si="164"/>
        <v>0.65002804502111444</v>
      </c>
      <c r="BJ129" s="299">
        <f t="shared" ca="1" si="165"/>
        <v>0.65029320640965171</v>
      </c>
      <c r="BK129" s="298">
        <f t="shared" ca="1" si="166"/>
        <v>0.64942668056342145</v>
      </c>
      <c r="BL129" s="298">
        <f t="shared" ca="1" si="167"/>
        <v>0.61083952513994022</v>
      </c>
      <c r="BM129" s="299">
        <f t="shared" ca="1" si="168"/>
        <v>0.6508682169276182</v>
      </c>
      <c r="BN129" s="295">
        <f t="shared" ca="1" si="169"/>
        <v>0.17402001625314881</v>
      </c>
      <c r="BO129" s="248">
        <f t="shared" ca="1" si="217"/>
        <v>-2.2535161742124597E-5</v>
      </c>
      <c r="BQ129" s="304">
        <f t="shared" ca="1" si="218"/>
        <v>0.1741200162531488</v>
      </c>
      <c r="BR129" s="297">
        <f t="shared" ca="1" si="219"/>
        <v>0</v>
      </c>
      <c r="BS129" s="298">
        <f t="shared" ca="1" si="170"/>
        <v>0</v>
      </c>
      <c r="BT129" s="298">
        <f t="shared" ca="1" si="171"/>
        <v>0</v>
      </c>
      <c r="BU129" s="318">
        <f t="shared" ca="1" si="172"/>
        <v>0</v>
      </c>
      <c r="BV129" s="298">
        <f t="shared" ca="1" si="173"/>
        <v>0</v>
      </c>
      <c r="BW129" s="299">
        <f t="shared" ca="1" si="174"/>
        <v>0</v>
      </c>
      <c r="BX129" s="298">
        <f t="shared" ca="1" si="175"/>
        <v>0</v>
      </c>
      <c r="BY129" s="298">
        <f t="shared" ca="1" si="176"/>
        <v>0</v>
      </c>
      <c r="BZ129" s="298">
        <f t="shared" ca="1" si="177"/>
        <v>0</v>
      </c>
      <c r="CA129" s="315">
        <f t="shared" ca="1" si="178"/>
        <v>0.1741200162531488</v>
      </c>
      <c r="CC129" s="52"/>
      <c r="CD129" s="306">
        <f t="shared" ca="1" si="220"/>
        <v>0</v>
      </c>
      <c r="CE129" s="15">
        <f t="shared" ca="1" si="179"/>
        <v>0</v>
      </c>
      <c r="CF129" s="15">
        <f t="shared" ca="1" si="180"/>
        <v>0</v>
      </c>
      <c r="CG129" s="286">
        <f t="shared" ca="1" si="181"/>
        <v>0</v>
      </c>
      <c r="CH129" s="15">
        <f t="shared" ca="1" si="182"/>
        <v>0</v>
      </c>
      <c r="CI129" s="288">
        <f t="shared" ca="1" si="183"/>
        <v>0</v>
      </c>
      <c r="CJ129" s="15">
        <f t="shared" ca="1" si="184"/>
        <v>0</v>
      </c>
      <c r="CK129" s="15">
        <f t="shared" ca="1" si="185"/>
        <v>0</v>
      </c>
      <c r="CL129" s="15">
        <f t="shared" ca="1" si="186"/>
        <v>0</v>
      </c>
      <c r="CM129" s="313">
        <f t="shared" ca="1" si="187"/>
        <v>1</v>
      </c>
      <c r="CO129" s="320">
        <f t="shared" ca="1" si="221"/>
        <v>118</v>
      </c>
      <c r="CP129" s="22">
        <f ca="1">COUNTIFS($C$10:$C128,"&lt;"&amp;$C129,$M$10:$M128,$D129&amp;"_"&amp;CP$9)</f>
        <v>0</v>
      </c>
      <c r="CQ129" s="7">
        <f ca="1">COUNTIFS($C$10:$C128,"&lt;"&amp;$C129,$M$10:$M128,$D129&amp;"_"&amp;CQ$9)</f>
        <v>0</v>
      </c>
      <c r="CR129" s="7">
        <f ca="1">COUNTIFS($C$10:$C128,"&lt;"&amp;$C129,$M$10:$M128,$D129&amp;"_"&amp;CR$9)</f>
        <v>0</v>
      </c>
      <c r="CS129" s="17">
        <f ca="1">COUNTIFS($C$10:$C128,"&lt;"&amp;$C129,$M$10:$M128,$D129&amp;"_"&amp;CS$9)</f>
        <v>0</v>
      </c>
      <c r="CT129" s="7">
        <f ca="1">COUNTIFS($C$10:$C128,"&lt;"&amp;$C129,$M$10:$M128,$D129&amp;"_"&amp;CT$9)</f>
        <v>0</v>
      </c>
      <c r="CU129" s="18">
        <f ca="1">COUNTIFS($C$10:$C128,"&lt;"&amp;$C129,$M$10:$M128,$D129&amp;"_"&amp;CU$9)</f>
        <v>0</v>
      </c>
      <c r="CV129" s="7">
        <f ca="1">COUNTIFS($C$10:$C128,"&lt;"&amp;$C129,$M$10:$M128,$D129&amp;"_"&amp;CV$9)</f>
        <v>0</v>
      </c>
      <c r="CW129" s="7">
        <f ca="1">COUNTIFS($C$10:$C128,"&lt;"&amp;$C129,$M$10:$M128,$D129&amp;"_"&amp;CW$9)</f>
        <v>0</v>
      </c>
      <c r="CX129" s="7">
        <f ca="1">COUNTIFS($C$10:$C128,"&lt;"&amp;$C129,$M$10:$M128,$D129&amp;"_"&amp;CX$9)</f>
        <v>0</v>
      </c>
      <c r="CY129" s="221">
        <f ca="1">COUNTIFS($C$10:$C128,"&lt;"&amp;$C129,$M$10:$M128,$D129&amp;"_"&amp;CY$9)</f>
        <v>118</v>
      </c>
      <c r="DA129" s="20"/>
      <c r="DB129" s="308">
        <f ca="1">IF(CP129=0,0,SUMIFS($P$10:$P128, $C$10:$C128,"&lt;"&amp;$C129, $M$10:$M128,$D129&amp;"_"&amp;DB$9)/CP129)</f>
        <v>0</v>
      </c>
      <c r="DC129" s="263">
        <f ca="1">IF(CQ129=0,0,SUMIFS($P$10:$P128, $C$10:$C128,"&lt;"&amp;$C129, $M$10:$M128,$D129&amp;"_"&amp;DC$9)/CQ129)</f>
        <v>0</v>
      </c>
      <c r="DD129" s="263">
        <f ca="1">IF(CR129=0,0,SUMIFS($P$10:$P128, $C$10:$C128,"&lt;"&amp;$C129, $M$10:$M128,$D129&amp;"_"&amp;DD$9)/CR129)</f>
        <v>0</v>
      </c>
      <c r="DE129" s="262">
        <f ca="1">IF(CS129=0,0,SUMIFS($P$10:$P128, $C$10:$C128,"&lt;"&amp;$C129, $M$10:$M128,$D129&amp;"_"&amp;DE$9)/CS129)</f>
        <v>0</v>
      </c>
      <c r="DF129" s="263">
        <f ca="1">IF(CT129=0,0,SUMIFS($P$10:$P128, $C$10:$C128,"&lt;"&amp;$C129, $M$10:$M128,$D129&amp;"_"&amp;DF$9)/CT129)</f>
        <v>0</v>
      </c>
      <c r="DG129" s="310">
        <f ca="1">IF(CU129=0,0,SUMIFS($P$10:$P128, $C$10:$C128,"&lt;"&amp;$C129, $M$10:$M128,$D129&amp;"_"&amp;DG$9)/CU129)</f>
        <v>0</v>
      </c>
      <c r="DH129" s="263">
        <f ca="1">IF(CV129=0,0,SUMIFS($P$10:$P128, $C$10:$C128,"&lt;"&amp;$C129, $M$10:$M128,$D129&amp;"_"&amp;DH$9)/CV129)</f>
        <v>0</v>
      </c>
      <c r="DI129" s="263">
        <f ca="1">IF(CW129=0,0,SUMIFS($P$10:$P128, $C$10:$C128,"&lt;"&amp;$C129, $M$10:$M128,$D129&amp;"_"&amp;DI$9)/CW129)</f>
        <v>0</v>
      </c>
      <c r="DJ129" s="264">
        <f ca="1">IF(CX129=0,0,SUMIFS($P$10:$P128, $C$10:$C128,"&lt;"&amp;$C129, $M$10:$M128,$D129&amp;"_"&amp;DJ$9)/CX129)</f>
        <v>0</v>
      </c>
      <c r="DK129" s="264">
        <f ca="1">IF(CY129=0,0,SUMIFS($P$10:$P128, $C$10:$C128,"&lt;"&amp;$C129, $M$10:$M128,$D129&amp;"_"&amp;DK$9)/CY129)</f>
        <v>-1</v>
      </c>
      <c r="DM129" s="104"/>
      <c r="DN129" s="306">
        <f t="shared" ca="1" si="222"/>
        <v>-9999</v>
      </c>
      <c r="DO129" s="15">
        <f t="shared" ca="1" si="188"/>
        <v>-9999</v>
      </c>
      <c r="DP129" s="15">
        <f t="shared" ca="1" si="189"/>
        <v>-9999</v>
      </c>
      <c r="DQ129" s="15">
        <f t="shared" ca="1" si="190"/>
        <v>-9999</v>
      </c>
      <c r="DR129" s="15">
        <f t="shared" ca="1" si="191"/>
        <v>-9999</v>
      </c>
      <c r="DS129" s="15">
        <f t="shared" ca="1" si="192"/>
        <v>-9999</v>
      </c>
      <c r="DT129" s="15">
        <f t="shared" ca="1" si="193"/>
        <v>-9999</v>
      </c>
      <c r="DU129" s="15">
        <f t="shared" ca="1" si="194"/>
        <v>-9999</v>
      </c>
      <c r="DV129" s="52">
        <f t="shared" ca="1" si="195"/>
        <v>-9999</v>
      </c>
      <c r="DW129" s="313">
        <f t="shared" ca="1" si="196"/>
        <v>-0.90871613032604859</v>
      </c>
      <c r="DX129" s="52"/>
      <c r="DY129" s="402">
        <f t="shared" ca="1" si="223"/>
        <v>9</v>
      </c>
      <c r="ED129" s="19">
        <f t="shared" ca="1" si="241"/>
        <v>-1</v>
      </c>
      <c r="EE129" s="1">
        <f t="shared" ca="1" si="242"/>
        <v>1</v>
      </c>
      <c r="EF129" s="1">
        <f t="shared" ca="1" si="243"/>
        <v>-1</v>
      </c>
      <c r="EG129" s="2">
        <f t="shared" ca="1" si="244"/>
        <v>1</v>
      </c>
      <c r="EH129" s="1">
        <f t="shared" ca="1" si="245"/>
        <v>-1</v>
      </c>
      <c r="EI129" s="3">
        <f t="shared" ca="1" si="246"/>
        <v>1</v>
      </c>
      <c r="EJ129" s="1">
        <f t="shared" ca="1" si="247"/>
        <v>0</v>
      </c>
      <c r="EK129" s="1">
        <f t="shared" ca="1" si="248"/>
        <v>0</v>
      </c>
      <c r="EL129" s="20">
        <f t="shared" ca="1" si="249"/>
        <v>-1</v>
      </c>
      <c r="EN129" s="86">
        <f ca="1">MAX(0, SUMPRODUCT($ED129:$EL129,OFFSET(DNN!$E$9:$M$9,EN$9,0)) + OFFSET(DNN!$D$9,EN$9,0))</f>
        <v>0</v>
      </c>
      <c r="EO129" s="84">
        <f ca="1">MAX(0, SUMPRODUCT($ED129:$EL129,OFFSET(DNN!$E$9:$M$9,EO$9,0)) + OFFSET(DNN!$D$9,EO$9,0))</f>
        <v>7.2346022384755949E-3</v>
      </c>
      <c r="EP129" s="84">
        <f ca="1">MAX(0, SUMPRODUCT($ED129:$EL129,OFFSET(DNN!$E$9:$M$9,EP$9,0)) + OFFSET(DNN!$D$9,EP$9,0))</f>
        <v>3.6951849750035152E-3</v>
      </c>
      <c r="EQ129" s="84">
        <f ca="1">MAX(0, SUMPRODUCT($ED129:$EL129,OFFSET(DNN!$E$9:$M$9,EQ$9,0)) + OFFSET(DNN!$D$9,EQ$9,0))</f>
        <v>0</v>
      </c>
      <c r="ER129" s="85">
        <f ca="1">MAX(0, SUMPRODUCT($ED129:$EL129,OFFSET(DNN!$E$9:$M$9,ER$9,0)) + OFFSET(DNN!$D$9,ER$9,0))</f>
        <v>0</v>
      </c>
      <c r="ET129" s="86">
        <f ca="1">MAX(0, SUMPRODUCT($EN129:$ER129,OFFSET(DNN!$Q$9:$U$9,ET$9,0)) + OFFSET(DNN!$P$9,ET$9,0))</f>
        <v>4.3954959453478351E-4</v>
      </c>
      <c r="EU129" s="84">
        <f ca="1">MAX(0, SUMPRODUCT($EN129:$ER129,OFFSET(DNN!$Q$9:$U$9,EU$9,0)) + OFFSET(DNN!$P$9,EU$9,0))</f>
        <v>0</v>
      </c>
      <c r="EV129" s="84">
        <f ca="1">MAX(0, SUMPRODUCT($EN129:$ER129,OFFSET(DNN!$Q$9:$U$9,EV$9,0)) + OFFSET(DNN!$P$9,EV$9,0))</f>
        <v>1.2810123361902579E-3</v>
      </c>
      <c r="EW129" s="84">
        <f ca="1">MAX(0, SUMPRODUCT($EN129:$ER129,OFFSET(DNN!$Q$9:$U$9,EW$9,0)) + OFFSET(DNN!$P$9,EW$9,0))</f>
        <v>7.8382123007882457E-4</v>
      </c>
      <c r="EX129" s="85">
        <f ca="1">MAX(0, SUMPRODUCT($EN129:$ER129,OFFSET(DNN!$Q$9:$U$9,EX$9,0)) + OFFSET(DNN!$P$9,EX$9,0))</f>
        <v>0</v>
      </c>
      <c r="EZ129" s="111">
        <f ca="1">SUMPRODUCT($ET129:$EX129,OFFSET(DNN!$Y$9:$AC$9,EZ$9,0)) + OFFSET(DNN!$X$9,EZ$9,0)</f>
        <v>0.43031618918982212</v>
      </c>
      <c r="FA129" s="97">
        <f ca="1">SUMPRODUCT($ET129:$EX129,OFFSET(DNN!$Y$9:$AC$9,FA$9,0)) + OFFSET(DNN!$X$9,FA$9,0)</f>
        <v>-1.2643439935754107E-5</v>
      </c>
      <c r="FB129" s="97">
        <f ca="1">SUMPRODUCT($ET129:$EX129,OFFSET(DNN!$Y$9:$AC$9,FB$9,0)) + OFFSET(DNN!$X$9,FB$9,0)</f>
        <v>1.5239793458415756E-2</v>
      </c>
      <c r="FC129" s="97">
        <f ca="1">SUMPRODUCT($ET129:$EX129,OFFSET(DNN!$Y$9:$AC$9,FC$9,0)) + OFFSET(DNN!$X$9,FC$9,0)</f>
        <v>-8.8749521084055777E-4</v>
      </c>
      <c r="FD129" s="97">
        <f ca="1">SUMPRODUCT($ET129:$EX129,OFFSET(DNN!$Y$9:$AC$9,FD$9,0)) + OFFSET(DNN!$X$9,FD$9,0)</f>
        <v>-4.235816470721872E-4</v>
      </c>
      <c r="FE129" s="97">
        <f ca="1">SUMPRODUCT($ET129:$EX129,OFFSET(DNN!$Y$9:$AC$9,FE$9,0)) + OFFSET(DNN!$X$9,FE$9,0)</f>
        <v>-1.574182761064886E-5</v>
      </c>
      <c r="FF129" s="97">
        <f ca="1">SUMPRODUCT($ET129:$EX129,OFFSET(DNN!$Y$9:$AC$9,FF$9,0)) + OFFSET(DNN!$X$9,FF$9,0)</f>
        <v>-1.3491460223194656E-3</v>
      </c>
      <c r="FG129" s="97">
        <f ca="1">SUMPRODUCT($ET129:$EX129,OFFSET(DNN!$Y$9:$AC$9,FG$9,0)) + OFFSET(DNN!$X$9,FG$9,0)</f>
        <v>-6.2604808096248285E-2</v>
      </c>
      <c r="FH129" s="97">
        <f ca="1">SUMPRODUCT($ET129:$EX129,OFFSET(DNN!$Y$9:$AC$9,FH$9,0)) + OFFSET(DNN!$X$9,FH$9,0)</f>
        <v>8.6810016937029894E-4</v>
      </c>
      <c r="FI129" s="108">
        <f ca="1">SUMPRODUCT($ET129:$EX129,OFFSET(DNN!$Y$9:$AC$9,FI$9,0)) + OFFSET(DNN!$X$9,FI$9,0)</f>
        <v>-1.3182687612562751</v>
      </c>
      <c r="FJ129" s="98">
        <f ca="1">SUMPRODUCT($ET129:$EX129,OFFSET(DNN!$Y$9:$AC$9,FJ$9,0)) + OFFSET(DNN!$X$9,FJ$9,0)</f>
        <v>-2.2535161745939301E-5</v>
      </c>
      <c r="FL129" s="415">
        <f t="shared" ca="1" si="224"/>
        <v>0.43031618918982212</v>
      </c>
      <c r="FM129" s="130">
        <f t="shared" ca="1" si="225"/>
        <v>1</v>
      </c>
      <c r="FN129" s="131">
        <f t="shared" ca="1" si="226"/>
        <v>0.65029522127322903</v>
      </c>
      <c r="FO129" s="131">
        <f t="shared" ca="1" si="227"/>
        <v>0.66028983545318687</v>
      </c>
      <c r="FP129" s="131">
        <f t="shared" ca="1" si="228"/>
        <v>0.64972655813153501</v>
      </c>
      <c r="FQ129" s="131">
        <f t="shared" ca="1" si="229"/>
        <v>0.65002804502111444</v>
      </c>
      <c r="FR129" s="131">
        <f t="shared" ca="1" si="230"/>
        <v>0.65029320640965171</v>
      </c>
      <c r="FS129" s="131">
        <f t="shared" ca="1" si="231"/>
        <v>0.64942668056342145</v>
      </c>
      <c r="FT129" s="131">
        <f t="shared" ca="1" si="232"/>
        <v>0.61083952513994022</v>
      </c>
      <c r="FU129" s="132">
        <f t="shared" ca="1" si="233"/>
        <v>0.6508682169276182</v>
      </c>
      <c r="FV129" s="131">
        <f t="shared" ca="1" si="234"/>
        <v>0.17402001625314881</v>
      </c>
      <c r="FW129" s="83">
        <f t="shared" ca="1" si="235"/>
        <v>-2.2535161742124597E-5</v>
      </c>
    </row>
    <row r="130" spans="1:179">
      <c r="A130" s="19">
        <f t="shared" si="240"/>
        <v>120</v>
      </c>
      <c r="B130" s="1">
        <f t="shared" ca="1" si="236"/>
        <v>0</v>
      </c>
      <c r="C130" s="20">
        <f t="shared" ca="1" si="237"/>
        <v>120</v>
      </c>
      <c r="D130" s="19" t="str">
        <f t="shared" ca="1" si="238"/>
        <v>〇×〇×〇×--〇</v>
      </c>
      <c r="E130" s="7">
        <f t="shared" ca="1" si="206"/>
        <v>9</v>
      </c>
      <c r="F130" s="7">
        <f t="shared" ca="1" si="207"/>
        <v>1</v>
      </c>
      <c r="G130" s="1" t="str">
        <f t="shared" ca="1" si="250"/>
        <v>〇×〇×〇×--〇</v>
      </c>
      <c r="H130" s="20" t="b">
        <f t="shared" ca="1" si="251"/>
        <v>1</v>
      </c>
      <c r="I130" s="22">
        <f t="shared" ca="1" si="239"/>
        <v>-1</v>
      </c>
      <c r="J130" s="1" t="b">
        <f ca="1">(1&lt;COUNTIF(D$10:D130,D130))</f>
        <v>1</v>
      </c>
      <c r="K130" s="1" t="b">
        <f t="shared" ca="1" si="252"/>
        <v>1</v>
      </c>
      <c r="L130" s="7">
        <f ca="1">MATCH(TRUE,K130:K$1048576,FALSE)-1</f>
        <v>0</v>
      </c>
      <c r="M130" s="24" t="str">
        <f t="shared" ca="1" si="253"/>
        <v>〇×〇×〇×--〇_9</v>
      </c>
      <c r="N130" s="25">
        <f t="shared" ca="1" si="208"/>
        <v>-2.2535161742124597E-5</v>
      </c>
      <c r="O130" s="26">
        <f t="shared" ca="1" si="209"/>
        <v>-1</v>
      </c>
      <c r="P130" s="27">
        <f t="shared" ca="1" si="210"/>
        <v>-1</v>
      </c>
      <c r="R130" s="41" t="str">
        <f ca="1">VLOOKUP(S130,cvt!$B$2:$C$4,2,FALSE)&amp;VLOOKUP(T130,cvt!$B$2:$C$4,2,FALSE)&amp;VLOOKUP(U130,cvt!$B$2:$C$4,2,FALSE)
&amp;VLOOKUP(V130,cvt!$B$2:$C$4,2,FALSE)&amp;VLOOKUP(W130,cvt!$B$2:$C$4,2,FALSE)&amp;VLOOKUP(X130,cvt!$B$2:$C$4,2,FALSE)
&amp;VLOOKUP(Y130,cvt!$B$2:$C$4,2,FALSE)&amp;VLOOKUP(Z130,cvt!$B$2:$C$4,2,FALSE)&amp;VLOOKUP(AA130,cvt!$B$2:$C$4,2,FALSE)</f>
        <v>〇×〇×〇×--〇</v>
      </c>
      <c r="S130" s="7">
        <f ca="1">VLOOKUP(MID($D130,S$9+1,1), cvt!$A$2:$B$4,2, FALSE)</f>
        <v>1</v>
      </c>
      <c r="T130" s="7">
        <f ca="1">VLOOKUP(MID($D130,T$9+1,1), cvt!$A$2:$B$4,2, FALSE)</f>
        <v>-1</v>
      </c>
      <c r="U130" s="7">
        <f ca="1">VLOOKUP(MID($D130,U$9+1,1), cvt!$A$2:$B$4,2, FALSE)</f>
        <v>1</v>
      </c>
      <c r="V130" s="17">
        <f ca="1">VLOOKUP(MID($D130,V$9+1,1), cvt!$A$2:$B$4,2, FALSE)</f>
        <v>-1</v>
      </c>
      <c r="W130" s="7">
        <f ca="1">VLOOKUP(MID($D130,W$9+1,1), cvt!$A$2:$B$4,2, FALSE)</f>
        <v>1</v>
      </c>
      <c r="X130" s="18">
        <f ca="1">VLOOKUP(MID($D130,X$9+1,1), cvt!$A$2:$B$4,2, FALSE)</f>
        <v>-1</v>
      </c>
      <c r="Y130" s="7">
        <f ca="1">VLOOKUP(MID($D130,Y$9+1,1), cvt!$A$2:$B$4,2, FALSE)</f>
        <v>0</v>
      </c>
      <c r="Z130" s="7">
        <f ca="1">VLOOKUP(MID($D130,Z$9+1,1), cvt!$A$2:$B$4,2, FALSE)</f>
        <v>0</v>
      </c>
      <c r="AA130" s="42">
        <f ca="1">VLOOKUP(MID($D130,AA$9+1,1), cvt!$A$2:$B$4,2, FALSE)</f>
        <v>1</v>
      </c>
      <c r="AB130" s="7">
        <f t="shared" ca="1" si="211"/>
        <v>1</v>
      </c>
      <c r="AC130" s="50" t="b">
        <f t="shared" ca="1" si="212"/>
        <v>1</v>
      </c>
      <c r="AE130" s="19" t="str">
        <f ca="1">VLOOKUP(AF130,cvt!$B$2:$C$4,2,FALSE)&amp;VLOOKUP(AG130,cvt!$B$2:$C$4,2,FALSE)&amp;VLOOKUP(AH130,cvt!$B$2:$C$4,2,FALSE)
&amp;VLOOKUP(AI130,cvt!$B$2:$C$4,2,FALSE)&amp;VLOOKUP(AJ130,cvt!$B$2:$C$4,2,FALSE)&amp;VLOOKUP(AK130,cvt!$B$2:$C$4,2,FALSE)
&amp;VLOOKUP(AL130,cvt!$B$2:$C$4,2,FALSE)&amp;VLOOKUP(AM130,cvt!$B$2:$C$4,2,FALSE)&amp;VLOOKUP(AN130,cvt!$B$2:$C$4,2,FALSE)</f>
        <v>〇×〇×〇×--〇</v>
      </c>
      <c r="AF130" s="17">
        <f t="shared" ca="1" si="254"/>
        <v>1</v>
      </c>
      <c r="AG130" s="7">
        <f t="shared" ca="1" si="255"/>
        <v>-1</v>
      </c>
      <c r="AH130" s="7">
        <f t="shared" ca="1" si="256"/>
        <v>1</v>
      </c>
      <c r="AI130" s="17">
        <f t="shared" ca="1" si="257"/>
        <v>-1</v>
      </c>
      <c r="AJ130" s="7">
        <f t="shared" ca="1" si="258"/>
        <v>1</v>
      </c>
      <c r="AK130" s="18">
        <f t="shared" ca="1" si="259"/>
        <v>-1</v>
      </c>
      <c r="AL130" s="7">
        <f t="shared" ca="1" si="260"/>
        <v>0</v>
      </c>
      <c r="AM130" s="7">
        <f t="shared" ca="1" si="261"/>
        <v>0</v>
      </c>
      <c r="AN130" s="18">
        <f t="shared" ca="1" si="262"/>
        <v>1</v>
      </c>
      <c r="AO130" s="7">
        <f t="shared" ca="1" si="213"/>
        <v>1</v>
      </c>
      <c r="AP130" s="50" t="b">
        <f t="shared" ca="1" si="263"/>
        <v>1</v>
      </c>
      <c r="AS130" s="22">
        <f t="shared" ca="1" si="214"/>
        <v>0</v>
      </c>
      <c r="AT130" s="7">
        <f t="shared" ca="1" si="153"/>
        <v>0</v>
      </c>
      <c r="AU130" s="7">
        <f t="shared" ca="1" si="154"/>
        <v>0</v>
      </c>
      <c r="AV130" s="7">
        <f t="shared" ca="1" si="155"/>
        <v>0</v>
      </c>
      <c r="AW130" s="7">
        <f t="shared" ca="1" si="156"/>
        <v>0</v>
      </c>
      <c r="AX130" s="7">
        <f t="shared" ca="1" si="157"/>
        <v>0</v>
      </c>
      <c r="AY130" s="7">
        <f t="shared" ca="1" si="158"/>
        <v>0</v>
      </c>
      <c r="AZ130" s="7">
        <f t="shared" ca="1" si="159"/>
        <v>0</v>
      </c>
      <c r="BA130" s="18">
        <f t="shared" ca="1" si="160"/>
        <v>0</v>
      </c>
      <c r="BB130" s="295">
        <f t="shared" ca="1" si="215"/>
        <v>1</v>
      </c>
      <c r="BD130" s="132"/>
      <c r="BE130" s="297">
        <f t="shared" ca="1" si="216"/>
        <v>1</v>
      </c>
      <c r="BF130" s="298">
        <f t="shared" ca="1" si="161"/>
        <v>0.65029522127322903</v>
      </c>
      <c r="BG130" s="298">
        <f t="shared" ca="1" si="162"/>
        <v>0.66028983545318687</v>
      </c>
      <c r="BH130" s="318">
        <f t="shared" ca="1" si="163"/>
        <v>0.64972655813153501</v>
      </c>
      <c r="BI130" s="298">
        <f t="shared" ca="1" si="164"/>
        <v>0.65002804502111444</v>
      </c>
      <c r="BJ130" s="299">
        <f t="shared" ca="1" si="165"/>
        <v>0.65029320640965171</v>
      </c>
      <c r="BK130" s="298">
        <f t="shared" ca="1" si="166"/>
        <v>0.64942668056342145</v>
      </c>
      <c r="BL130" s="298">
        <f t="shared" ca="1" si="167"/>
        <v>0.61083952513994022</v>
      </c>
      <c r="BM130" s="299">
        <f t="shared" ca="1" si="168"/>
        <v>0.6508682169276182</v>
      </c>
      <c r="BN130" s="295">
        <f t="shared" ca="1" si="169"/>
        <v>0.17402001625314881</v>
      </c>
      <c r="BO130" s="248">
        <f t="shared" ca="1" si="217"/>
        <v>-2.2535161742124597E-5</v>
      </c>
      <c r="BQ130" s="304">
        <f t="shared" ca="1" si="218"/>
        <v>0.1741200162531488</v>
      </c>
      <c r="BR130" s="297">
        <f t="shared" ca="1" si="219"/>
        <v>0</v>
      </c>
      <c r="BS130" s="298">
        <f t="shared" ca="1" si="170"/>
        <v>0</v>
      </c>
      <c r="BT130" s="298">
        <f t="shared" ca="1" si="171"/>
        <v>0</v>
      </c>
      <c r="BU130" s="318">
        <f t="shared" ca="1" si="172"/>
        <v>0</v>
      </c>
      <c r="BV130" s="298">
        <f t="shared" ca="1" si="173"/>
        <v>0</v>
      </c>
      <c r="BW130" s="299">
        <f t="shared" ca="1" si="174"/>
        <v>0</v>
      </c>
      <c r="BX130" s="298">
        <f t="shared" ca="1" si="175"/>
        <v>0</v>
      </c>
      <c r="BY130" s="298">
        <f t="shared" ca="1" si="176"/>
        <v>0</v>
      </c>
      <c r="BZ130" s="298">
        <f t="shared" ca="1" si="177"/>
        <v>0</v>
      </c>
      <c r="CA130" s="315">
        <f t="shared" ca="1" si="178"/>
        <v>0.1741200162531488</v>
      </c>
      <c r="CC130" s="52"/>
      <c r="CD130" s="306">
        <f t="shared" ca="1" si="220"/>
        <v>0</v>
      </c>
      <c r="CE130" s="15">
        <f t="shared" ca="1" si="179"/>
        <v>0</v>
      </c>
      <c r="CF130" s="15">
        <f t="shared" ca="1" si="180"/>
        <v>0</v>
      </c>
      <c r="CG130" s="286">
        <f t="shared" ca="1" si="181"/>
        <v>0</v>
      </c>
      <c r="CH130" s="15">
        <f t="shared" ca="1" si="182"/>
        <v>0</v>
      </c>
      <c r="CI130" s="288">
        <f t="shared" ca="1" si="183"/>
        <v>0</v>
      </c>
      <c r="CJ130" s="15">
        <f t="shared" ca="1" si="184"/>
        <v>0</v>
      </c>
      <c r="CK130" s="15">
        <f t="shared" ca="1" si="185"/>
        <v>0</v>
      </c>
      <c r="CL130" s="15">
        <f t="shared" ca="1" si="186"/>
        <v>0</v>
      </c>
      <c r="CM130" s="313">
        <f t="shared" ca="1" si="187"/>
        <v>1</v>
      </c>
      <c r="CO130" s="320">
        <f t="shared" ca="1" si="221"/>
        <v>119</v>
      </c>
      <c r="CP130" s="22">
        <f ca="1">COUNTIFS($C$10:$C129,"&lt;"&amp;$C130,$M$10:$M129,$D130&amp;"_"&amp;CP$9)</f>
        <v>0</v>
      </c>
      <c r="CQ130" s="7">
        <f ca="1">COUNTIFS($C$10:$C129,"&lt;"&amp;$C130,$M$10:$M129,$D130&amp;"_"&amp;CQ$9)</f>
        <v>0</v>
      </c>
      <c r="CR130" s="7">
        <f ca="1">COUNTIFS($C$10:$C129,"&lt;"&amp;$C130,$M$10:$M129,$D130&amp;"_"&amp;CR$9)</f>
        <v>0</v>
      </c>
      <c r="CS130" s="17">
        <f ca="1">COUNTIFS($C$10:$C129,"&lt;"&amp;$C130,$M$10:$M129,$D130&amp;"_"&amp;CS$9)</f>
        <v>0</v>
      </c>
      <c r="CT130" s="7">
        <f ca="1">COUNTIFS($C$10:$C129,"&lt;"&amp;$C130,$M$10:$M129,$D130&amp;"_"&amp;CT$9)</f>
        <v>0</v>
      </c>
      <c r="CU130" s="18">
        <f ca="1">COUNTIFS($C$10:$C129,"&lt;"&amp;$C130,$M$10:$M129,$D130&amp;"_"&amp;CU$9)</f>
        <v>0</v>
      </c>
      <c r="CV130" s="7">
        <f ca="1">COUNTIFS($C$10:$C129,"&lt;"&amp;$C130,$M$10:$M129,$D130&amp;"_"&amp;CV$9)</f>
        <v>0</v>
      </c>
      <c r="CW130" s="7">
        <f ca="1">COUNTIFS($C$10:$C129,"&lt;"&amp;$C130,$M$10:$M129,$D130&amp;"_"&amp;CW$9)</f>
        <v>0</v>
      </c>
      <c r="CX130" s="7">
        <f ca="1">COUNTIFS($C$10:$C129,"&lt;"&amp;$C130,$M$10:$M129,$D130&amp;"_"&amp;CX$9)</f>
        <v>0</v>
      </c>
      <c r="CY130" s="221">
        <f ca="1">COUNTIFS($C$10:$C129,"&lt;"&amp;$C130,$M$10:$M129,$D130&amp;"_"&amp;CY$9)</f>
        <v>119</v>
      </c>
      <c r="DA130" s="20"/>
      <c r="DB130" s="308">
        <f ca="1">IF(CP130=0,0,SUMIFS($P$10:$P129, $C$10:$C129,"&lt;"&amp;$C130, $M$10:$M129,$D130&amp;"_"&amp;DB$9)/CP130)</f>
        <v>0</v>
      </c>
      <c r="DC130" s="263">
        <f ca="1">IF(CQ130=0,0,SUMIFS($P$10:$P129, $C$10:$C129,"&lt;"&amp;$C130, $M$10:$M129,$D130&amp;"_"&amp;DC$9)/CQ130)</f>
        <v>0</v>
      </c>
      <c r="DD130" s="263">
        <f ca="1">IF(CR130=0,0,SUMIFS($P$10:$P129, $C$10:$C129,"&lt;"&amp;$C130, $M$10:$M129,$D130&amp;"_"&amp;DD$9)/CR130)</f>
        <v>0</v>
      </c>
      <c r="DE130" s="262">
        <f ca="1">IF(CS130=0,0,SUMIFS($P$10:$P129, $C$10:$C129,"&lt;"&amp;$C130, $M$10:$M129,$D130&amp;"_"&amp;DE$9)/CS130)</f>
        <v>0</v>
      </c>
      <c r="DF130" s="263">
        <f ca="1">IF(CT130=0,0,SUMIFS($P$10:$P129, $C$10:$C129,"&lt;"&amp;$C130, $M$10:$M129,$D130&amp;"_"&amp;DF$9)/CT130)</f>
        <v>0</v>
      </c>
      <c r="DG130" s="310">
        <f ca="1">IF(CU130=0,0,SUMIFS($P$10:$P129, $C$10:$C129,"&lt;"&amp;$C130, $M$10:$M129,$D130&amp;"_"&amp;DG$9)/CU130)</f>
        <v>0</v>
      </c>
      <c r="DH130" s="263">
        <f ca="1">IF(CV130=0,0,SUMIFS($P$10:$P129, $C$10:$C129,"&lt;"&amp;$C130, $M$10:$M129,$D130&amp;"_"&amp;DH$9)/CV130)</f>
        <v>0</v>
      </c>
      <c r="DI130" s="263">
        <f ca="1">IF(CW130=0,0,SUMIFS($P$10:$P129, $C$10:$C129,"&lt;"&amp;$C130, $M$10:$M129,$D130&amp;"_"&amp;DI$9)/CW130)</f>
        <v>0</v>
      </c>
      <c r="DJ130" s="264">
        <f ca="1">IF(CX130=0,0,SUMIFS($P$10:$P129, $C$10:$C129,"&lt;"&amp;$C130, $M$10:$M129,$D130&amp;"_"&amp;DJ$9)/CX130)</f>
        <v>0</v>
      </c>
      <c r="DK130" s="264">
        <f ca="1">IF(CY130=0,0,SUMIFS($P$10:$P129, $C$10:$C129,"&lt;"&amp;$C130, $M$10:$M129,$D130&amp;"_"&amp;DK$9)/CY130)</f>
        <v>-1</v>
      </c>
      <c r="DM130" s="104"/>
      <c r="DN130" s="306">
        <f t="shared" ca="1" si="222"/>
        <v>-9999</v>
      </c>
      <c r="DO130" s="15">
        <f t="shared" ca="1" si="188"/>
        <v>-9999</v>
      </c>
      <c r="DP130" s="15">
        <f t="shared" ca="1" si="189"/>
        <v>-9999</v>
      </c>
      <c r="DQ130" s="15">
        <f t="shared" ca="1" si="190"/>
        <v>-9999</v>
      </c>
      <c r="DR130" s="15">
        <f t="shared" ca="1" si="191"/>
        <v>-9999</v>
      </c>
      <c r="DS130" s="15">
        <f t="shared" ca="1" si="192"/>
        <v>-9999</v>
      </c>
      <c r="DT130" s="15">
        <f t="shared" ca="1" si="193"/>
        <v>-9999</v>
      </c>
      <c r="DU130" s="15">
        <f t="shared" ca="1" si="194"/>
        <v>-9999</v>
      </c>
      <c r="DV130" s="52">
        <f t="shared" ca="1" si="195"/>
        <v>-9999</v>
      </c>
      <c r="DW130" s="313">
        <f t="shared" ca="1" si="196"/>
        <v>-0.90909406571136908</v>
      </c>
      <c r="DX130" s="52"/>
      <c r="DY130" s="402">
        <f t="shared" ca="1" si="223"/>
        <v>9</v>
      </c>
      <c r="ED130" s="19">
        <f t="shared" ca="1" si="241"/>
        <v>-1</v>
      </c>
      <c r="EE130" s="1">
        <f t="shared" ca="1" si="242"/>
        <v>1</v>
      </c>
      <c r="EF130" s="1">
        <f t="shared" ca="1" si="243"/>
        <v>-1</v>
      </c>
      <c r="EG130" s="2">
        <f t="shared" ca="1" si="244"/>
        <v>1</v>
      </c>
      <c r="EH130" s="1">
        <f t="shared" ca="1" si="245"/>
        <v>-1</v>
      </c>
      <c r="EI130" s="3">
        <f t="shared" ca="1" si="246"/>
        <v>1</v>
      </c>
      <c r="EJ130" s="1">
        <f t="shared" ca="1" si="247"/>
        <v>0</v>
      </c>
      <c r="EK130" s="1">
        <f t="shared" ca="1" si="248"/>
        <v>0</v>
      </c>
      <c r="EL130" s="20">
        <f t="shared" ca="1" si="249"/>
        <v>-1</v>
      </c>
      <c r="EN130" s="86">
        <f ca="1">MAX(0, SUMPRODUCT($ED130:$EL130,OFFSET(DNN!$E$9:$M$9,EN$9,0)) + OFFSET(DNN!$D$9,EN$9,0))</f>
        <v>0</v>
      </c>
      <c r="EO130" s="84">
        <f ca="1">MAX(0, SUMPRODUCT($ED130:$EL130,OFFSET(DNN!$E$9:$M$9,EO$9,0)) + OFFSET(DNN!$D$9,EO$9,0))</f>
        <v>7.2346022384755949E-3</v>
      </c>
      <c r="EP130" s="84">
        <f ca="1">MAX(0, SUMPRODUCT($ED130:$EL130,OFFSET(DNN!$E$9:$M$9,EP$9,0)) + OFFSET(DNN!$D$9,EP$9,0))</f>
        <v>3.6951849750035152E-3</v>
      </c>
      <c r="EQ130" s="84">
        <f ca="1">MAX(0, SUMPRODUCT($ED130:$EL130,OFFSET(DNN!$E$9:$M$9,EQ$9,0)) + OFFSET(DNN!$D$9,EQ$9,0))</f>
        <v>0</v>
      </c>
      <c r="ER130" s="85">
        <f ca="1">MAX(0, SUMPRODUCT($ED130:$EL130,OFFSET(DNN!$E$9:$M$9,ER$9,0)) + OFFSET(DNN!$D$9,ER$9,0))</f>
        <v>0</v>
      </c>
      <c r="ET130" s="86">
        <f ca="1">MAX(0, SUMPRODUCT($EN130:$ER130,OFFSET(DNN!$Q$9:$U$9,ET$9,0)) + OFFSET(DNN!$P$9,ET$9,0))</f>
        <v>4.3954959453478351E-4</v>
      </c>
      <c r="EU130" s="84">
        <f ca="1">MAX(0, SUMPRODUCT($EN130:$ER130,OFFSET(DNN!$Q$9:$U$9,EU$9,0)) + OFFSET(DNN!$P$9,EU$9,0))</f>
        <v>0</v>
      </c>
      <c r="EV130" s="84">
        <f ca="1">MAX(0, SUMPRODUCT($EN130:$ER130,OFFSET(DNN!$Q$9:$U$9,EV$9,0)) + OFFSET(DNN!$P$9,EV$9,0))</f>
        <v>1.2810123361902579E-3</v>
      </c>
      <c r="EW130" s="84">
        <f ca="1">MAX(0, SUMPRODUCT($EN130:$ER130,OFFSET(DNN!$Q$9:$U$9,EW$9,0)) + OFFSET(DNN!$P$9,EW$9,0))</f>
        <v>7.8382123007882457E-4</v>
      </c>
      <c r="EX130" s="85">
        <f ca="1">MAX(0, SUMPRODUCT($EN130:$ER130,OFFSET(DNN!$Q$9:$U$9,EX$9,0)) + OFFSET(DNN!$P$9,EX$9,0))</f>
        <v>0</v>
      </c>
      <c r="EZ130" s="111">
        <f ca="1">SUMPRODUCT($ET130:$EX130,OFFSET(DNN!$Y$9:$AC$9,EZ$9,0)) + OFFSET(DNN!$X$9,EZ$9,0)</f>
        <v>0.43031618918982212</v>
      </c>
      <c r="FA130" s="97">
        <f ca="1">SUMPRODUCT($ET130:$EX130,OFFSET(DNN!$Y$9:$AC$9,FA$9,0)) + OFFSET(DNN!$X$9,FA$9,0)</f>
        <v>-1.2643439935754107E-5</v>
      </c>
      <c r="FB130" s="97">
        <f ca="1">SUMPRODUCT($ET130:$EX130,OFFSET(DNN!$Y$9:$AC$9,FB$9,0)) + OFFSET(DNN!$X$9,FB$9,0)</f>
        <v>1.5239793458415756E-2</v>
      </c>
      <c r="FC130" s="97">
        <f ca="1">SUMPRODUCT($ET130:$EX130,OFFSET(DNN!$Y$9:$AC$9,FC$9,0)) + OFFSET(DNN!$X$9,FC$9,0)</f>
        <v>-8.8749521084055777E-4</v>
      </c>
      <c r="FD130" s="97">
        <f ca="1">SUMPRODUCT($ET130:$EX130,OFFSET(DNN!$Y$9:$AC$9,FD$9,0)) + OFFSET(DNN!$X$9,FD$9,0)</f>
        <v>-4.235816470721872E-4</v>
      </c>
      <c r="FE130" s="97">
        <f ca="1">SUMPRODUCT($ET130:$EX130,OFFSET(DNN!$Y$9:$AC$9,FE$9,0)) + OFFSET(DNN!$X$9,FE$9,0)</f>
        <v>-1.574182761064886E-5</v>
      </c>
      <c r="FF130" s="97">
        <f ca="1">SUMPRODUCT($ET130:$EX130,OFFSET(DNN!$Y$9:$AC$9,FF$9,0)) + OFFSET(DNN!$X$9,FF$9,0)</f>
        <v>-1.3491460223194656E-3</v>
      </c>
      <c r="FG130" s="97">
        <f ca="1">SUMPRODUCT($ET130:$EX130,OFFSET(DNN!$Y$9:$AC$9,FG$9,0)) + OFFSET(DNN!$X$9,FG$9,0)</f>
        <v>-6.2604808096248285E-2</v>
      </c>
      <c r="FH130" s="97">
        <f ca="1">SUMPRODUCT($ET130:$EX130,OFFSET(DNN!$Y$9:$AC$9,FH$9,0)) + OFFSET(DNN!$X$9,FH$9,0)</f>
        <v>8.6810016937029894E-4</v>
      </c>
      <c r="FI130" s="108">
        <f ca="1">SUMPRODUCT($ET130:$EX130,OFFSET(DNN!$Y$9:$AC$9,FI$9,0)) + OFFSET(DNN!$X$9,FI$9,0)</f>
        <v>-1.3182687612562751</v>
      </c>
      <c r="FJ130" s="98">
        <f ca="1">SUMPRODUCT($ET130:$EX130,OFFSET(DNN!$Y$9:$AC$9,FJ$9,0)) + OFFSET(DNN!$X$9,FJ$9,0)</f>
        <v>-2.2535161745939301E-5</v>
      </c>
      <c r="FL130" s="415">
        <f t="shared" ca="1" si="224"/>
        <v>0.43031618918982212</v>
      </c>
      <c r="FM130" s="130">
        <f t="shared" ca="1" si="225"/>
        <v>1</v>
      </c>
      <c r="FN130" s="131">
        <f t="shared" ca="1" si="226"/>
        <v>0.65029522127322903</v>
      </c>
      <c r="FO130" s="131">
        <f t="shared" ca="1" si="227"/>
        <v>0.66028983545318687</v>
      </c>
      <c r="FP130" s="131">
        <f t="shared" ca="1" si="228"/>
        <v>0.64972655813153501</v>
      </c>
      <c r="FQ130" s="131">
        <f t="shared" ca="1" si="229"/>
        <v>0.65002804502111444</v>
      </c>
      <c r="FR130" s="131">
        <f t="shared" ca="1" si="230"/>
        <v>0.65029320640965171</v>
      </c>
      <c r="FS130" s="131">
        <f t="shared" ca="1" si="231"/>
        <v>0.64942668056342145</v>
      </c>
      <c r="FT130" s="131">
        <f t="shared" ca="1" si="232"/>
        <v>0.61083952513994022</v>
      </c>
      <c r="FU130" s="132">
        <f t="shared" ca="1" si="233"/>
        <v>0.6508682169276182</v>
      </c>
      <c r="FV130" s="131">
        <f t="shared" ca="1" si="234"/>
        <v>0.17402001625314881</v>
      </c>
      <c r="FW130" s="83">
        <f t="shared" ca="1" si="235"/>
        <v>-2.2535161742124597E-5</v>
      </c>
    </row>
    <row r="131" spans="1:179">
      <c r="A131" s="19">
        <f t="shared" si="240"/>
        <v>121</v>
      </c>
      <c r="B131" s="1">
        <f t="shared" ca="1" si="236"/>
        <v>0</v>
      </c>
      <c r="C131" s="20">
        <f t="shared" ca="1" si="237"/>
        <v>121</v>
      </c>
      <c r="D131" s="19" t="str">
        <f t="shared" ca="1" si="238"/>
        <v>〇×〇×〇×--〇</v>
      </c>
      <c r="E131" s="7">
        <f t="shared" ca="1" si="206"/>
        <v>9</v>
      </c>
      <c r="F131" s="7">
        <f t="shared" ca="1" si="207"/>
        <v>1</v>
      </c>
      <c r="G131" s="1" t="str">
        <f t="shared" ca="1" si="250"/>
        <v>〇×〇×〇×--〇</v>
      </c>
      <c r="H131" s="20" t="b">
        <f t="shared" ca="1" si="251"/>
        <v>1</v>
      </c>
      <c r="I131" s="22">
        <f t="shared" ca="1" si="239"/>
        <v>-1</v>
      </c>
      <c r="J131" s="1" t="b">
        <f ca="1">(1&lt;COUNTIF(D$10:D131,D131))</f>
        <v>1</v>
      </c>
      <c r="K131" s="1" t="b">
        <f t="shared" ca="1" si="252"/>
        <v>1</v>
      </c>
      <c r="L131" s="7">
        <f ca="1">MATCH(TRUE,K131:K$1048576,FALSE)-1</f>
        <v>0</v>
      </c>
      <c r="M131" s="24" t="str">
        <f t="shared" ca="1" si="253"/>
        <v>〇×〇×〇×--〇_9</v>
      </c>
      <c r="N131" s="25">
        <f t="shared" ca="1" si="208"/>
        <v>-2.2535161742124597E-5</v>
      </c>
      <c r="O131" s="26">
        <f t="shared" ca="1" si="209"/>
        <v>-1</v>
      </c>
      <c r="P131" s="27">
        <f t="shared" ca="1" si="210"/>
        <v>-1</v>
      </c>
      <c r="R131" s="41" t="str">
        <f ca="1">VLOOKUP(S131,cvt!$B$2:$C$4,2,FALSE)&amp;VLOOKUP(T131,cvt!$B$2:$C$4,2,FALSE)&amp;VLOOKUP(U131,cvt!$B$2:$C$4,2,FALSE)
&amp;VLOOKUP(V131,cvt!$B$2:$C$4,2,FALSE)&amp;VLOOKUP(W131,cvt!$B$2:$C$4,2,FALSE)&amp;VLOOKUP(X131,cvt!$B$2:$C$4,2,FALSE)
&amp;VLOOKUP(Y131,cvt!$B$2:$C$4,2,FALSE)&amp;VLOOKUP(Z131,cvt!$B$2:$C$4,2,FALSE)&amp;VLOOKUP(AA131,cvt!$B$2:$C$4,2,FALSE)</f>
        <v>〇×〇×〇×--〇</v>
      </c>
      <c r="S131" s="7">
        <f ca="1">VLOOKUP(MID($D131,S$9+1,1), cvt!$A$2:$B$4,2, FALSE)</f>
        <v>1</v>
      </c>
      <c r="T131" s="7">
        <f ca="1">VLOOKUP(MID($D131,T$9+1,1), cvt!$A$2:$B$4,2, FALSE)</f>
        <v>-1</v>
      </c>
      <c r="U131" s="7">
        <f ca="1">VLOOKUP(MID($D131,U$9+1,1), cvt!$A$2:$B$4,2, FALSE)</f>
        <v>1</v>
      </c>
      <c r="V131" s="17">
        <f ca="1">VLOOKUP(MID($D131,V$9+1,1), cvt!$A$2:$B$4,2, FALSE)</f>
        <v>-1</v>
      </c>
      <c r="W131" s="7">
        <f ca="1">VLOOKUP(MID($D131,W$9+1,1), cvt!$A$2:$B$4,2, FALSE)</f>
        <v>1</v>
      </c>
      <c r="X131" s="18">
        <f ca="1">VLOOKUP(MID($D131,X$9+1,1), cvt!$A$2:$B$4,2, FALSE)</f>
        <v>-1</v>
      </c>
      <c r="Y131" s="7">
        <f ca="1">VLOOKUP(MID($D131,Y$9+1,1), cvt!$A$2:$B$4,2, FALSE)</f>
        <v>0</v>
      </c>
      <c r="Z131" s="7">
        <f ca="1">VLOOKUP(MID($D131,Z$9+1,1), cvt!$A$2:$B$4,2, FALSE)</f>
        <v>0</v>
      </c>
      <c r="AA131" s="42">
        <f ca="1">VLOOKUP(MID($D131,AA$9+1,1), cvt!$A$2:$B$4,2, FALSE)</f>
        <v>1</v>
      </c>
      <c r="AB131" s="7">
        <f t="shared" ca="1" si="211"/>
        <v>1</v>
      </c>
      <c r="AC131" s="50" t="b">
        <f t="shared" ca="1" si="212"/>
        <v>1</v>
      </c>
      <c r="AE131" s="19" t="str">
        <f ca="1">VLOOKUP(AF131,cvt!$B$2:$C$4,2,FALSE)&amp;VLOOKUP(AG131,cvt!$B$2:$C$4,2,FALSE)&amp;VLOOKUP(AH131,cvt!$B$2:$C$4,2,FALSE)
&amp;VLOOKUP(AI131,cvt!$B$2:$C$4,2,FALSE)&amp;VLOOKUP(AJ131,cvt!$B$2:$C$4,2,FALSE)&amp;VLOOKUP(AK131,cvt!$B$2:$C$4,2,FALSE)
&amp;VLOOKUP(AL131,cvt!$B$2:$C$4,2,FALSE)&amp;VLOOKUP(AM131,cvt!$B$2:$C$4,2,FALSE)&amp;VLOOKUP(AN131,cvt!$B$2:$C$4,2,FALSE)</f>
        <v>〇×〇×〇×--〇</v>
      </c>
      <c r="AF131" s="17">
        <f t="shared" ca="1" si="254"/>
        <v>1</v>
      </c>
      <c r="AG131" s="7">
        <f t="shared" ca="1" si="255"/>
        <v>-1</v>
      </c>
      <c r="AH131" s="7">
        <f t="shared" ca="1" si="256"/>
        <v>1</v>
      </c>
      <c r="AI131" s="17">
        <f t="shared" ca="1" si="257"/>
        <v>-1</v>
      </c>
      <c r="AJ131" s="7">
        <f t="shared" ca="1" si="258"/>
        <v>1</v>
      </c>
      <c r="AK131" s="18">
        <f t="shared" ca="1" si="259"/>
        <v>-1</v>
      </c>
      <c r="AL131" s="7">
        <f t="shared" ca="1" si="260"/>
        <v>0</v>
      </c>
      <c r="AM131" s="7">
        <f t="shared" ca="1" si="261"/>
        <v>0</v>
      </c>
      <c r="AN131" s="18">
        <f t="shared" ca="1" si="262"/>
        <v>1</v>
      </c>
      <c r="AO131" s="7">
        <f t="shared" ca="1" si="213"/>
        <v>1</v>
      </c>
      <c r="AP131" s="50" t="b">
        <f t="shared" ca="1" si="263"/>
        <v>1</v>
      </c>
      <c r="AS131" s="22">
        <f t="shared" ca="1" si="214"/>
        <v>0</v>
      </c>
      <c r="AT131" s="7">
        <f t="shared" ca="1" si="153"/>
        <v>0</v>
      </c>
      <c r="AU131" s="7">
        <f t="shared" ca="1" si="154"/>
        <v>0</v>
      </c>
      <c r="AV131" s="7">
        <f t="shared" ca="1" si="155"/>
        <v>0</v>
      </c>
      <c r="AW131" s="7">
        <f t="shared" ca="1" si="156"/>
        <v>0</v>
      </c>
      <c r="AX131" s="7">
        <f t="shared" ca="1" si="157"/>
        <v>0</v>
      </c>
      <c r="AY131" s="7">
        <f t="shared" ca="1" si="158"/>
        <v>0</v>
      </c>
      <c r="AZ131" s="7">
        <f t="shared" ca="1" si="159"/>
        <v>0</v>
      </c>
      <c r="BA131" s="18">
        <f t="shared" ca="1" si="160"/>
        <v>0</v>
      </c>
      <c r="BB131" s="295">
        <f t="shared" ca="1" si="215"/>
        <v>1</v>
      </c>
      <c r="BD131" s="132"/>
      <c r="BE131" s="297">
        <f t="shared" ca="1" si="216"/>
        <v>1</v>
      </c>
      <c r="BF131" s="298">
        <f t="shared" ca="1" si="161"/>
        <v>0.65029522127322903</v>
      </c>
      <c r="BG131" s="298">
        <f t="shared" ca="1" si="162"/>
        <v>0.66028983545318687</v>
      </c>
      <c r="BH131" s="318">
        <f t="shared" ca="1" si="163"/>
        <v>0.64972655813153501</v>
      </c>
      <c r="BI131" s="298">
        <f t="shared" ca="1" si="164"/>
        <v>0.65002804502111444</v>
      </c>
      <c r="BJ131" s="299">
        <f t="shared" ca="1" si="165"/>
        <v>0.65029320640965171</v>
      </c>
      <c r="BK131" s="298">
        <f t="shared" ca="1" si="166"/>
        <v>0.64942668056342145</v>
      </c>
      <c r="BL131" s="298">
        <f t="shared" ca="1" si="167"/>
        <v>0.61083952513994022</v>
      </c>
      <c r="BM131" s="299">
        <f t="shared" ca="1" si="168"/>
        <v>0.6508682169276182</v>
      </c>
      <c r="BN131" s="295">
        <f t="shared" ca="1" si="169"/>
        <v>0.17402001625314881</v>
      </c>
      <c r="BO131" s="248">
        <f t="shared" ca="1" si="217"/>
        <v>-2.2535161742124597E-5</v>
      </c>
      <c r="BQ131" s="304">
        <f t="shared" ca="1" si="218"/>
        <v>0.1741200162531488</v>
      </c>
      <c r="BR131" s="297">
        <f t="shared" ca="1" si="219"/>
        <v>0</v>
      </c>
      <c r="BS131" s="298">
        <f t="shared" ca="1" si="170"/>
        <v>0</v>
      </c>
      <c r="BT131" s="298">
        <f t="shared" ca="1" si="171"/>
        <v>0</v>
      </c>
      <c r="BU131" s="318">
        <f t="shared" ca="1" si="172"/>
        <v>0</v>
      </c>
      <c r="BV131" s="298">
        <f t="shared" ca="1" si="173"/>
        <v>0</v>
      </c>
      <c r="BW131" s="299">
        <f t="shared" ca="1" si="174"/>
        <v>0</v>
      </c>
      <c r="BX131" s="298">
        <f t="shared" ca="1" si="175"/>
        <v>0</v>
      </c>
      <c r="BY131" s="298">
        <f t="shared" ca="1" si="176"/>
        <v>0</v>
      </c>
      <c r="BZ131" s="298">
        <f t="shared" ca="1" si="177"/>
        <v>0</v>
      </c>
      <c r="CA131" s="315">
        <f t="shared" ca="1" si="178"/>
        <v>0.1741200162531488</v>
      </c>
      <c r="CC131" s="52"/>
      <c r="CD131" s="306">
        <f t="shared" ca="1" si="220"/>
        <v>0</v>
      </c>
      <c r="CE131" s="15">
        <f t="shared" ca="1" si="179"/>
        <v>0</v>
      </c>
      <c r="CF131" s="15">
        <f t="shared" ca="1" si="180"/>
        <v>0</v>
      </c>
      <c r="CG131" s="286">
        <f t="shared" ca="1" si="181"/>
        <v>0</v>
      </c>
      <c r="CH131" s="15">
        <f t="shared" ca="1" si="182"/>
        <v>0</v>
      </c>
      <c r="CI131" s="288">
        <f t="shared" ca="1" si="183"/>
        <v>0</v>
      </c>
      <c r="CJ131" s="15">
        <f t="shared" ca="1" si="184"/>
        <v>0</v>
      </c>
      <c r="CK131" s="15">
        <f t="shared" ca="1" si="185"/>
        <v>0</v>
      </c>
      <c r="CL131" s="15">
        <f t="shared" ca="1" si="186"/>
        <v>0</v>
      </c>
      <c r="CM131" s="313">
        <f t="shared" ca="1" si="187"/>
        <v>1</v>
      </c>
      <c r="CO131" s="320">
        <f t="shared" ca="1" si="221"/>
        <v>120</v>
      </c>
      <c r="CP131" s="22">
        <f ca="1">COUNTIFS($C$10:$C130,"&lt;"&amp;$C131,$M$10:$M130,$D131&amp;"_"&amp;CP$9)</f>
        <v>0</v>
      </c>
      <c r="CQ131" s="7">
        <f ca="1">COUNTIFS($C$10:$C130,"&lt;"&amp;$C131,$M$10:$M130,$D131&amp;"_"&amp;CQ$9)</f>
        <v>0</v>
      </c>
      <c r="CR131" s="7">
        <f ca="1">COUNTIFS($C$10:$C130,"&lt;"&amp;$C131,$M$10:$M130,$D131&amp;"_"&amp;CR$9)</f>
        <v>0</v>
      </c>
      <c r="CS131" s="17">
        <f ca="1">COUNTIFS($C$10:$C130,"&lt;"&amp;$C131,$M$10:$M130,$D131&amp;"_"&amp;CS$9)</f>
        <v>0</v>
      </c>
      <c r="CT131" s="7">
        <f ca="1">COUNTIFS($C$10:$C130,"&lt;"&amp;$C131,$M$10:$M130,$D131&amp;"_"&amp;CT$9)</f>
        <v>0</v>
      </c>
      <c r="CU131" s="18">
        <f ca="1">COUNTIFS($C$10:$C130,"&lt;"&amp;$C131,$M$10:$M130,$D131&amp;"_"&amp;CU$9)</f>
        <v>0</v>
      </c>
      <c r="CV131" s="7">
        <f ca="1">COUNTIFS($C$10:$C130,"&lt;"&amp;$C131,$M$10:$M130,$D131&amp;"_"&amp;CV$9)</f>
        <v>0</v>
      </c>
      <c r="CW131" s="7">
        <f ca="1">COUNTIFS($C$10:$C130,"&lt;"&amp;$C131,$M$10:$M130,$D131&amp;"_"&amp;CW$9)</f>
        <v>0</v>
      </c>
      <c r="CX131" s="7">
        <f ca="1">COUNTIFS($C$10:$C130,"&lt;"&amp;$C131,$M$10:$M130,$D131&amp;"_"&amp;CX$9)</f>
        <v>0</v>
      </c>
      <c r="CY131" s="221">
        <f ca="1">COUNTIFS($C$10:$C130,"&lt;"&amp;$C131,$M$10:$M130,$D131&amp;"_"&amp;CY$9)</f>
        <v>120</v>
      </c>
      <c r="DA131" s="20"/>
      <c r="DB131" s="308">
        <f ca="1">IF(CP131=0,0,SUMIFS($P$10:$P130, $C$10:$C130,"&lt;"&amp;$C131, $M$10:$M130,$D131&amp;"_"&amp;DB$9)/CP131)</f>
        <v>0</v>
      </c>
      <c r="DC131" s="263">
        <f ca="1">IF(CQ131=0,0,SUMIFS($P$10:$P130, $C$10:$C130,"&lt;"&amp;$C131, $M$10:$M130,$D131&amp;"_"&amp;DC$9)/CQ131)</f>
        <v>0</v>
      </c>
      <c r="DD131" s="263">
        <f ca="1">IF(CR131=0,0,SUMIFS($P$10:$P130, $C$10:$C130,"&lt;"&amp;$C131, $M$10:$M130,$D131&amp;"_"&amp;DD$9)/CR131)</f>
        <v>0</v>
      </c>
      <c r="DE131" s="262">
        <f ca="1">IF(CS131=0,0,SUMIFS($P$10:$P130, $C$10:$C130,"&lt;"&amp;$C131, $M$10:$M130,$D131&amp;"_"&amp;DE$9)/CS131)</f>
        <v>0</v>
      </c>
      <c r="DF131" s="263">
        <f ca="1">IF(CT131=0,0,SUMIFS($P$10:$P130, $C$10:$C130,"&lt;"&amp;$C131, $M$10:$M130,$D131&amp;"_"&amp;DF$9)/CT131)</f>
        <v>0</v>
      </c>
      <c r="DG131" s="310">
        <f ca="1">IF(CU131=0,0,SUMIFS($P$10:$P130, $C$10:$C130,"&lt;"&amp;$C131, $M$10:$M130,$D131&amp;"_"&amp;DG$9)/CU131)</f>
        <v>0</v>
      </c>
      <c r="DH131" s="263">
        <f ca="1">IF(CV131=0,0,SUMIFS($P$10:$P130, $C$10:$C130,"&lt;"&amp;$C131, $M$10:$M130,$D131&amp;"_"&amp;DH$9)/CV131)</f>
        <v>0</v>
      </c>
      <c r="DI131" s="263">
        <f ca="1">IF(CW131=0,0,SUMIFS($P$10:$P130, $C$10:$C130,"&lt;"&amp;$C131, $M$10:$M130,$D131&amp;"_"&amp;DI$9)/CW131)</f>
        <v>0</v>
      </c>
      <c r="DJ131" s="264">
        <f ca="1">IF(CX131=0,0,SUMIFS($P$10:$P130, $C$10:$C130,"&lt;"&amp;$C131, $M$10:$M130,$D131&amp;"_"&amp;DJ$9)/CX131)</f>
        <v>0</v>
      </c>
      <c r="DK131" s="264">
        <f ca="1">IF(CY131=0,0,SUMIFS($P$10:$P130, $C$10:$C130,"&lt;"&amp;$C131, $M$10:$M130,$D131&amp;"_"&amp;DK$9)/CY131)</f>
        <v>-1</v>
      </c>
      <c r="DM131" s="104"/>
      <c r="DN131" s="306">
        <f t="shared" ca="1" si="222"/>
        <v>-9999</v>
      </c>
      <c r="DO131" s="15">
        <f t="shared" ca="1" si="188"/>
        <v>-9999</v>
      </c>
      <c r="DP131" s="15">
        <f t="shared" ca="1" si="189"/>
        <v>-9999</v>
      </c>
      <c r="DQ131" s="15">
        <f t="shared" ca="1" si="190"/>
        <v>-9999</v>
      </c>
      <c r="DR131" s="15">
        <f t="shared" ca="1" si="191"/>
        <v>-9999</v>
      </c>
      <c r="DS131" s="15">
        <f t="shared" ca="1" si="192"/>
        <v>-9999</v>
      </c>
      <c r="DT131" s="15">
        <f t="shared" ca="1" si="193"/>
        <v>-9999</v>
      </c>
      <c r="DU131" s="15">
        <f t="shared" ca="1" si="194"/>
        <v>-9999</v>
      </c>
      <c r="DV131" s="52">
        <f t="shared" ca="1" si="195"/>
        <v>-9999</v>
      </c>
      <c r="DW131" s="313">
        <f t="shared" ca="1" si="196"/>
        <v>-0.90946734586691469</v>
      </c>
      <c r="DX131" s="52"/>
      <c r="DY131" s="402">
        <f t="shared" ca="1" si="223"/>
        <v>9</v>
      </c>
      <c r="ED131" s="19">
        <f t="shared" ca="1" si="241"/>
        <v>-1</v>
      </c>
      <c r="EE131" s="1">
        <f t="shared" ca="1" si="242"/>
        <v>1</v>
      </c>
      <c r="EF131" s="1">
        <f t="shared" ca="1" si="243"/>
        <v>-1</v>
      </c>
      <c r="EG131" s="2">
        <f t="shared" ca="1" si="244"/>
        <v>1</v>
      </c>
      <c r="EH131" s="1">
        <f t="shared" ca="1" si="245"/>
        <v>-1</v>
      </c>
      <c r="EI131" s="3">
        <f t="shared" ca="1" si="246"/>
        <v>1</v>
      </c>
      <c r="EJ131" s="1">
        <f t="shared" ca="1" si="247"/>
        <v>0</v>
      </c>
      <c r="EK131" s="1">
        <f t="shared" ca="1" si="248"/>
        <v>0</v>
      </c>
      <c r="EL131" s="20">
        <f t="shared" ca="1" si="249"/>
        <v>-1</v>
      </c>
      <c r="EN131" s="86">
        <f ca="1">MAX(0, SUMPRODUCT($ED131:$EL131,OFFSET(DNN!$E$9:$M$9,EN$9,0)) + OFFSET(DNN!$D$9,EN$9,0))</f>
        <v>0</v>
      </c>
      <c r="EO131" s="84">
        <f ca="1">MAX(0, SUMPRODUCT($ED131:$EL131,OFFSET(DNN!$E$9:$M$9,EO$9,0)) + OFFSET(DNN!$D$9,EO$9,0))</f>
        <v>7.2346022384755949E-3</v>
      </c>
      <c r="EP131" s="84">
        <f ca="1">MAX(0, SUMPRODUCT($ED131:$EL131,OFFSET(DNN!$E$9:$M$9,EP$9,0)) + OFFSET(DNN!$D$9,EP$9,0))</f>
        <v>3.6951849750035152E-3</v>
      </c>
      <c r="EQ131" s="84">
        <f ca="1">MAX(0, SUMPRODUCT($ED131:$EL131,OFFSET(DNN!$E$9:$M$9,EQ$9,0)) + OFFSET(DNN!$D$9,EQ$9,0))</f>
        <v>0</v>
      </c>
      <c r="ER131" s="85">
        <f ca="1">MAX(0, SUMPRODUCT($ED131:$EL131,OFFSET(DNN!$E$9:$M$9,ER$9,0)) + OFFSET(DNN!$D$9,ER$9,0))</f>
        <v>0</v>
      </c>
      <c r="ET131" s="86">
        <f ca="1">MAX(0, SUMPRODUCT($EN131:$ER131,OFFSET(DNN!$Q$9:$U$9,ET$9,0)) + OFFSET(DNN!$P$9,ET$9,0))</f>
        <v>4.3954959453478351E-4</v>
      </c>
      <c r="EU131" s="84">
        <f ca="1">MAX(0, SUMPRODUCT($EN131:$ER131,OFFSET(DNN!$Q$9:$U$9,EU$9,0)) + OFFSET(DNN!$P$9,EU$9,0))</f>
        <v>0</v>
      </c>
      <c r="EV131" s="84">
        <f ca="1">MAX(0, SUMPRODUCT($EN131:$ER131,OFFSET(DNN!$Q$9:$U$9,EV$9,0)) + OFFSET(DNN!$P$9,EV$9,0))</f>
        <v>1.2810123361902579E-3</v>
      </c>
      <c r="EW131" s="84">
        <f ca="1">MAX(0, SUMPRODUCT($EN131:$ER131,OFFSET(DNN!$Q$9:$U$9,EW$9,0)) + OFFSET(DNN!$P$9,EW$9,0))</f>
        <v>7.8382123007882457E-4</v>
      </c>
      <c r="EX131" s="85">
        <f ca="1">MAX(0, SUMPRODUCT($EN131:$ER131,OFFSET(DNN!$Q$9:$U$9,EX$9,0)) + OFFSET(DNN!$P$9,EX$9,0))</f>
        <v>0</v>
      </c>
      <c r="EZ131" s="111">
        <f ca="1">SUMPRODUCT($ET131:$EX131,OFFSET(DNN!$Y$9:$AC$9,EZ$9,0)) + OFFSET(DNN!$X$9,EZ$9,0)</f>
        <v>0.43031618918982212</v>
      </c>
      <c r="FA131" s="97">
        <f ca="1">SUMPRODUCT($ET131:$EX131,OFFSET(DNN!$Y$9:$AC$9,FA$9,0)) + OFFSET(DNN!$X$9,FA$9,0)</f>
        <v>-1.2643439935754107E-5</v>
      </c>
      <c r="FB131" s="97">
        <f ca="1">SUMPRODUCT($ET131:$EX131,OFFSET(DNN!$Y$9:$AC$9,FB$9,0)) + OFFSET(DNN!$X$9,FB$9,0)</f>
        <v>1.5239793458415756E-2</v>
      </c>
      <c r="FC131" s="97">
        <f ca="1">SUMPRODUCT($ET131:$EX131,OFFSET(DNN!$Y$9:$AC$9,FC$9,0)) + OFFSET(DNN!$X$9,FC$9,0)</f>
        <v>-8.8749521084055777E-4</v>
      </c>
      <c r="FD131" s="97">
        <f ca="1">SUMPRODUCT($ET131:$EX131,OFFSET(DNN!$Y$9:$AC$9,FD$9,0)) + OFFSET(DNN!$X$9,FD$9,0)</f>
        <v>-4.235816470721872E-4</v>
      </c>
      <c r="FE131" s="97">
        <f ca="1">SUMPRODUCT($ET131:$EX131,OFFSET(DNN!$Y$9:$AC$9,FE$9,0)) + OFFSET(DNN!$X$9,FE$9,0)</f>
        <v>-1.574182761064886E-5</v>
      </c>
      <c r="FF131" s="97">
        <f ca="1">SUMPRODUCT($ET131:$EX131,OFFSET(DNN!$Y$9:$AC$9,FF$9,0)) + OFFSET(DNN!$X$9,FF$9,0)</f>
        <v>-1.3491460223194656E-3</v>
      </c>
      <c r="FG131" s="97">
        <f ca="1">SUMPRODUCT($ET131:$EX131,OFFSET(DNN!$Y$9:$AC$9,FG$9,0)) + OFFSET(DNN!$X$9,FG$9,0)</f>
        <v>-6.2604808096248285E-2</v>
      </c>
      <c r="FH131" s="97">
        <f ca="1">SUMPRODUCT($ET131:$EX131,OFFSET(DNN!$Y$9:$AC$9,FH$9,0)) + OFFSET(DNN!$X$9,FH$9,0)</f>
        <v>8.6810016937029894E-4</v>
      </c>
      <c r="FI131" s="108">
        <f ca="1">SUMPRODUCT($ET131:$EX131,OFFSET(DNN!$Y$9:$AC$9,FI$9,0)) + OFFSET(DNN!$X$9,FI$9,0)</f>
        <v>-1.3182687612562751</v>
      </c>
      <c r="FJ131" s="98">
        <f ca="1">SUMPRODUCT($ET131:$EX131,OFFSET(DNN!$Y$9:$AC$9,FJ$9,0)) + OFFSET(DNN!$X$9,FJ$9,0)</f>
        <v>-2.2535161745939301E-5</v>
      </c>
      <c r="FL131" s="415">
        <f t="shared" ca="1" si="224"/>
        <v>0.43031618918982212</v>
      </c>
      <c r="FM131" s="130">
        <f t="shared" ca="1" si="225"/>
        <v>1</v>
      </c>
      <c r="FN131" s="131">
        <f t="shared" ca="1" si="226"/>
        <v>0.65029522127322903</v>
      </c>
      <c r="FO131" s="131">
        <f t="shared" ca="1" si="227"/>
        <v>0.66028983545318687</v>
      </c>
      <c r="FP131" s="131">
        <f t="shared" ca="1" si="228"/>
        <v>0.64972655813153501</v>
      </c>
      <c r="FQ131" s="131">
        <f t="shared" ca="1" si="229"/>
        <v>0.65002804502111444</v>
      </c>
      <c r="FR131" s="131">
        <f t="shared" ca="1" si="230"/>
        <v>0.65029320640965171</v>
      </c>
      <c r="FS131" s="131">
        <f t="shared" ca="1" si="231"/>
        <v>0.64942668056342145</v>
      </c>
      <c r="FT131" s="131">
        <f t="shared" ca="1" si="232"/>
        <v>0.61083952513994022</v>
      </c>
      <c r="FU131" s="132">
        <f t="shared" ca="1" si="233"/>
        <v>0.6508682169276182</v>
      </c>
      <c r="FV131" s="131">
        <f t="shared" ca="1" si="234"/>
        <v>0.17402001625314881</v>
      </c>
      <c r="FW131" s="83">
        <f t="shared" ca="1" si="235"/>
        <v>-2.2535161742124597E-5</v>
      </c>
    </row>
    <row r="132" spans="1:179">
      <c r="A132" s="19">
        <f t="shared" si="240"/>
        <v>122</v>
      </c>
      <c r="B132" s="1">
        <f t="shared" ca="1" si="236"/>
        <v>0</v>
      </c>
      <c r="C132" s="20">
        <f t="shared" ca="1" si="237"/>
        <v>122</v>
      </c>
      <c r="D132" s="19" t="str">
        <f t="shared" ca="1" si="238"/>
        <v>〇×〇×〇×--〇</v>
      </c>
      <c r="E132" s="7">
        <f t="shared" ca="1" si="206"/>
        <v>9</v>
      </c>
      <c r="F132" s="7">
        <f t="shared" ca="1" si="207"/>
        <v>1</v>
      </c>
      <c r="G132" s="1" t="str">
        <f t="shared" ca="1" si="250"/>
        <v>〇×〇×〇×--〇</v>
      </c>
      <c r="H132" s="20" t="b">
        <f t="shared" ca="1" si="251"/>
        <v>1</v>
      </c>
      <c r="I132" s="22">
        <f t="shared" ca="1" si="239"/>
        <v>-1</v>
      </c>
      <c r="J132" s="1" t="b">
        <f ca="1">(1&lt;COUNTIF(D$10:D132,D132))</f>
        <v>1</v>
      </c>
      <c r="K132" s="1" t="b">
        <f t="shared" ca="1" si="252"/>
        <v>1</v>
      </c>
      <c r="L132" s="7">
        <f ca="1">MATCH(TRUE,K132:K$1048576,FALSE)-1</f>
        <v>0</v>
      </c>
      <c r="M132" s="24" t="str">
        <f t="shared" ca="1" si="253"/>
        <v>〇×〇×〇×--〇_9</v>
      </c>
      <c r="N132" s="25">
        <f t="shared" ca="1" si="208"/>
        <v>-2.2535161742124597E-5</v>
      </c>
      <c r="O132" s="26">
        <f t="shared" ca="1" si="209"/>
        <v>-1</v>
      </c>
      <c r="P132" s="27">
        <f t="shared" ca="1" si="210"/>
        <v>-1</v>
      </c>
      <c r="R132" s="41" t="str">
        <f ca="1">VLOOKUP(S132,cvt!$B$2:$C$4,2,FALSE)&amp;VLOOKUP(T132,cvt!$B$2:$C$4,2,FALSE)&amp;VLOOKUP(U132,cvt!$B$2:$C$4,2,FALSE)
&amp;VLOOKUP(V132,cvt!$B$2:$C$4,2,FALSE)&amp;VLOOKUP(W132,cvt!$B$2:$C$4,2,FALSE)&amp;VLOOKUP(X132,cvt!$B$2:$C$4,2,FALSE)
&amp;VLOOKUP(Y132,cvt!$B$2:$C$4,2,FALSE)&amp;VLOOKUP(Z132,cvt!$B$2:$C$4,2,FALSE)&amp;VLOOKUP(AA132,cvt!$B$2:$C$4,2,FALSE)</f>
        <v>〇×〇×〇×--〇</v>
      </c>
      <c r="S132" s="7">
        <f ca="1">VLOOKUP(MID($D132,S$9+1,1), cvt!$A$2:$B$4,2, FALSE)</f>
        <v>1</v>
      </c>
      <c r="T132" s="7">
        <f ca="1">VLOOKUP(MID($D132,T$9+1,1), cvt!$A$2:$B$4,2, FALSE)</f>
        <v>-1</v>
      </c>
      <c r="U132" s="7">
        <f ca="1">VLOOKUP(MID($D132,U$9+1,1), cvt!$A$2:$B$4,2, FALSE)</f>
        <v>1</v>
      </c>
      <c r="V132" s="17">
        <f ca="1">VLOOKUP(MID($D132,V$9+1,1), cvt!$A$2:$B$4,2, FALSE)</f>
        <v>-1</v>
      </c>
      <c r="W132" s="7">
        <f ca="1">VLOOKUP(MID($D132,W$9+1,1), cvt!$A$2:$B$4,2, FALSE)</f>
        <v>1</v>
      </c>
      <c r="X132" s="18">
        <f ca="1">VLOOKUP(MID($D132,X$9+1,1), cvt!$A$2:$B$4,2, FALSE)</f>
        <v>-1</v>
      </c>
      <c r="Y132" s="7">
        <f ca="1">VLOOKUP(MID($D132,Y$9+1,1), cvt!$A$2:$B$4,2, FALSE)</f>
        <v>0</v>
      </c>
      <c r="Z132" s="7">
        <f ca="1">VLOOKUP(MID($D132,Z$9+1,1), cvt!$A$2:$B$4,2, FALSE)</f>
        <v>0</v>
      </c>
      <c r="AA132" s="42">
        <f ca="1">VLOOKUP(MID($D132,AA$9+1,1), cvt!$A$2:$B$4,2, FALSE)</f>
        <v>1</v>
      </c>
      <c r="AB132" s="7">
        <f t="shared" ca="1" si="211"/>
        <v>1</v>
      </c>
      <c r="AC132" s="50" t="b">
        <f t="shared" ca="1" si="212"/>
        <v>1</v>
      </c>
      <c r="AE132" s="19" t="str">
        <f ca="1">VLOOKUP(AF132,cvt!$B$2:$C$4,2,FALSE)&amp;VLOOKUP(AG132,cvt!$B$2:$C$4,2,FALSE)&amp;VLOOKUP(AH132,cvt!$B$2:$C$4,2,FALSE)
&amp;VLOOKUP(AI132,cvt!$B$2:$C$4,2,FALSE)&amp;VLOOKUP(AJ132,cvt!$B$2:$C$4,2,FALSE)&amp;VLOOKUP(AK132,cvt!$B$2:$C$4,2,FALSE)
&amp;VLOOKUP(AL132,cvt!$B$2:$C$4,2,FALSE)&amp;VLOOKUP(AM132,cvt!$B$2:$C$4,2,FALSE)&amp;VLOOKUP(AN132,cvt!$B$2:$C$4,2,FALSE)</f>
        <v>〇×〇×〇×--〇</v>
      </c>
      <c r="AF132" s="17">
        <f t="shared" ca="1" si="254"/>
        <v>1</v>
      </c>
      <c r="AG132" s="7">
        <f t="shared" ca="1" si="255"/>
        <v>-1</v>
      </c>
      <c r="AH132" s="7">
        <f t="shared" ca="1" si="256"/>
        <v>1</v>
      </c>
      <c r="AI132" s="17">
        <f t="shared" ca="1" si="257"/>
        <v>-1</v>
      </c>
      <c r="AJ132" s="7">
        <f t="shared" ca="1" si="258"/>
        <v>1</v>
      </c>
      <c r="AK132" s="18">
        <f t="shared" ca="1" si="259"/>
        <v>-1</v>
      </c>
      <c r="AL132" s="7">
        <f t="shared" ca="1" si="260"/>
        <v>0</v>
      </c>
      <c r="AM132" s="7">
        <f t="shared" ca="1" si="261"/>
        <v>0</v>
      </c>
      <c r="AN132" s="18">
        <f t="shared" ca="1" si="262"/>
        <v>1</v>
      </c>
      <c r="AO132" s="7">
        <f t="shared" ca="1" si="213"/>
        <v>1</v>
      </c>
      <c r="AP132" s="50" t="b">
        <f t="shared" ca="1" si="263"/>
        <v>1</v>
      </c>
      <c r="AS132" s="22">
        <f t="shared" ca="1" si="214"/>
        <v>0</v>
      </c>
      <c r="AT132" s="7">
        <f t="shared" ca="1" si="153"/>
        <v>0</v>
      </c>
      <c r="AU132" s="7">
        <f t="shared" ca="1" si="154"/>
        <v>0</v>
      </c>
      <c r="AV132" s="7">
        <f t="shared" ca="1" si="155"/>
        <v>0</v>
      </c>
      <c r="AW132" s="7">
        <f t="shared" ca="1" si="156"/>
        <v>0</v>
      </c>
      <c r="AX132" s="7">
        <f t="shared" ca="1" si="157"/>
        <v>0</v>
      </c>
      <c r="AY132" s="7">
        <f t="shared" ca="1" si="158"/>
        <v>0</v>
      </c>
      <c r="AZ132" s="7">
        <f t="shared" ca="1" si="159"/>
        <v>0</v>
      </c>
      <c r="BA132" s="18">
        <f t="shared" ca="1" si="160"/>
        <v>0</v>
      </c>
      <c r="BB132" s="295">
        <f t="shared" ca="1" si="215"/>
        <v>1</v>
      </c>
      <c r="BD132" s="132"/>
      <c r="BE132" s="297">
        <f t="shared" ca="1" si="216"/>
        <v>1</v>
      </c>
      <c r="BF132" s="298">
        <f t="shared" ca="1" si="161"/>
        <v>0.65029522127322903</v>
      </c>
      <c r="BG132" s="298">
        <f t="shared" ca="1" si="162"/>
        <v>0.66028983545318687</v>
      </c>
      <c r="BH132" s="318">
        <f t="shared" ca="1" si="163"/>
        <v>0.64972655813153501</v>
      </c>
      <c r="BI132" s="298">
        <f t="shared" ca="1" si="164"/>
        <v>0.65002804502111444</v>
      </c>
      <c r="BJ132" s="299">
        <f t="shared" ca="1" si="165"/>
        <v>0.65029320640965171</v>
      </c>
      <c r="BK132" s="298">
        <f t="shared" ca="1" si="166"/>
        <v>0.64942668056342145</v>
      </c>
      <c r="BL132" s="298">
        <f t="shared" ca="1" si="167"/>
        <v>0.61083952513994022</v>
      </c>
      <c r="BM132" s="299">
        <f t="shared" ca="1" si="168"/>
        <v>0.6508682169276182</v>
      </c>
      <c r="BN132" s="295">
        <f t="shared" ca="1" si="169"/>
        <v>0.17402001625314881</v>
      </c>
      <c r="BO132" s="248">
        <f t="shared" ca="1" si="217"/>
        <v>-2.2535161742124597E-5</v>
      </c>
      <c r="BQ132" s="304">
        <f t="shared" ca="1" si="218"/>
        <v>0.42412001625314877</v>
      </c>
      <c r="BR132" s="297">
        <f t="shared" ca="1" si="219"/>
        <v>0</v>
      </c>
      <c r="BS132" s="298">
        <f t="shared" ca="1" si="170"/>
        <v>0</v>
      </c>
      <c r="BT132" s="298">
        <f t="shared" ca="1" si="171"/>
        <v>0</v>
      </c>
      <c r="BU132" s="318">
        <f t="shared" ca="1" si="172"/>
        <v>0</v>
      </c>
      <c r="BV132" s="298">
        <f t="shared" ca="1" si="173"/>
        <v>0</v>
      </c>
      <c r="BW132" s="299">
        <f t="shared" ca="1" si="174"/>
        <v>0</v>
      </c>
      <c r="BX132" s="298">
        <f t="shared" ca="1" si="175"/>
        <v>0</v>
      </c>
      <c r="BY132" s="298">
        <f t="shared" ca="1" si="176"/>
        <v>0</v>
      </c>
      <c r="BZ132" s="298">
        <f t="shared" ca="1" si="177"/>
        <v>0</v>
      </c>
      <c r="CA132" s="315">
        <f t="shared" ca="1" si="178"/>
        <v>0.42412001625314877</v>
      </c>
      <c r="CC132" s="52"/>
      <c r="CD132" s="306">
        <f t="shared" ca="1" si="220"/>
        <v>0</v>
      </c>
      <c r="CE132" s="15">
        <f t="shared" ca="1" si="179"/>
        <v>0</v>
      </c>
      <c r="CF132" s="15">
        <f t="shared" ca="1" si="180"/>
        <v>0</v>
      </c>
      <c r="CG132" s="286">
        <f t="shared" ca="1" si="181"/>
        <v>0</v>
      </c>
      <c r="CH132" s="15">
        <f t="shared" ca="1" si="182"/>
        <v>0</v>
      </c>
      <c r="CI132" s="288">
        <f t="shared" ca="1" si="183"/>
        <v>0</v>
      </c>
      <c r="CJ132" s="15">
        <f t="shared" ca="1" si="184"/>
        <v>0</v>
      </c>
      <c r="CK132" s="15">
        <f t="shared" ca="1" si="185"/>
        <v>0</v>
      </c>
      <c r="CL132" s="15">
        <f t="shared" ca="1" si="186"/>
        <v>0</v>
      </c>
      <c r="CM132" s="313">
        <f t="shared" ca="1" si="187"/>
        <v>1</v>
      </c>
      <c r="CO132" s="320">
        <f t="shared" ca="1" si="221"/>
        <v>121</v>
      </c>
      <c r="CP132" s="22">
        <f ca="1">COUNTIFS($C$10:$C131,"&lt;"&amp;$C132,$M$10:$M131,$D132&amp;"_"&amp;CP$9)</f>
        <v>0</v>
      </c>
      <c r="CQ132" s="7">
        <f ca="1">COUNTIFS($C$10:$C131,"&lt;"&amp;$C132,$M$10:$M131,$D132&amp;"_"&amp;CQ$9)</f>
        <v>0</v>
      </c>
      <c r="CR132" s="7">
        <f ca="1">COUNTIFS($C$10:$C131,"&lt;"&amp;$C132,$M$10:$M131,$D132&amp;"_"&amp;CR$9)</f>
        <v>0</v>
      </c>
      <c r="CS132" s="17">
        <f ca="1">COUNTIFS($C$10:$C131,"&lt;"&amp;$C132,$M$10:$M131,$D132&amp;"_"&amp;CS$9)</f>
        <v>0</v>
      </c>
      <c r="CT132" s="7">
        <f ca="1">COUNTIFS($C$10:$C131,"&lt;"&amp;$C132,$M$10:$M131,$D132&amp;"_"&amp;CT$9)</f>
        <v>0</v>
      </c>
      <c r="CU132" s="18">
        <f ca="1">COUNTIFS($C$10:$C131,"&lt;"&amp;$C132,$M$10:$M131,$D132&amp;"_"&amp;CU$9)</f>
        <v>0</v>
      </c>
      <c r="CV132" s="7">
        <f ca="1">COUNTIFS($C$10:$C131,"&lt;"&amp;$C132,$M$10:$M131,$D132&amp;"_"&amp;CV$9)</f>
        <v>0</v>
      </c>
      <c r="CW132" s="7">
        <f ca="1">COUNTIFS($C$10:$C131,"&lt;"&amp;$C132,$M$10:$M131,$D132&amp;"_"&amp;CW$9)</f>
        <v>0</v>
      </c>
      <c r="CX132" s="7">
        <f ca="1">COUNTIFS($C$10:$C131,"&lt;"&amp;$C132,$M$10:$M131,$D132&amp;"_"&amp;CX$9)</f>
        <v>0</v>
      </c>
      <c r="CY132" s="221">
        <f ca="1">COUNTIFS($C$10:$C131,"&lt;"&amp;$C132,$M$10:$M131,$D132&amp;"_"&amp;CY$9)</f>
        <v>121</v>
      </c>
      <c r="DA132" s="20"/>
      <c r="DB132" s="308">
        <f ca="1">IF(CP132=0,0,SUMIFS($P$10:$P131, $C$10:$C131,"&lt;"&amp;$C132, $M$10:$M131,$D132&amp;"_"&amp;DB$9)/CP132)</f>
        <v>0</v>
      </c>
      <c r="DC132" s="263">
        <f ca="1">IF(CQ132=0,0,SUMIFS($P$10:$P131, $C$10:$C131,"&lt;"&amp;$C132, $M$10:$M131,$D132&amp;"_"&amp;DC$9)/CQ132)</f>
        <v>0</v>
      </c>
      <c r="DD132" s="263">
        <f ca="1">IF(CR132=0,0,SUMIFS($P$10:$P131, $C$10:$C131,"&lt;"&amp;$C132, $M$10:$M131,$D132&amp;"_"&amp;DD$9)/CR132)</f>
        <v>0</v>
      </c>
      <c r="DE132" s="262">
        <f ca="1">IF(CS132=0,0,SUMIFS($P$10:$P131, $C$10:$C131,"&lt;"&amp;$C132, $M$10:$M131,$D132&amp;"_"&amp;DE$9)/CS132)</f>
        <v>0</v>
      </c>
      <c r="DF132" s="263">
        <f ca="1">IF(CT132=0,0,SUMIFS($P$10:$P131, $C$10:$C131,"&lt;"&amp;$C132, $M$10:$M131,$D132&amp;"_"&amp;DF$9)/CT132)</f>
        <v>0</v>
      </c>
      <c r="DG132" s="310">
        <f ca="1">IF(CU132=0,0,SUMIFS($P$10:$P131, $C$10:$C131,"&lt;"&amp;$C132, $M$10:$M131,$D132&amp;"_"&amp;DG$9)/CU132)</f>
        <v>0</v>
      </c>
      <c r="DH132" s="263">
        <f ca="1">IF(CV132=0,0,SUMIFS($P$10:$P131, $C$10:$C131,"&lt;"&amp;$C132, $M$10:$M131,$D132&amp;"_"&amp;DH$9)/CV132)</f>
        <v>0</v>
      </c>
      <c r="DI132" s="263">
        <f ca="1">IF(CW132=0,0,SUMIFS($P$10:$P131, $C$10:$C131,"&lt;"&amp;$C132, $M$10:$M131,$D132&amp;"_"&amp;DI$9)/CW132)</f>
        <v>0</v>
      </c>
      <c r="DJ132" s="264">
        <f ca="1">IF(CX132=0,0,SUMIFS($P$10:$P131, $C$10:$C131,"&lt;"&amp;$C132, $M$10:$M131,$D132&amp;"_"&amp;DJ$9)/CX132)</f>
        <v>0</v>
      </c>
      <c r="DK132" s="264">
        <f ca="1">IF(CY132=0,0,SUMIFS($P$10:$P131, $C$10:$C131,"&lt;"&amp;$C132, $M$10:$M131,$D132&amp;"_"&amp;DK$9)/CY132)</f>
        <v>-1</v>
      </c>
      <c r="DM132" s="104"/>
      <c r="DN132" s="306">
        <f t="shared" ca="1" si="222"/>
        <v>-9999</v>
      </c>
      <c r="DO132" s="15">
        <f t="shared" ca="1" si="188"/>
        <v>-9999</v>
      </c>
      <c r="DP132" s="15">
        <f t="shared" ca="1" si="189"/>
        <v>-9999</v>
      </c>
      <c r="DQ132" s="15">
        <f t="shared" ca="1" si="190"/>
        <v>-9999</v>
      </c>
      <c r="DR132" s="15">
        <f t="shared" ca="1" si="191"/>
        <v>-9999</v>
      </c>
      <c r="DS132" s="15">
        <f t="shared" ca="1" si="192"/>
        <v>-9999</v>
      </c>
      <c r="DT132" s="15">
        <f t="shared" ca="1" si="193"/>
        <v>-9999</v>
      </c>
      <c r="DU132" s="15">
        <f t="shared" ca="1" si="194"/>
        <v>-9999</v>
      </c>
      <c r="DV132" s="52">
        <f t="shared" ca="1" si="195"/>
        <v>-9999</v>
      </c>
      <c r="DW132" s="313">
        <f t="shared" ca="1" si="196"/>
        <v>-0.9098360655737705</v>
      </c>
      <c r="DX132" s="52"/>
      <c r="DY132" s="402">
        <f t="shared" ca="1" si="223"/>
        <v>9</v>
      </c>
      <c r="ED132" s="19">
        <f t="shared" ca="1" si="241"/>
        <v>-1</v>
      </c>
      <c r="EE132" s="1">
        <f t="shared" ca="1" si="242"/>
        <v>1</v>
      </c>
      <c r="EF132" s="1">
        <f t="shared" ca="1" si="243"/>
        <v>-1</v>
      </c>
      <c r="EG132" s="2">
        <f t="shared" ca="1" si="244"/>
        <v>1</v>
      </c>
      <c r="EH132" s="1">
        <f t="shared" ca="1" si="245"/>
        <v>-1</v>
      </c>
      <c r="EI132" s="3">
        <f t="shared" ca="1" si="246"/>
        <v>1</v>
      </c>
      <c r="EJ132" s="1">
        <f t="shared" ca="1" si="247"/>
        <v>0</v>
      </c>
      <c r="EK132" s="1">
        <f t="shared" ca="1" si="248"/>
        <v>0</v>
      </c>
      <c r="EL132" s="20">
        <f t="shared" ca="1" si="249"/>
        <v>-1</v>
      </c>
      <c r="EN132" s="86">
        <f ca="1">MAX(0, SUMPRODUCT($ED132:$EL132,OFFSET(DNN!$E$9:$M$9,EN$9,0)) + OFFSET(DNN!$D$9,EN$9,0))</f>
        <v>0</v>
      </c>
      <c r="EO132" s="84">
        <f ca="1">MAX(0, SUMPRODUCT($ED132:$EL132,OFFSET(DNN!$E$9:$M$9,EO$9,0)) + OFFSET(DNN!$D$9,EO$9,0))</f>
        <v>7.2346022384755949E-3</v>
      </c>
      <c r="EP132" s="84">
        <f ca="1">MAX(0, SUMPRODUCT($ED132:$EL132,OFFSET(DNN!$E$9:$M$9,EP$9,0)) + OFFSET(DNN!$D$9,EP$9,0))</f>
        <v>3.6951849750035152E-3</v>
      </c>
      <c r="EQ132" s="84">
        <f ca="1">MAX(0, SUMPRODUCT($ED132:$EL132,OFFSET(DNN!$E$9:$M$9,EQ$9,0)) + OFFSET(DNN!$D$9,EQ$9,0))</f>
        <v>0</v>
      </c>
      <c r="ER132" s="85">
        <f ca="1">MAX(0, SUMPRODUCT($ED132:$EL132,OFFSET(DNN!$E$9:$M$9,ER$9,0)) + OFFSET(DNN!$D$9,ER$9,0))</f>
        <v>0</v>
      </c>
      <c r="ET132" s="86">
        <f ca="1">MAX(0, SUMPRODUCT($EN132:$ER132,OFFSET(DNN!$Q$9:$U$9,ET$9,0)) + OFFSET(DNN!$P$9,ET$9,0))</f>
        <v>4.3954959453478351E-4</v>
      </c>
      <c r="EU132" s="84">
        <f ca="1">MAX(0, SUMPRODUCT($EN132:$ER132,OFFSET(DNN!$Q$9:$U$9,EU$9,0)) + OFFSET(DNN!$P$9,EU$9,0))</f>
        <v>0</v>
      </c>
      <c r="EV132" s="84">
        <f ca="1">MAX(0, SUMPRODUCT($EN132:$ER132,OFFSET(DNN!$Q$9:$U$9,EV$9,0)) + OFFSET(DNN!$P$9,EV$9,0))</f>
        <v>1.2810123361902579E-3</v>
      </c>
      <c r="EW132" s="84">
        <f ca="1">MAX(0, SUMPRODUCT($EN132:$ER132,OFFSET(DNN!$Q$9:$U$9,EW$9,0)) + OFFSET(DNN!$P$9,EW$9,0))</f>
        <v>7.8382123007882457E-4</v>
      </c>
      <c r="EX132" s="85">
        <f ca="1">MAX(0, SUMPRODUCT($EN132:$ER132,OFFSET(DNN!$Q$9:$U$9,EX$9,0)) + OFFSET(DNN!$P$9,EX$9,0))</f>
        <v>0</v>
      </c>
      <c r="EZ132" s="111">
        <f ca="1">SUMPRODUCT($ET132:$EX132,OFFSET(DNN!$Y$9:$AC$9,EZ$9,0)) + OFFSET(DNN!$X$9,EZ$9,0)</f>
        <v>0.43031618918982212</v>
      </c>
      <c r="FA132" s="97">
        <f ca="1">SUMPRODUCT($ET132:$EX132,OFFSET(DNN!$Y$9:$AC$9,FA$9,0)) + OFFSET(DNN!$X$9,FA$9,0)</f>
        <v>-1.2643439935754107E-5</v>
      </c>
      <c r="FB132" s="97">
        <f ca="1">SUMPRODUCT($ET132:$EX132,OFFSET(DNN!$Y$9:$AC$9,FB$9,0)) + OFFSET(DNN!$X$9,FB$9,0)</f>
        <v>1.5239793458415756E-2</v>
      </c>
      <c r="FC132" s="97">
        <f ca="1">SUMPRODUCT($ET132:$EX132,OFFSET(DNN!$Y$9:$AC$9,FC$9,0)) + OFFSET(DNN!$X$9,FC$9,0)</f>
        <v>-8.8749521084055777E-4</v>
      </c>
      <c r="FD132" s="97">
        <f ca="1">SUMPRODUCT($ET132:$EX132,OFFSET(DNN!$Y$9:$AC$9,FD$9,0)) + OFFSET(DNN!$X$9,FD$9,0)</f>
        <v>-4.235816470721872E-4</v>
      </c>
      <c r="FE132" s="97">
        <f ca="1">SUMPRODUCT($ET132:$EX132,OFFSET(DNN!$Y$9:$AC$9,FE$9,0)) + OFFSET(DNN!$X$9,FE$9,0)</f>
        <v>-1.574182761064886E-5</v>
      </c>
      <c r="FF132" s="97">
        <f ca="1">SUMPRODUCT($ET132:$EX132,OFFSET(DNN!$Y$9:$AC$9,FF$9,0)) + OFFSET(DNN!$X$9,FF$9,0)</f>
        <v>-1.3491460223194656E-3</v>
      </c>
      <c r="FG132" s="97">
        <f ca="1">SUMPRODUCT($ET132:$EX132,OFFSET(DNN!$Y$9:$AC$9,FG$9,0)) + OFFSET(DNN!$X$9,FG$9,0)</f>
        <v>-6.2604808096248285E-2</v>
      </c>
      <c r="FH132" s="97">
        <f ca="1">SUMPRODUCT($ET132:$EX132,OFFSET(DNN!$Y$9:$AC$9,FH$9,0)) + OFFSET(DNN!$X$9,FH$9,0)</f>
        <v>8.6810016937029894E-4</v>
      </c>
      <c r="FI132" s="108">
        <f ca="1">SUMPRODUCT($ET132:$EX132,OFFSET(DNN!$Y$9:$AC$9,FI$9,0)) + OFFSET(DNN!$X$9,FI$9,0)</f>
        <v>-1.3182687612562751</v>
      </c>
      <c r="FJ132" s="98">
        <f ca="1">SUMPRODUCT($ET132:$EX132,OFFSET(DNN!$Y$9:$AC$9,FJ$9,0)) + OFFSET(DNN!$X$9,FJ$9,0)</f>
        <v>-2.2535161745939301E-5</v>
      </c>
      <c r="FL132" s="415">
        <f t="shared" ca="1" si="224"/>
        <v>0.43031618918982212</v>
      </c>
      <c r="FM132" s="130">
        <f t="shared" ca="1" si="225"/>
        <v>1</v>
      </c>
      <c r="FN132" s="131">
        <f t="shared" ca="1" si="226"/>
        <v>0.65029522127322903</v>
      </c>
      <c r="FO132" s="131">
        <f t="shared" ca="1" si="227"/>
        <v>0.66028983545318687</v>
      </c>
      <c r="FP132" s="131">
        <f t="shared" ca="1" si="228"/>
        <v>0.64972655813153501</v>
      </c>
      <c r="FQ132" s="131">
        <f t="shared" ca="1" si="229"/>
        <v>0.65002804502111444</v>
      </c>
      <c r="FR132" s="131">
        <f t="shared" ca="1" si="230"/>
        <v>0.65029320640965171</v>
      </c>
      <c r="FS132" s="131">
        <f t="shared" ca="1" si="231"/>
        <v>0.64942668056342145</v>
      </c>
      <c r="FT132" s="131">
        <f t="shared" ca="1" si="232"/>
        <v>0.61083952513994022</v>
      </c>
      <c r="FU132" s="132">
        <f t="shared" ca="1" si="233"/>
        <v>0.6508682169276182</v>
      </c>
      <c r="FV132" s="131">
        <f t="shared" ca="1" si="234"/>
        <v>0.17402001625314881</v>
      </c>
      <c r="FW132" s="83">
        <f t="shared" ca="1" si="235"/>
        <v>-2.2535161742124597E-5</v>
      </c>
    </row>
    <row r="133" spans="1:179">
      <c r="A133" s="19">
        <f t="shared" si="240"/>
        <v>123</v>
      </c>
      <c r="B133" s="1">
        <f t="shared" ca="1" si="236"/>
        <v>0</v>
      </c>
      <c r="C133" s="20">
        <f t="shared" ca="1" si="237"/>
        <v>123</v>
      </c>
      <c r="D133" s="19" t="str">
        <f t="shared" ca="1" si="238"/>
        <v>〇×〇×〇×--〇</v>
      </c>
      <c r="E133" s="7">
        <f t="shared" ca="1" si="206"/>
        <v>9</v>
      </c>
      <c r="F133" s="7">
        <f t="shared" ca="1" si="207"/>
        <v>1</v>
      </c>
      <c r="G133" s="1" t="str">
        <f t="shared" ca="1" si="250"/>
        <v>〇×〇×〇×--〇</v>
      </c>
      <c r="H133" s="20" t="b">
        <f t="shared" ca="1" si="251"/>
        <v>1</v>
      </c>
      <c r="I133" s="22">
        <f t="shared" ca="1" si="239"/>
        <v>-1</v>
      </c>
      <c r="J133" s="1" t="b">
        <f ca="1">(1&lt;COUNTIF(D$10:D133,D133))</f>
        <v>1</v>
      </c>
      <c r="K133" s="1" t="b">
        <f t="shared" ca="1" si="252"/>
        <v>1</v>
      </c>
      <c r="L133" s="7">
        <f ca="1">MATCH(TRUE,K133:K$1048576,FALSE)-1</f>
        <v>0</v>
      </c>
      <c r="M133" s="24" t="str">
        <f t="shared" ca="1" si="253"/>
        <v>〇×〇×〇×--〇_9</v>
      </c>
      <c r="N133" s="25">
        <f t="shared" ca="1" si="208"/>
        <v>-2.2535161742124597E-5</v>
      </c>
      <c r="O133" s="26">
        <f t="shared" ca="1" si="209"/>
        <v>-1</v>
      </c>
      <c r="P133" s="27">
        <f t="shared" ca="1" si="210"/>
        <v>-1</v>
      </c>
      <c r="R133" s="41" t="str">
        <f ca="1">VLOOKUP(S133,cvt!$B$2:$C$4,2,FALSE)&amp;VLOOKUP(T133,cvt!$B$2:$C$4,2,FALSE)&amp;VLOOKUP(U133,cvt!$B$2:$C$4,2,FALSE)
&amp;VLOOKUP(V133,cvt!$B$2:$C$4,2,FALSE)&amp;VLOOKUP(W133,cvt!$B$2:$C$4,2,FALSE)&amp;VLOOKUP(X133,cvt!$B$2:$C$4,2,FALSE)
&amp;VLOOKUP(Y133,cvt!$B$2:$C$4,2,FALSE)&amp;VLOOKUP(Z133,cvt!$B$2:$C$4,2,FALSE)&amp;VLOOKUP(AA133,cvt!$B$2:$C$4,2,FALSE)</f>
        <v>〇×〇×〇×--〇</v>
      </c>
      <c r="S133" s="7">
        <f ca="1">VLOOKUP(MID($D133,S$9+1,1), cvt!$A$2:$B$4,2, FALSE)</f>
        <v>1</v>
      </c>
      <c r="T133" s="7">
        <f ca="1">VLOOKUP(MID($D133,T$9+1,1), cvt!$A$2:$B$4,2, FALSE)</f>
        <v>-1</v>
      </c>
      <c r="U133" s="7">
        <f ca="1">VLOOKUP(MID($D133,U$9+1,1), cvt!$A$2:$B$4,2, FALSE)</f>
        <v>1</v>
      </c>
      <c r="V133" s="17">
        <f ca="1">VLOOKUP(MID($D133,V$9+1,1), cvt!$A$2:$B$4,2, FALSE)</f>
        <v>-1</v>
      </c>
      <c r="W133" s="7">
        <f ca="1">VLOOKUP(MID($D133,W$9+1,1), cvt!$A$2:$B$4,2, FALSE)</f>
        <v>1</v>
      </c>
      <c r="X133" s="18">
        <f ca="1">VLOOKUP(MID($D133,X$9+1,1), cvt!$A$2:$B$4,2, FALSE)</f>
        <v>-1</v>
      </c>
      <c r="Y133" s="7">
        <f ca="1">VLOOKUP(MID($D133,Y$9+1,1), cvt!$A$2:$B$4,2, FALSE)</f>
        <v>0</v>
      </c>
      <c r="Z133" s="7">
        <f ca="1">VLOOKUP(MID($D133,Z$9+1,1), cvt!$A$2:$B$4,2, FALSE)</f>
        <v>0</v>
      </c>
      <c r="AA133" s="42">
        <f ca="1">VLOOKUP(MID($D133,AA$9+1,1), cvt!$A$2:$B$4,2, FALSE)</f>
        <v>1</v>
      </c>
      <c r="AB133" s="7">
        <f t="shared" ca="1" si="211"/>
        <v>1</v>
      </c>
      <c r="AC133" s="50" t="b">
        <f t="shared" ca="1" si="212"/>
        <v>1</v>
      </c>
      <c r="AE133" s="19" t="str">
        <f ca="1">VLOOKUP(AF133,cvt!$B$2:$C$4,2,FALSE)&amp;VLOOKUP(AG133,cvt!$B$2:$C$4,2,FALSE)&amp;VLOOKUP(AH133,cvt!$B$2:$C$4,2,FALSE)
&amp;VLOOKUP(AI133,cvt!$B$2:$C$4,2,FALSE)&amp;VLOOKUP(AJ133,cvt!$B$2:$C$4,2,FALSE)&amp;VLOOKUP(AK133,cvt!$B$2:$C$4,2,FALSE)
&amp;VLOOKUP(AL133,cvt!$B$2:$C$4,2,FALSE)&amp;VLOOKUP(AM133,cvt!$B$2:$C$4,2,FALSE)&amp;VLOOKUP(AN133,cvt!$B$2:$C$4,2,FALSE)</f>
        <v>〇×〇×〇×--〇</v>
      </c>
      <c r="AF133" s="17">
        <f t="shared" ca="1" si="254"/>
        <v>1</v>
      </c>
      <c r="AG133" s="7">
        <f t="shared" ca="1" si="255"/>
        <v>-1</v>
      </c>
      <c r="AH133" s="7">
        <f t="shared" ca="1" si="256"/>
        <v>1</v>
      </c>
      <c r="AI133" s="17">
        <f t="shared" ca="1" si="257"/>
        <v>-1</v>
      </c>
      <c r="AJ133" s="7">
        <f t="shared" ca="1" si="258"/>
        <v>1</v>
      </c>
      <c r="AK133" s="18">
        <f t="shared" ca="1" si="259"/>
        <v>-1</v>
      </c>
      <c r="AL133" s="7">
        <f t="shared" ca="1" si="260"/>
        <v>0</v>
      </c>
      <c r="AM133" s="7">
        <f t="shared" ca="1" si="261"/>
        <v>0</v>
      </c>
      <c r="AN133" s="18">
        <f t="shared" ca="1" si="262"/>
        <v>1</v>
      </c>
      <c r="AO133" s="7">
        <f t="shared" ca="1" si="213"/>
        <v>1</v>
      </c>
      <c r="AP133" s="50" t="b">
        <f t="shared" ca="1" si="263"/>
        <v>1</v>
      </c>
      <c r="AS133" s="22">
        <f t="shared" ca="1" si="214"/>
        <v>0</v>
      </c>
      <c r="AT133" s="7">
        <f t="shared" ca="1" si="153"/>
        <v>0</v>
      </c>
      <c r="AU133" s="7">
        <f t="shared" ca="1" si="154"/>
        <v>0</v>
      </c>
      <c r="AV133" s="7">
        <f t="shared" ca="1" si="155"/>
        <v>0</v>
      </c>
      <c r="AW133" s="7">
        <f t="shared" ca="1" si="156"/>
        <v>0</v>
      </c>
      <c r="AX133" s="7">
        <f t="shared" ca="1" si="157"/>
        <v>0</v>
      </c>
      <c r="AY133" s="7">
        <f t="shared" ca="1" si="158"/>
        <v>0</v>
      </c>
      <c r="AZ133" s="7">
        <f t="shared" ca="1" si="159"/>
        <v>0</v>
      </c>
      <c r="BA133" s="18">
        <f t="shared" ca="1" si="160"/>
        <v>0</v>
      </c>
      <c r="BB133" s="295">
        <f t="shared" ca="1" si="215"/>
        <v>1</v>
      </c>
      <c r="BD133" s="132"/>
      <c r="BE133" s="297">
        <f t="shared" ca="1" si="216"/>
        <v>1</v>
      </c>
      <c r="BF133" s="298">
        <f t="shared" ca="1" si="161"/>
        <v>0.65029522127322903</v>
      </c>
      <c r="BG133" s="298">
        <f t="shared" ca="1" si="162"/>
        <v>0.66028983545318687</v>
      </c>
      <c r="BH133" s="318">
        <f t="shared" ca="1" si="163"/>
        <v>0.64972655813153501</v>
      </c>
      <c r="BI133" s="298">
        <f t="shared" ca="1" si="164"/>
        <v>0.65002804502111444</v>
      </c>
      <c r="BJ133" s="299">
        <f t="shared" ca="1" si="165"/>
        <v>0.65029320640965171</v>
      </c>
      <c r="BK133" s="298">
        <f t="shared" ca="1" si="166"/>
        <v>0.64942668056342145</v>
      </c>
      <c r="BL133" s="298">
        <f t="shared" ca="1" si="167"/>
        <v>0.61083952513994022</v>
      </c>
      <c r="BM133" s="299">
        <f t="shared" ca="1" si="168"/>
        <v>0.6508682169276182</v>
      </c>
      <c r="BN133" s="295">
        <f t="shared" ca="1" si="169"/>
        <v>0.17402001625314881</v>
      </c>
      <c r="BO133" s="248">
        <f t="shared" ca="1" si="217"/>
        <v>-2.2535161742124597E-5</v>
      </c>
      <c r="BQ133" s="304">
        <f t="shared" ca="1" si="218"/>
        <v>0.42412001625314877</v>
      </c>
      <c r="BR133" s="297">
        <f t="shared" ca="1" si="219"/>
        <v>0</v>
      </c>
      <c r="BS133" s="298">
        <f t="shared" ca="1" si="170"/>
        <v>0</v>
      </c>
      <c r="BT133" s="298">
        <f t="shared" ca="1" si="171"/>
        <v>0</v>
      </c>
      <c r="BU133" s="318">
        <f t="shared" ca="1" si="172"/>
        <v>0</v>
      </c>
      <c r="BV133" s="298">
        <f t="shared" ca="1" si="173"/>
        <v>0</v>
      </c>
      <c r="BW133" s="299">
        <f t="shared" ca="1" si="174"/>
        <v>0</v>
      </c>
      <c r="BX133" s="298">
        <f t="shared" ca="1" si="175"/>
        <v>0</v>
      </c>
      <c r="BY133" s="298">
        <f t="shared" ca="1" si="176"/>
        <v>0</v>
      </c>
      <c r="BZ133" s="298">
        <f t="shared" ca="1" si="177"/>
        <v>0</v>
      </c>
      <c r="CA133" s="315">
        <f t="shared" ca="1" si="178"/>
        <v>0.42412001625314877</v>
      </c>
      <c r="CC133" s="52"/>
      <c r="CD133" s="306">
        <f t="shared" ca="1" si="220"/>
        <v>0</v>
      </c>
      <c r="CE133" s="15">
        <f t="shared" ca="1" si="179"/>
        <v>0</v>
      </c>
      <c r="CF133" s="15">
        <f t="shared" ca="1" si="180"/>
        <v>0</v>
      </c>
      <c r="CG133" s="286">
        <f t="shared" ca="1" si="181"/>
        <v>0</v>
      </c>
      <c r="CH133" s="15">
        <f t="shared" ca="1" si="182"/>
        <v>0</v>
      </c>
      <c r="CI133" s="288">
        <f t="shared" ca="1" si="183"/>
        <v>0</v>
      </c>
      <c r="CJ133" s="15">
        <f t="shared" ca="1" si="184"/>
        <v>0</v>
      </c>
      <c r="CK133" s="15">
        <f t="shared" ca="1" si="185"/>
        <v>0</v>
      </c>
      <c r="CL133" s="15">
        <f t="shared" ca="1" si="186"/>
        <v>0</v>
      </c>
      <c r="CM133" s="313">
        <f t="shared" ca="1" si="187"/>
        <v>1</v>
      </c>
      <c r="CO133" s="320">
        <f t="shared" ca="1" si="221"/>
        <v>122</v>
      </c>
      <c r="CP133" s="22">
        <f ca="1">COUNTIFS($C$10:$C132,"&lt;"&amp;$C133,$M$10:$M132,$D133&amp;"_"&amp;CP$9)</f>
        <v>0</v>
      </c>
      <c r="CQ133" s="7">
        <f ca="1">COUNTIFS($C$10:$C132,"&lt;"&amp;$C133,$M$10:$M132,$D133&amp;"_"&amp;CQ$9)</f>
        <v>0</v>
      </c>
      <c r="CR133" s="7">
        <f ca="1">COUNTIFS($C$10:$C132,"&lt;"&amp;$C133,$M$10:$M132,$D133&amp;"_"&amp;CR$9)</f>
        <v>0</v>
      </c>
      <c r="CS133" s="17">
        <f ca="1">COUNTIFS($C$10:$C132,"&lt;"&amp;$C133,$M$10:$M132,$D133&amp;"_"&amp;CS$9)</f>
        <v>0</v>
      </c>
      <c r="CT133" s="7">
        <f ca="1">COUNTIFS($C$10:$C132,"&lt;"&amp;$C133,$M$10:$M132,$D133&amp;"_"&amp;CT$9)</f>
        <v>0</v>
      </c>
      <c r="CU133" s="18">
        <f ca="1">COUNTIFS($C$10:$C132,"&lt;"&amp;$C133,$M$10:$M132,$D133&amp;"_"&amp;CU$9)</f>
        <v>0</v>
      </c>
      <c r="CV133" s="7">
        <f ca="1">COUNTIFS($C$10:$C132,"&lt;"&amp;$C133,$M$10:$M132,$D133&amp;"_"&amp;CV$9)</f>
        <v>0</v>
      </c>
      <c r="CW133" s="7">
        <f ca="1">COUNTIFS($C$10:$C132,"&lt;"&amp;$C133,$M$10:$M132,$D133&amp;"_"&amp;CW$9)</f>
        <v>0</v>
      </c>
      <c r="CX133" s="7">
        <f ca="1">COUNTIFS($C$10:$C132,"&lt;"&amp;$C133,$M$10:$M132,$D133&amp;"_"&amp;CX$9)</f>
        <v>0</v>
      </c>
      <c r="CY133" s="221">
        <f ca="1">COUNTIFS($C$10:$C132,"&lt;"&amp;$C133,$M$10:$M132,$D133&amp;"_"&amp;CY$9)</f>
        <v>122</v>
      </c>
      <c r="DA133" s="20"/>
      <c r="DB133" s="308">
        <f ca="1">IF(CP133=0,0,SUMIFS($P$10:$P132, $C$10:$C132,"&lt;"&amp;$C133, $M$10:$M132,$D133&amp;"_"&amp;DB$9)/CP133)</f>
        <v>0</v>
      </c>
      <c r="DC133" s="263">
        <f ca="1">IF(CQ133=0,0,SUMIFS($P$10:$P132, $C$10:$C132,"&lt;"&amp;$C133, $M$10:$M132,$D133&amp;"_"&amp;DC$9)/CQ133)</f>
        <v>0</v>
      </c>
      <c r="DD133" s="263">
        <f ca="1">IF(CR133=0,0,SUMIFS($P$10:$P132, $C$10:$C132,"&lt;"&amp;$C133, $M$10:$M132,$D133&amp;"_"&amp;DD$9)/CR133)</f>
        <v>0</v>
      </c>
      <c r="DE133" s="262">
        <f ca="1">IF(CS133=0,0,SUMIFS($P$10:$P132, $C$10:$C132,"&lt;"&amp;$C133, $M$10:$M132,$D133&amp;"_"&amp;DE$9)/CS133)</f>
        <v>0</v>
      </c>
      <c r="DF133" s="263">
        <f ca="1">IF(CT133=0,0,SUMIFS($P$10:$P132, $C$10:$C132,"&lt;"&amp;$C133, $M$10:$M132,$D133&amp;"_"&amp;DF$9)/CT133)</f>
        <v>0</v>
      </c>
      <c r="DG133" s="310">
        <f ca="1">IF(CU133=0,0,SUMIFS($P$10:$P132, $C$10:$C132,"&lt;"&amp;$C133, $M$10:$M132,$D133&amp;"_"&amp;DG$9)/CU133)</f>
        <v>0</v>
      </c>
      <c r="DH133" s="263">
        <f ca="1">IF(CV133=0,0,SUMIFS($P$10:$P132, $C$10:$C132,"&lt;"&amp;$C133, $M$10:$M132,$D133&amp;"_"&amp;DH$9)/CV133)</f>
        <v>0</v>
      </c>
      <c r="DI133" s="263">
        <f ca="1">IF(CW133=0,0,SUMIFS($P$10:$P132, $C$10:$C132,"&lt;"&amp;$C133, $M$10:$M132,$D133&amp;"_"&amp;DI$9)/CW133)</f>
        <v>0</v>
      </c>
      <c r="DJ133" s="264">
        <f ca="1">IF(CX133=0,0,SUMIFS($P$10:$P132, $C$10:$C132,"&lt;"&amp;$C133, $M$10:$M132,$D133&amp;"_"&amp;DJ$9)/CX133)</f>
        <v>0</v>
      </c>
      <c r="DK133" s="264">
        <f ca="1">IF(CY133=0,0,SUMIFS($P$10:$P132, $C$10:$C132,"&lt;"&amp;$C133, $M$10:$M132,$D133&amp;"_"&amp;DK$9)/CY133)</f>
        <v>-1</v>
      </c>
      <c r="DM133" s="104"/>
      <c r="DN133" s="306">
        <f t="shared" ca="1" si="222"/>
        <v>-9999</v>
      </c>
      <c r="DO133" s="15">
        <f t="shared" ca="1" si="188"/>
        <v>-9999</v>
      </c>
      <c r="DP133" s="15">
        <f t="shared" ca="1" si="189"/>
        <v>-9999</v>
      </c>
      <c r="DQ133" s="15">
        <f t="shared" ca="1" si="190"/>
        <v>-9999</v>
      </c>
      <c r="DR133" s="15">
        <f t="shared" ca="1" si="191"/>
        <v>-9999</v>
      </c>
      <c r="DS133" s="15">
        <f t="shared" ca="1" si="192"/>
        <v>-9999</v>
      </c>
      <c r="DT133" s="15">
        <f t="shared" ca="1" si="193"/>
        <v>-9999</v>
      </c>
      <c r="DU133" s="15">
        <f t="shared" ca="1" si="194"/>
        <v>-9999</v>
      </c>
      <c r="DV133" s="52">
        <f t="shared" ca="1" si="195"/>
        <v>-9999</v>
      </c>
      <c r="DW133" s="313">
        <f t="shared" ca="1" si="196"/>
        <v>-0.91020031693343695</v>
      </c>
      <c r="DX133" s="52"/>
      <c r="DY133" s="402">
        <f t="shared" ca="1" si="223"/>
        <v>9</v>
      </c>
      <c r="ED133" s="19">
        <f t="shared" ca="1" si="241"/>
        <v>-1</v>
      </c>
      <c r="EE133" s="1">
        <f t="shared" ca="1" si="242"/>
        <v>1</v>
      </c>
      <c r="EF133" s="1">
        <f t="shared" ca="1" si="243"/>
        <v>-1</v>
      </c>
      <c r="EG133" s="2">
        <f t="shared" ca="1" si="244"/>
        <v>1</v>
      </c>
      <c r="EH133" s="1">
        <f t="shared" ca="1" si="245"/>
        <v>-1</v>
      </c>
      <c r="EI133" s="3">
        <f t="shared" ca="1" si="246"/>
        <v>1</v>
      </c>
      <c r="EJ133" s="1">
        <f t="shared" ca="1" si="247"/>
        <v>0</v>
      </c>
      <c r="EK133" s="1">
        <f t="shared" ca="1" si="248"/>
        <v>0</v>
      </c>
      <c r="EL133" s="20">
        <f t="shared" ca="1" si="249"/>
        <v>-1</v>
      </c>
      <c r="EN133" s="86">
        <f ca="1">MAX(0, SUMPRODUCT($ED133:$EL133,OFFSET(DNN!$E$9:$M$9,EN$9,0)) + OFFSET(DNN!$D$9,EN$9,0))</f>
        <v>0</v>
      </c>
      <c r="EO133" s="84">
        <f ca="1">MAX(0, SUMPRODUCT($ED133:$EL133,OFFSET(DNN!$E$9:$M$9,EO$9,0)) + OFFSET(DNN!$D$9,EO$9,0))</f>
        <v>7.2346022384755949E-3</v>
      </c>
      <c r="EP133" s="84">
        <f ca="1">MAX(0, SUMPRODUCT($ED133:$EL133,OFFSET(DNN!$E$9:$M$9,EP$9,0)) + OFFSET(DNN!$D$9,EP$9,0))</f>
        <v>3.6951849750035152E-3</v>
      </c>
      <c r="EQ133" s="84">
        <f ca="1">MAX(0, SUMPRODUCT($ED133:$EL133,OFFSET(DNN!$E$9:$M$9,EQ$9,0)) + OFFSET(DNN!$D$9,EQ$9,0))</f>
        <v>0</v>
      </c>
      <c r="ER133" s="85">
        <f ca="1">MAX(0, SUMPRODUCT($ED133:$EL133,OFFSET(DNN!$E$9:$M$9,ER$9,0)) + OFFSET(DNN!$D$9,ER$9,0))</f>
        <v>0</v>
      </c>
      <c r="ET133" s="86">
        <f ca="1">MAX(0, SUMPRODUCT($EN133:$ER133,OFFSET(DNN!$Q$9:$U$9,ET$9,0)) + OFFSET(DNN!$P$9,ET$9,0))</f>
        <v>4.3954959453478351E-4</v>
      </c>
      <c r="EU133" s="84">
        <f ca="1">MAX(0, SUMPRODUCT($EN133:$ER133,OFFSET(DNN!$Q$9:$U$9,EU$9,0)) + OFFSET(DNN!$P$9,EU$9,0))</f>
        <v>0</v>
      </c>
      <c r="EV133" s="84">
        <f ca="1">MAX(0, SUMPRODUCT($EN133:$ER133,OFFSET(DNN!$Q$9:$U$9,EV$9,0)) + OFFSET(DNN!$P$9,EV$9,0))</f>
        <v>1.2810123361902579E-3</v>
      </c>
      <c r="EW133" s="84">
        <f ca="1">MAX(0, SUMPRODUCT($EN133:$ER133,OFFSET(DNN!$Q$9:$U$9,EW$9,0)) + OFFSET(DNN!$P$9,EW$9,0))</f>
        <v>7.8382123007882457E-4</v>
      </c>
      <c r="EX133" s="85">
        <f ca="1">MAX(0, SUMPRODUCT($EN133:$ER133,OFFSET(DNN!$Q$9:$U$9,EX$9,0)) + OFFSET(DNN!$P$9,EX$9,0))</f>
        <v>0</v>
      </c>
      <c r="EZ133" s="111">
        <f ca="1">SUMPRODUCT($ET133:$EX133,OFFSET(DNN!$Y$9:$AC$9,EZ$9,0)) + OFFSET(DNN!$X$9,EZ$9,0)</f>
        <v>0.43031618918982212</v>
      </c>
      <c r="FA133" s="97">
        <f ca="1">SUMPRODUCT($ET133:$EX133,OFFSET(DNN!$Y$9:$AC$9,FA$9,0)) + OFFSET(DNN!$X$9,FA$9,0)</f>
        <v>-1.2643439935754107E-5</v>
      </c>
      <c r="FB133" s="97">
        <f ca="1">SUMPRODUCT($ET133:$EX133,OFFSET(DNN!$Y$9:$AC$9,FB$9,0)) + OFFSET(DNN!$X$9,FB$9,0)</f>
        <v>1.5239793458415756E-2</v>
      </c>
      <c r="FC133" s="97">
        <f ca="1">SUMPRODUCT($ET133:$EX133,OFFSET(DNN!$Y$9:$AC$9,FC$9,0)) + OFFSET(DNN!$X$9,FC$9,0)</f>
        <v>-8.8749521084055777E-4</v>
      </c>
      <c r="FD133" s="97">
        <f ca="1">SUMPRODUCT($ET133:$EX133,OFFSET(DNN!$Y$9:$AC$9,FD$9,0)) + OFFSET(DNN!$X$9,FD$9,0)</f>
        <v>-4.235816470721872E-4</v>
      </c>
      <c r="FE133" s="97">
        <f ca="1">SUMPRODUCT($ET133:$EX133,OFFSET(DNN!$Y$9:$AC$9,FE$9,0)) + OFFSET(DNN!$X$9,FE$9,0)</f>
        <v>-1.574182761064886E-5</v>
      </c>
      <c r="FF133" s="97">
        <f ca="1">SUMPRODUCT($ET133:$EX133,OFFSET(DNN!$Y$9:$AC$9,FF$9,0)) + OFFSET(DNN!$X$9,FF$9,0)</f>
        <v>-1.3491460223194656E-3</v>
      </c>
      <c r="FG133" s="97">
        <f ca="1">SUMPRODUCT($ET133:$EX133,OFFSET(DNN!$Y$9:$AC$9,FG$9,0)) + OFFSET(DNN!$X$9,FG$9,0)</f>
        <v>-6.2604808096248285E-2</v>
      </c>
      <c r="FH133" s="97">
        <f ca="1">SUMPRODUCT($ET133:$EX133,OFFSET(DNN!$Y$9:$AC$9,FH$9,0)) + OFFSET(DNN!$X$9,FH$9,0)</f>
        <v>8.6810016937029894E-4</v>
      </c>
      <c r="FI133" s="108">
        <f ca="1">SUMPRODUCT($ET133:$EX133,OFFSET(DNN!$Y$9:$AC$9,FI$9,0)) + OFFSET(DNN!$X$9,FI$9,0)</f>
        <v>-1.3182687612562751</v>
      </c>
      <c r="FJ133" s="98">
        <f ca="1">SUMPRODUCT($ET133:$EX133,OFFSET(DNN!$Y$9:$AC$9,FJ$9,0)) + OFFSET(DNN!$X$9,FJ$9,0)</f>
        <v>-2.2535161745939301E-5</v>
      </c>
      <c r="FL133" s="415">
        <f t="shared" ca="1" si="224"/>
        <v>0.43031618918982212</v>
      </c>
      <c r="FM133" s="130">
        <f t="shared" ca="1" si="225"/>
        <v>1</v>
      </c>
      <c r="FN133" s="131">
        <f t="shared" ca="1" si="226"/>
        <v>0.65029522127322903</v>
      </c>
      <c r="FO133" s="131">
        <f t="shared" ca="1" si="227"/>
        <v>0.66028983545318687</v>
      </c>
      <c r="FP133" s="131">
        <f t="shared" ca="1" si="228"/>
        <v>0.64972655813153501</v>
      </c>
      <c r="FQ133" s="131">
        <f t="shared" ca="1" si="229"/>
        <v>0.65002804502111444</v>
      </c>
      <c r="FR133" s="131">
        <f t="shared" ca="1" si="230"/>
        <v>0.65029320640965171</v>
      </c>
      <c r="FS133" s="131">
        <f t="shared" ca="1" si="231"/>
        <v>0.64942668056342145</v>
      </c>
      <c r="FT133" s="131">
        <f t="shared" ca="1" si="232"/>
        <v>0.61083952513994022</v>
      </c>
      <c r="FU133" s="132">
        <f t="shared" ca="1" si="233"/>
        <v>0.6508682169276182</v>
      </c>
      <c r="FV133" s="131">
        <f t="shared" ca="1" si="234"/>
        <v>0.17402001625314881</v>
      </c>
      <c r="FW133" s="83">
        <f t="shared" ca="1" si="235"/>
        <v>-2.2535161742124597E-5</v>
      </c>
    </row>
    <row r="134" spans="1:179">
      <c r="A134" s="19">
        <f t="shared" si="240"/>
        <v>124</v>
      </c>
      <c r="B134" s="1">
        <f t="shared" ca="1" si="236"/>
        <v>0</v>
      </c>
      <c r="C134" s="20">
        <f t="shared" ca="1" si="237"/>
        <v>124</v>
      </c>
      <c r="D134" s="19" t="str">
        <f t="shared" ca="1" si="238"/>
        <v>〇×〇×〇×--〇</v>
      </c>
      <c r="E134" s="7">
        <f t="shared" ca="1" si="206"/>
        <v>9</v>
      </c>
      <c r="F134" s="7">
        <f t="shared" ca="1" si="207"/>
        <v>1</v>
      </c>
      <c r="G134" s="1" t="str">
        <f t="shared" ca="1" si="250"/>
        <v>〇×〇×〇×--〇</v>
      </c>
      <c r="H134" s="20" t="b">
        <f t="shared" ca="1" si="251"/>
        <v>1</v>
      </c>
      <c r="I134" s="22">
        <f t="shared" ca="1" si="239"/>
        <v>-1</v>
      </c>
      <c r="J134" s="1" t="b">
        <f ca="1">(1&lt;COUNTIF(D$10:D134,D134))</f>
        <v>1</v>
      </c>
      <c r="K134" s="1" t="b">
        <f t="shared" ca="1" si="252"/>
        <v>1</v>
      </c>
      <c r="L134" s="7">
        <f ca="1">MATCH(TRUE,K134:K$1048576,FALSE)-1</f>
        <v>0</v>
      </c>
      <c r="M134" s="24" t="str">
        <f t="shared" ca="1" si="253"/>
        <v>〇×〇×〇×--〇_9</v>
      </c>
      <c r="N134" s="25">
        <f t="shared" ca="1" si="208"/>
        <v>-2.2535161742124597E-5</v>
      </c>
      <c r="O134" s="26">
        <f t="shared" ca="1" si="209"/>
        <v>-1</v>
      </c>
      <c r="P134" s="27">
        <f t="shared" ca="1" si="210"/>
        <v>-1</v>
      </c>
      <c r="R134" s="41" t="str">
        <f ca="1">VLOOKUP(S134,cvt!$B$2:$C$4,2,FALSE)&amp;VLOOKUP(T134,cvt!$B$2:$C$4,2,FALSE)&amp;VLOOKUP(U134,cvt!$B$2:$C$4,2,FALSE)
&amp;VLOOKUP(V134,cvt!$B$2:$C$4,2,FALSE)&amp;VLOOKUP(W134,cvt!$B$2:$C$4,2,FALSE)&amp;VLOOKUP(X134,cvt!$B$2:$C$4,2,FALSE)
&amp;VLOOKUP(Y134,cvt!$B$2:$C$4,2,FALSE)&amp;VLOOKUP(Z134,cvt!$B$2:$C$4,2,FALSE)&amp;VLOOKUP(AA134,cvt!$B$2:$C$4,2,FALSE)</f>
        <v>〇×〇×〇×--〇</v>
      </c>
      <c r="S134" s="7">
        <f ca="1">VLOOKUP(MID($D134,S$9+1,1), cvt!$A$2:$B$4,2, FALSE)</f>
        <v>1</v>
      </c>
      <c r="T134" s="7">
        <f ca="1">VLOOKUP(MID($D134,T$9+1,1), cvt!$A$2:$B$4,2, FALSE)</f>
        <v>-1</v>
      </c>
      <c r="U134" s="7">
        <f ca="1">VLOOKUP(MID($D134,U$9+1,1), cvt!$A$2:$B$4,2, FALSE)</f>
        <v>1</v>
      </c>
      <c r="V134" s="17">
        <f ca="1">VLOOKUP(MID($D134,V$9+1,1), cvt!$A$2:$B$4,2, FALSE)</f>
        <v>-1</v>
      </c>
      <c r="W134" s="7">
        <f ca="1">VLOOKUP(MID($D134,W$9+1,1), cvt!$A$2:$B$4,2, FALSE)</f>
        <v>1</v>
      </c>
      <c r="X134" s="18">
        <f ca="1">VLOOKUP(MID($D134,X$9+1,1), cvt!$A$2:$B$4,2, FALSE)</f>
        <v>-1</v>
      </c>
      <c r="Y134" s="7">
        <f ca="1">VLOOKUP(MID($D134,Y$9+1,1), cvt!$A$2:$B$4,2, FALSE)</f>
        <v>0</v>
      </c>
      <c r="Z134" s="7">
        <f ca="1">VLOOKUP(MID($D134,Z$9+1,1), cvt!$A$2:$B$4,2, FALSE)</f>
        <v>0</v>
      </c>
      <c r="AA134" s="42">
        <f ca="1">VLOOKUP(MID($D134,AA$9+1,1), cvt!$A$2:$B$4,2, FALSE)</f>
        <v>1</v>
      </c>
      <c r="AB134" s="7">
        <f t="shared" ca="1" si="211"/>
        <v>1</v>
      </c>
      <c r="AC134" s="50" t="b">
        <f t="shared" ca="1" si="212"/>
        <v>1</v>
      </c>
      <c r="AE134" s="19" t="str">
        <f ca="1">VLOOKUP(AF134,cvt!$B$2:$C$4,2,FALSE)&amp;VLOOKUP(AG134,cvt!$B$2:$C$4,2,FALSE)&amp;VLOOKUP(AH134,cvt!$B$2:$C$4,2,FALSE)
&amp;VLOOKUP(AI134,cvt!$B$2:$C$4,2,FALSE)&amp;VLOOKUP(AJ134,cvt!$B$2:$C$4,2,FALSE)&amp;VLOOKUP(AK134,cvt!$B$2:$C$4,2,FALSE)
&amp;VLOOKUP(AL134,cvt!$B$2:$C$4,2,FALSE)&amp;VLOOKUP(AM134,cvt!$B$2:$C$4,2,FALSE)&amp;VLOOKUP(AN134,cvt!$B$2:$C$4,2,FALSE)</f>
        <v>〇×〇×〇×--〇</v>
      </c>
      <c r="AF134" s="17">
        <f t="shared" ca="1" si="254"/>
        <v>1</v>
      </c>
      <c r="AG134" s="7">
        <f t="shared" ca="1" si="255"/>
        <v>-1</v>
      </c>
      <c r="AH134" s="7">
        <f t="shared" ca="1" si="256"/>
        <v>1</v>
      </c>
      <c r="AI134" s="17">
        <f t="shared" ca="1" si="257"/>
        <v>-1</v>
      </c>
      <c r="AJ134" s="7">
        <f t="shared" ca="1" si="258"/>
        <v>1</v>
      </c>
      <c r="AK134" s="18">
        <f t="shared" ca="1" si="259"/>
        <v>-1</v>
      </c>
      <c r="AL134" s="7">
        <f t="shared" ca="1" si="260"/>
        <v>0</v>
      </c>
      <c r="AM134" s="7">
        <f t="shared" ca="1" si="261"/>
        <v>0</v>
      </c>
      <c r="AN134" s="18">
        <f t="shared" ca="1" si="262"/>
        <v>1</v>
      </c>
      <c r="AO134" s="7">
        <f t="shared" ca="1" si="213"/>
        <v>1</v>
      </c>
      <c r="AP134" s="50" t="b">
        <f t="shared" ca="1" si="263"/>
        <v>1</v>
      </c>
      <c r="AS134" s="22">
        <f t="shared" ca="1" si="214"/>
        <v>0</v>
      </c>
      <c r="AT134" s="7">
        <f t="shared" ca="1" si="153"/>
        <v>0</v>
      </c>
      <c r="AU134" s="7">
        <f t="shared" ca="1" si="154"/>
        <v>0</v>
      </c>
      <c r="AV134" s="7">
        <f t="shared" ca="1" si="155"/>
        <v>0</v>
      </c>
      <c r="AW134" s="7">
        <f t="shared" ca="1" si="156"/>
        <v>0</v>
      </c>
      <c r="AX134" s="7">
        <f t="shared" ca="1" si="157"/>
        <v>0</v>
      </c>
      <c r="AY134" s="7">
        <f t="shared" ca="1" si="158"/>
        <v>0</v>
      </c>
      <c r="AZ134" s="7">
        <f t="shared" ca="1" si="159"/>
        <v>0</v>
      </c>
      <c r="BA134" s="18">
        <f t="shared" ca="1" si="160"/>
        <v>0</v>
      </c>
      <c r="BB134" s="295">
        <f t="shared" ca="1" si="215"/>
        <v>1</v>
      </c>
      <c r="BD134" s="132"/>
      <c r="BE134" s="297">
        <f t="shared" ca="1" si="216"/>
        <v>1</v>
      </c>
      <c r="BF134" s="298">
        <f t="shared" ca="1" si="161"/>
        <v>0.65029522127322903</v>
      </c>
      <c r="BG134" s="298">
        <f t="shared" ca="1" si="162"/>
        <v>0.66028983545318687</v>
      </c>
      <c r="BH134" s="318">
        <f t="shared" ca="1" si="163"/>
        <v>0.64972655813153501</v>
      </c>
      <c r="BI134" s="298">
        <f t="shared" ca="1" si="164"/>
        <v>0.65002804502111444</v>
      </c>
      <c r="BJ134" s="299">
        <f t="shared" ca="1" si="165"/>
        <v>0.65029320640965171</v>
      </c>
      <c r="BK134" s="298">
        <f t="shared" ca="1" si="166"/>
        <v>0.64942668056342145</v>
      </c>
      <c r="BL134" s="298">
        <f t="shared" ca="1" si="167"/>
        <v>0.61083952513994022</v>
      </c>
      <c r="BM134" s="299">
        <f t="shared" ca="1" si="168"/>
        <v>0.6508682169276182</v>
      </c>
      <c r="BN134" s="295">
        <f t="shared" ca="1" si="169"/>
        <v>0.17402001625314881</v>
      </c>
      <c r="BO134" s="248">
        <f t="shared" ca="1" si="217"/>
        <v>-2.2535161742124597E-5</v>
      </c>
      <c r="BQ134" s="304">
        <f t="shared" ca="1" si="218"/>
        <v>0.42412001625314877</v>
      </c>
      <c r="BR134" s="297">
        <f t="shared" ca="1" si="219"/>
        <v>0</v>
      </c>
      <c r="BS134" s="298">
        <f t="shared" ca="1" si="170"/>
        <v>0</v>
      </c>
      <c r="BT134" s="298">
        <f t="shared" ca="1" si="171"/>
        <v>0</v>
      </c>
      <c r="BU134" s="318">
        <f t="shared" ca="1" si="172"/>
        <v>0</v>
      </c>
      <c r="BV134" s="298">
        <f t="shared" ca="1" si="173"/>
        <v>0</v>
      </c>
      <c r="BW134" s="299">
        <f t="shared" ca="1" si="174"/>
        <v>0</v>
      </c>
      <c r="BX134" s="298">
        <f t="shared" ca="1" si="175"/>
        <v>0</v>
      </c>
      <c r="BY134" s="298">
        <f t="shared" ca="1" si="176"/>
        <v>0</v>
      </c>
      <c r="BZ134" s="298">
        <f t="shared" ca="1" si="177"/>
        <v>0</v>
      </c>
      <c r="CA134" s="315">
        <f t="shared" ca="1" si="178"/>
        <v>0.42412001625314877</v>
      </c>
      <c r="CC134" s="52"/>
      <c r="CD134" s="306">
        <f t="shared" ca="1" si="220"/>
        <v>0</v>
      </c>
      <c r="CE134" s="15">
        <f t="shared" ca="1" si="179"/>
        <v>0</v>
      </c>
      <c r="CF134" s="15">
        <f t="shared" ca="1" si="180"/>
        <v>0</v>
      </c>
      <c r="CG134" s="286">
        <f t="shared" ca="1" si="181"/>
        <v>0</v>
      </c>
      <c r="CH134" s="15">
        <f t="shared" ca="1" si="182"/>
        <v>0</v>
      </c>
      <c r="CI134" s="288">
        <f t="shared" ca="1" si="183"/>
        <v>0</v>
      </c>
      <c r="CJ134" s="15">
        <f t="shared" ca="1" si="184"/>
        <v>0</v>
      </c>
      <c r="CK134" s="15">
        <f t="shared" ca="1" si="185"/>
        <v>0</v>
      </c>
      <c r="CL134" s="15">
        <f t="shared" ca="1" si="186"/>
        <v>0</v>
      </c>
      <c r="CM134" s="313">
        <f t="shared" ca="1" si="187"/>
        <v>1</v>
      </c>
      <c r="CO134" s="320">
        <f t="shared" ca="1" si="221"/>
        <v>123</v>
      </c>
      <c r="CP134" s="22">
        <f ca="1">COUNTIFS($C$10:$C133,"&lt;"&amp;$C134,$M$10:$M133,$D134&amp;"_"&amp;CP$9)</f>
        <v>0</v>
      </c>
      <c r="CQ134" s="7">
        <f ca="1">COUNTIFS($C$10:$C133,"&lt;"&amp;$C134,$M$10:$M133,$D134&amp;"_"&amp;CQ$9)</f>
        <v>0</v>
      </c>
      <c r="CR134" s="7">
        <f ca="1">COUNTIFS($C$10:$C133,"&lt;"&amp;$C134,$M$10:$M133,$D134&amp;"_"&amp;CR$9)</f>
        <v>0</v>
      </c>
      <c r="CS134" s="17">
        <f ca="1">COUNTIFS($C$10:$C133,"&lt;"&amp;$C134,$M$10:$M133,$D134&amp;"_"&amp;CS$9)</f>
        <v>0</v>
      </c>
      <c r="CT134" s="7">
        <f ca="1">COUNTIFS($C$10:$C133,"&lt;"&amp;$C134,$M$10:$M133,$D134&amp;"_"&amp;CT$9)</f>
        <v>0</v>
      </c>
      <c r="CU134" s="18">
        <f ca="1">COUNTIFS($C$10:$C133,"&lt;"&amp;$C134,$M$10:$M133,$D134&amp;"_"&amp;CU$9)</f>
        <v>0</v>
      </c>
      <c r="CV134" s="7">
        <f ca="1">COUNTIFS($C$10:$C133,"&lt;"&amp;$C134,$M$10:$M133,$D134&amp;"_"&amp;CV$9)</f>
        <v>0</v>
      </c>
      <c r="CW134" s="7">
        <f ca="1">COUNTIFS($C$10:$C133,"&lt;"&amp;$C134,$M$10:$M133,$D134&amp;"_"&amp;CW$9)</f>
        <v>0</v>
      </c>
      <c r="CX134" s="7">
        <f ca="1">COUNTIFS($C$10:$C133,"&lt;"&amp;$C134,$M$10:$M133,$D134&amp;"_"&amp;CX$9)</f>
        <v>0</v>
      </c>
      <c r="CY134" s="221">
        <f ca="1">COUNTIFS($C$10:$C133,"&lt;"&amp;$C134,$M$10:$M133,$D134&amp;"_"&amp;CY$9)</f>
        <v>123</v>
      </c>
      <c r="DA134" s="20"/>
      <c r="DB134" s="308">
        <f ca="1">IF(CP134=0,0,SUMIFS($P$10:$P133, $C$10:$C133,"&lt;"&amp;$C134, $M$10:$M133,$D134&amp;"_"&amp;DB$9)/CP134)</f>
        <v>0</v>
      </c>
      <c r="DC134" s="263">
        <f ca="1">IF(CQ134=0,0,SUMIFS($P$10:$P133, $C$10:$C133,"&lt;"&amp;$C134, $M$10:$M133,$D134&amp;"_"&amp;DC$9)/CQ134)</f>
        <v>0</v>
      </c>
      <c r="DD134" s="263">
        <f ca="1">IF(CR134=0,0,SUMIFS($P$10:$P133, $C$10:$C133,"&lt;"&amp;$C134, $M$10:$M133,$D134&amp;"_"&amp;DD$9)/CR134)</f>
        <v>0</v>
      </c>
      <c r="DE134" s="262">
        <f ca="1">IF(CS134=0,0,SUMIFS($P$10:$P133, $C$10:$C133,"&lt;"&amp;$C134, $M$10:$M133,$D134&amp;"_"&amp;DE$9)/CS134)</f>
        <v>0</v>
      </c>
      <c r="DF134" s="263">
        <f ca="1">IF(CT134=0,0,SUMIFS($P$10:$P133, $C$10:$C133,"&lt;"&amp;$C134, $M$10:$M133,$D134&amp;"_"&amp;DF$9)/CT134)</f>
        <v>0</v>
      </c>
      <c r="DG134" s="310">
        <f ca="1">IF(CU134=0,0,SUMIFS($P$10:$P133, $C$10:$C133,"&lt;"&amp;$C134, $M$10:$M133,$D134&amp;"_"&amp;DG$9)/CU134)</f>
        <v>0</v>
      </c>
      <c r="DH134" s="263">
        <f ca="1">IF(CV134=0,0,SUMIFS($P$10:$P133, $C$10:$C133,"&lt;"&amp;$C134, $M$10:$M133,$D134&amp;"_"&amp;DH$9)/CV134)</f>
        <v>0</v>
      </c>
      <c r="DI134" s="263">
        <f ca="1">IF(CW134=0,0,SUMIFS($P$10:$P133, $C$10:$C133,"&lt;"&amp;$C134, $M$10:$M133,$D134&amp;"_"&amp;DI$9)/CW134)</f>
        <v>0</v>
      </c>
      <c r="DJ134" s="264">
        <f ca="1">IF(CX134=0,0,SUMIFS($P$10:$P133, $C$10:$C133,"&lt;"&amp;$C134, $M$10:$M133,$D134&amp;"_"&amp;DJ$9)/CX134)</f>
        <v>0</v>
      </c>
      <c r="DK134" s="264">
        <f ca="1">IF(CY134=0,0,SUMIFS($P$10:$P133, $C$10:$C133,"&lt;"&amp;$C134, $M$10:$M133,$D134&amp;"_"&amp;DK$9)/CY134)</f>
        <v>-1</v>
      </c>
      <c r="DM134" s="104"/>
      <c r="DN134" s="306">
        <f t="shared" ca="1" si="222"/>
        <v>-9999</v>
      </c>
      <c r="DO134" s="15">
        <f t="shared" ca="1" si="188"/>
        <v>-9999</v>
      </c>
      <c r="DP134" s="15">
        <f t="shared" ca="1" si="189"/>
        <v>-9999</v>
      </c>
      <c r="DQ134" s="15">
        <f t="shared" ca="1" si="190"/>
        <v>-9999</v>
      </c>
      <c r="DR134" s="15">
        <f t="shared" ca="1" si="191"/>
        <v>-9999</v>
      </c>
      <c r="DS134" s="15">
        <f t="shared" ca="1" si="192"/>
        <v>-9999</v>
      </c>
      <c r="DT134" s="15">
        <f t="shared" ca="1" si="193"/>
        <v>-9999</v>
      </c>
      <c r="DU134" s="15">
        <f t="shared" ca="1" si="194"/>
        <v>-9999</v>
      </c>
      <c r="DV134" s="52">
        <f t="shared" ca="1" si="195"/>
        <v>-9999</v>
      </c>
      <c r="DW134" s="313">
        <f t="shared" ca="1" si="196"/>
        <v>-0.91056018946444017</v>
      </c>
      <c r="DX134" s="52"/>
      <c r="DY134" s="402">
        <f t="shared" ca="1" si="223"/>
        <v>9</v>
      </c>
      <c r="ED134" s="19">
        <f t="shared" ca="1" si="241"/>
        <v>-1</v>
      </c>
      <c r="EE134" s="1">
        <f t="shared" ca="1" si="242"/>
        <v>1</v>
      </c>
      <c r="EF134" s="1">
        <f t="shared" ca="1" si="243"/>
        <v>-1</v>
      </c>
      <c r="EG134" s="2">
        <f t="shared" ca="1" si="244"/>
        <v>1</v>
      </c>
      <c r="EH134" s="1">
        <f t="shared" ca="1" si="245"/>
        <v>-1</v>
      </c>
      <c r="EI134" s="3">
        <f t="shared" ca="1" si="246"/>
        <v>1</v>
      </c>
      <c r="EJ134" s="1">
        <f t="shared" ca="1" si="247"/>
        <v>0</v>
      </c>
      <c r="EK134" s="1">
        <f t="shared" ca="1" si="248"/>
        <v>0</v>
      </c>
      <c r="EL134" s="20">
        <f t="shared" ca="1" si="249"/>
        <v>-1</v>
      </c>
      <c r="EN134" s="86">
        <f ca="1">MAX(0, SUMPRODUCT($ED134:$EL134,OFFSET(DNN!$E$9:$M$9,EN$9,0)) + OFFSET(DNN!$D$9,EN$9,0))</f>
        <v>0</v>
      </c>
      <c r="EO134" s="84">
        <f ca="1">MAX(0, SUMPRODUCT($ED134:$EL134,OFFSET(DNN!$E$9:$M$9,EO$9,0)) + OFFSET(DNN!$D$9,EO$9,0))</f>
        <v>7.2346022384755949E-3</v>
      </c>
      <c r="EP134" s="84">
        <f ca="1">MAX(0, SUMPRODUCT($ED134:$EL134,OFFSET(DNN!$E$9:$M$9,EP$9,0)) + OFFSET(DNN!$D$9,EP$9,0))</f>
        <v>3.6951849750035152E-3</v>
      </c>
      <c r="EQ134" s="84">
        <f ca="1">MAX(0, SUMPRODUCT($ED134:$EL134,OFFSET(DNN!$E$9:$M$9,EQ$9,0)) + OFFSET(DNN!$D$9,EQ$9,0))</f>
        <v>0</v>
      </c>
      <c r="ER134" s="85">
        <f ca="1">MAX(0, SUMPRODUCT($ED134:$EL134,OFFSET(DNN!$E$9:$M$9,ER$9,0)) + OFFSET(DNN!$D$9,ER$9,0))</f>
        <v>0</v>
      </c>
      <c r="ET134" s="86">
        <f ca="1">MAX(0, SUMPRODUCT($EN134:$ER134,OFFSET(DNN!$Q$9:$U$9,ET$9,0)) + OFFSET(DNN!$P$9,ET$9,0))</f>
        <v>4.3954959453478351E-4</v>
      </c>
      <c r="EU134" s="84">
        <f ca="1">MAX(0, SUMPRODUCT($EN134:$ER134,OFFSET(DNN!$Q$9:$U$9,EU$9,0)) + OFFSET(DNN!$P$9,EU$9,0))</f>
        <v>0</v>
      </c>
      <c r="EV134" s="84">
        <f ca="1">MAX(0, SUMPRODUCT($EN134:$ER134,OFFSET(DNN!$Q$9:$U$9,EV$9,0)) + OFFSET(DNN!$P$9,EV$9,0))</f>
        <v>1.2810123361902579E-3</v>
      </c>
      <c r="EW134" s="84">
        <f ca="1">MAX(0, SUMPRODUCT($EN134:$ER134,OFFSET(DNN!$Q$9:$U$9,EW$9,0)) + OFFSET(DNN!$P$9,EW$9,0))</f>
        <v>7.8382123007882457E-4</v>
      </c>
      <c r="EX134" s="85">
        <f ca="1">MAX(0, SUMPRODUCT($EN134:$ER134,OFFSET(DNN!$Q$9:$U$9,EX$9,0)) + OFFSET(DNN!$P$9,EX$9,0))</f>
        <v>0</v>
      </c>
      <c r="EZ134" s="111">
        <f ca="1">SUMPRODUCT($ET134:$EX134,OFFSET(DNN!$Y$9:$AC$9,EZ$9,0)) + OFFSET(DNN!$X$9,EZ$9,0)</f>
        <v>0.43031618918982212</v>
      </c>
      <c r="FA134" s="97">
        <f ca="1">SUMPRODUCT($ET134:$EX134,OFFSET(DNN!$Y$9:$AC$9,FA$9,0)) + OFFSET(DNN!$X$9,FA$9,0)</f>
        <v>-1.2643439935754107E-5</v>
      </c>
      <c r="FB134" s="97">
        <f ca="1">SUMPRODUCT($ET134:$EX134,OFFSET(DNN!$Y$9:$AC$9,FB$9,0)) + OFFSET(DNN!$X$9,FB$9,0)</f>
        <v>1.5239793458415756E-2</v>
      </c>
      <c r="FC134" s="97">
        <f ca="1">SUMPRODUCT($ET134:$EX134,OFFSET(DNN!$Y$9:$AC$9,FC$9,0)) + OFFSET(DNN!$X$9,FC$9,0)</f>
        <v>-8.8749521084055777E-4</v>
      </c>
      <c r="FD134" s="97">
        <f ca="1">SUMPRODUCT($ET134:$EX134,OFFSET(DNN!$Y$9:$AC$9,FD$9,0)) + OFFSET(DNN!$X$9,FD$9,0)</f>
        <v>-4.235816470721872E-4</v>
      </c>
      <c r="FE134" s="97">
        <f ca="1">SUMPRODUCT($ET134:$EX134,OFFSET(DNN!$Y$9:$AC$9,FE$9,0)) + OFFSET(DNN!$X$9,FE$9,0)</f>
        <v>-1.574182761064886E-5</v>
      </c>
      <c r="FF134" s="97">
        <f ca="1">SUMPRODUCT($ET134:$EX134,OFFSET(DNN!$Y$9:$AC$9,FF$9,0)) + OFFSET(DNN!$X$9,FF$9,0)</f>
        <v>-1.3491460223194656E-3</v>
      </c>
      <c r="FG134" s="97">
        <f ca="1">SUMPRODUCT($ET134:$EX134,OFFSET(DNN!$Y$9:$AC$9,FG$9,0)) + OFFSET(DNN!$X$9,FG$9,0)</f>
        <v>-6.2604808096248285E-2</v>
      </c>
      <c r="FH134" s="97">
        <f ca="1">SUMPRODUCT($ET134:$EX134,OFFSET(DNN!$Y$9:$AC$9,FH$9,0)) + OFFSET(DNN!$X$9,FH$9,0)</f>
        <v>8.6810016937029894E-4</v>
      </c>
      <c r="FI134" s="108">
        <f ca="1">SUMPRODUCT($ET134:$EX134,OFFSET(DNN!$Y$9:$AC$9,FI$9,0)) + OFFSET(DNN!$X$9,FI$9,0)</f>
        <v>-1.3182687612562751</v>
      </c>
      <c r="FJ134" s="98">
        <f ca="1">SUMPRODUCT($ET134:$EX134,OFFSET(DNN!$Y$9:$AC$9,FJ$9,0)) + OFFSET(DNN!$X$9,FJ$9,0)</f>
        <v>-2.2535161745939301E-5</v>
      </c>
      <c r="FL134" s="415">
        <f t="shared" ca="1" si="224"/>
        <v>0.43031618918982212</v>
      </c>
      <c r="FM134" s="130">
        <f t="shared" ca="1" si="225"/>
        <v>1</v>
      </c>
      <c r="FN134" s="131">
        <f t="shared" ca="1" si="226"/>
        <v>0.65029522127322903</v>
      </c>
      <c r="FO134" s="131">
        <f t="shared" ca="1" si="227"/>
        <v>0.66028983545318687</v>
      </c>
      <c r="FP134" s="131">
        <f t="shared" ca="1" si="228"/>
        <v>0.64972655813153501</v>
      </c>
      <c r="FQ134" s="131">
        <f t="shared" ca="1" si="229"/>
        <v>0.65002804502111444</v>
      </c>
      <c r="FR134" s="131">
        <f t="shared" ca="1" si="230"/>
        <v>0.65029320640965171</v>
      </c>
      <c r="FS134" s="131">
        <f t="shared" ca="1" si="231"/>
        <v>0.64942668056342145</v>
      </c>
      <c r="FT134" s="131">
        <f t="shared" ca="1" si="232"/>
        <v>0.61083952513994022</v>
      </c>
      <c r="FU134" s="132">
        <f t="shared" ca="1" si="233"/>
        <v>0.6508682169276182</v>
      </c>
      <c r="FV134" s="131">
        <f t="shared" ca="1" si="234"/>
        <v>0.17402001625314881</v>
      </c>
      <c r="FW134" s="83">
        <f t="shared" ca="1" si="235"/>
        <v>-2.2535161742124597E-5</v>
      </c>
    </row>
    <row r="135" spans="1:179">
      <c r="A135" s="19">
        <f t="shared" si="240"/>
        <v>125</v>
      </c>
      <c r="B135" s="1">
        <f t="shared" ca="1" si="236"/>
        <v>0</v>
      </c>
      <c r="C135" s="20">
        <f t="shared" ca="1" si="237"/>
        <v>125</v>
      </c>
      <c r="D135" s="19" t="str">
        <f t="shared" ca="1" si="238"/>
        <v>〇×〇×〇×--〇</v>
      </c>
      <c r="E135" s="7">
        <f t="shared" ca="1" si="206"/>
        <v>9</v>
      </c>
      <c r="F135" s="7">
        <f t="shared" ca="1" si="207"/>
        <v>1</v>
      </c>
      <c r="G135" s="1" t="str">
        <f t="shared" ca="1" si="250"/>
        <v>〇×〇×〇×--〇</v>
      </c>
      <c r="H135" s="20" t="b">
        <f t="shared" ca="1" si="251"/>
        <v>1</v>
      </c>
      <c r="I135" s="22">
        <f t="shared" ca="1" si="239"/>
        <v>-1</v>
      </c>
      <c r="J135" s="1" t="b">
        <f ca="1">(1&lt;COUNTIF(D$10:D135,D135))</f>
        <v>1</v>
      </c>
      <c r="K135" s="1" t="b">
        <f t="shared" ca="1" si="252"/>
        <v>1</v>
      </c>
      <c r="L135" s="7">
        <f ca="1">MATCH(TRUE,K135:K$1048576,FALSE)-1</f>
        <v>0</v>
      </c>
      <c r="M135" s="24" t="str">
        <f t="shared" ca="1" si="253"/>
        <v>〇×〇×〇×--〇_9</v>
      </c>
      <c r="N135" s="25">
        <f t="shared" ca="1" si="208"/>
        <v>-2.2535161742124597E-5</v>
      </c>
      <c r="O135" s="26">
        <f t="shared" ca="1" si="209"/>
        <v>-1</v>
      </c>
      <c r="P135" s="27">
        <f t="shared" ca="1" si="210"/>
        <v>-1</v>
      </c>
      <c r="R135" s="41" t="str">
        <f ca="1">VLOOKUP(S135,cvt!$B$2:$C$4,2,FALSE)&amp;VLOOKUP(T135,cvt!$B$2:$C$4,2,FALSE)&amp;VLOOKUP(U135,cvt!$B$2:$C$4,2,FALSE)
&amp;VLOOKUP(V135,cvt!$B$2:$C$4,2,FALSE)&amp;VLOOKUP(W135,cvt!$B$2:$C$4,2,FALSE)&amp;VLOOKUP(X135,cvt!$B$2:$C$4,2,FALSE)
&amp;VLOOKUP(Y135,cvt!$B$2:$C$4,2,FALSE)&amp;VLOOKUP(Z135,cvt!$B$2:$C$4,2,FALSE)&amp;VLOOKUP(AA135,cvt!$B$2:$C$4,2,FALSE)</f>
        <v>〇×〇×〇×--〇</v>
      </c>
      <c r="S135" s="7">
        <f ca="1">VLOOKUP(MID($D135,S$9+1,1), cvt!$A$2:$B$4,2, FALSE)</f>
        <v>1</v>
      </c>
      <c r="T135" s="7">
        <f ca="1">VLOOKUP(MID($D135,T$9+1,1), cvt!$A$2:$B$4,2, FALSE)</f>
        <v>-1</v>
      </c>
      <c r="U135" s="7">
        <f ca="1">VLOOKUP(MID($D135,U$9+1,1), cvt!$A$2:$B$4,2, FALSE)</f>
        <v>1</v>
      </c>
      <c r="V135" s="17">
        <f ca="1">VLOOKUP(MID($D135,V$9+1,1), cvt!$A$2:$B$4,2, FALSE)</f>
        <v>-1</v>
      </c>
      <c r="W135" s="7">
        <f ca="1">VLOOKUP(MID($D135,W$9+1,1), cvt!$A$2:$B$4,2, FALSE)</f>
        <v>1</v>
      </c>
      <c r="X135" s="18">
        <f ca="1">VLOOKUP(MID($D135,X$9+1,1), cvt!$A$2:$B$4,2, FALSE)</f>
        <v>-1</v>
      </c>
      <c r="Y135" s="7">
        <f ca="1">VLOOKUP(MID($D135,Y$9+1,1), cvt!$A$2:$B$4,2, FALSE)</f>
        <v>0</v>
      </c>
      <c r="Z135" s="7">
        <f ca="1">VLOOKUP(MID($D135,Z$9+1,1), cvt!$A$2:$B$4,2, FALSE)</f>
        <v>0</v>
      </c>
      <c r="AA135" s="42">
        <f ca="1">VLOOKUP(MID($D135,AA$9+1,1), cvt!$A$2:$B$4,2, FALSE)</f>
        <v>1</v>
      </c>
      <c r="AB135" s="7">
        <f t="shared" ca="1" si="211"/>
        <v>1</v>
      </c>
      <c r="AC135" s="50" t="b">
        <f t="shared" ca="1" si="212"/>
        <v>1</v>
      </c>
      <c r="AE135" s="19" t="str">
        <f ca="1">VLOOKUP(AF135,cvt!$B$2:$C$4,2,FALSE)&amp;VLOOKUP(AG135,cvt!$B$2:$C$4,2,FALSE)&amp;VLOOKUP(AH135,cvt!$B$2:$C$4,2,FALSE)
&amp;VLOOKUP(AI135,cvt!$B$2:$C$4,2,FALSE)&amp;VLOOKUP(AJ135,cvt!$B$2:$C$4,2,FALSE)&amp;VLOOKUP(AK135,cvt!$B$2:$C$4,2,FALSE)
&amp;VLOOKUP(AL135,cvt!$B$2:$C$4,2,FALSE)&amp;VLOOKUP(AM135,cvt!$B$2:$C$4,2,FALSE)&amp;VLOOKUP(AN135,cvt!$B$2:$C$4,2,FALSE)</f>
        <v>〇×〇×〇×--〇</v>
      </c>
      <c r="AF135" s="17">
        <f t="shared" ca="1" si="254"/>
        <v>1</v>
      </c>
      <c r="AG135" s="7">
        <f t="shared" ca="1" si="255"/>
        <v>-1</v>
      </c>
      <c r="AH135" s="7">
        <f t="shared" ca="1" si="256"/>
        <v>1</v>
      </c>
      <c r="AI135" s="17">
        <f t="shared" ca="1" si="257"/>
        <v>-1</v>
      </c>
      <c r="AJ135" s="7">
        <f t="shared" ca="1" si="258"/>
        <v>1</v>
      </c>
      <c r="AK135" s="18">
        <f t="shared" ca="1" si="259"/>
        <v>-1</v>
      </c>
      <c r="AL135" s="7">
        <f t="shared" ca="1" si="260"/>
        <v>0</v>
      </c>
      <c r="AM135" s="7">
        <f t="shared" ca="1" si="261"/>
        <v>0</v>
      </c>
      <c r="AN135" s="18">
        <f t="shared" ca="1" si="262"/>
        <v>1</v>
      </c>
      <c r="AO135" s="7">
        <f t="shared" ca="1" si="213"/>
        <v>1</v>
      </c>
      <c r="AP135" s="50" t="b">
        <f t="shared" ca="1" si="263"/>
        <v>1</v>
      </c>
      <c r="AS135" s="22">
        <f t="shared" ca="1" si="214"/>
        <v>0</v>
      </c>
      <c r="AT135" s="7">
        <f t="shared" ca="1" si="153"/>
        <v>0</v>
      </c>
      <c r="AU135" s="7">
        <f t="shared" ca="1" si="154"/>
        <v>0</v>
      </c>
      <c r="AV135" s="7">
        <f t="shared" ca="1" si="155"/>
        <v>0</v>
      </c>
      <c r="AW135" s="7">
        <f t="shared" ca="1" si="156"/>
        <v>0</v>
      </c>
      <c r="AX135" s="7">
        <f t="shared" ca="1" si="157"/>
        <v>0</v>
      </c>
      <c r="AY135" s="7">
        <f t="shared" ca="1" si="158"/>
        <v>0</v>
      </c>
      <c r="AZ135" s="7">
        <f t="shared" ca="1" si="159"/>
        <v>0</v>
      </c>
      <c r="BA135" s="18">
        <f t="shared" ca="1" si="160"/>
        <v>0</v>
      </c>
      <c r="BB135" s="295">
        <f t="shared" ca="1" si="215"/>
        <v>1</v>
      </c>
      <c r="BD135" s="132"/>
      <c r="BE135" s="297">
        <f t="shared" ca="1" si="216"/>
        <v>1</v>
      </c>
      <c r="BF135" s="298">
        <f t="shared" ca="1" si="161"/>
        <v>0.65029522127322903</v>
      </c>
      <c r="BG135" s="298">
        <f t="shared" ca="1" si="162"/>
        <v>0.66028983545318687</v>
      </c>
      <c r="BH135" s="318">
        <f t="shared" ca="1" si="163"/>
        <v>0.64972655813153501</v>
      </c>
      <c r="BI135" s="298">
        <f t="shared" ca="1" si="164"/>
        <v>0.65002804502111444</v>
      </c>
      <c r="BJ135" s="299">
        <f t="shared" ca="1" si="165"/>
        <v>0.65029320640965171</v>
      </c>
      <c r="BK135" s="298">
        <f t="shared" ca="1" si="166"/>
        <v>0.64942668056342145</v>
      </c>
      <c r="BL135" s="298">
        <f t="shared" ca="1" si="167"/>
        <v>0.61083952513994022</v>
      </c>
      <c r="BM135" s="299">
        <f t="shared" ca="1" si="168"/>
        <v>0.6508682169276182</v>
      </c>
      <c r="BN135" s="295">
        <f t="shared" ca="1" si="169"/>
        <v>0.17402001625314881</v>
      </c>
      <c r="BO135" s="248">
        <f t="shared" ca="1" si="217"/>
        <v>-2.2535161742124597E-5</v>
      </c>
      <c r="BQ135" s="304">
        <f t="shared" ca="1" si="218"/>
        <v>0.1741200162531488</v>
      </c>
      <c r="BR135" s="297">
        <f t="shared" ca="1" si="219"/>
        <v>0</v>
      </c>
      <c r="BS135" s="298">
        <f t="shared" ca="1" si="170"/>
        <v>0</v>
      </c>
      <c r="BT135" s="298">
        <f t="shared" ca="1" si="171"/>
        <v>0</v>
      </c>
      <c r="BU135" s="318">
        <f t="shared" ca="1" si="172"/>
        <v>0</v>
      </c>
      <c r="BV135" s="298">
        <f t="shared" ca="1" si="173"/>
        <v>0</v>
      </c>
      <c r="BW135" s="299">
        <f t="shared" ca="1" si="174"/>
        <v>0</v>
      </c>
      <c r="BX135" s="298">
        <f t="shared" ca="1" si="175"/>
        <v>0</v>
      </c>
      <c r="BY135" s="298">
        <f t="shared" ca="1" si="176"/>
        <v>0</v>
      </c>
      <c r="BZ135" s="298">
        <f t="shared" ca="1" si="177"/>
        <v>0</v>
      </c>
      <c r="CA135" s="315">
        <f t="shared" ca="1" si="178"/>
        <v>0.1741200162531488</v>
      </c>
      <c r="CC135" s="52"/>
      <c r="CD135" s="306">
        <f t="shared" ca="1" si="220"/>
        <v>0</v>
      </c>
      <c r="CE135" s="15">
        <f t="shared" ca="1" si="179"/>
        <v>0</v>
      </c>
      <c r="CF135" s="15">
        <f t="shared" ca="1" si="180"/>
        <v>0</v>
      </c>
      <c r="CG135" s="286">
        <f t="shared" ca="1" si="181"/>
        <v>0</v>
      </c>
      <c r="CH135" s="15">
        <f t="shared" ca="1" si="182"/>
        <v>0</v>
      </c>
      <c r="CI135" s="288">
        <f t="shared" ca="1" si="183"/>
        <v>0</v>
      </c>
      <c r="CJ135" s="15">
        <f t="shared" ca="1" si="184"/>
        <v>0</v>
      </c>
      <c r="CK135" s="15">
        <f t="shared" ca="1" si="185"/>
        <v>0</v>
      </c>
      <c r="CL135" s="15">
        <f t="shared" ca="1" si="186"/>
        <v>0</v>
      </c>
      <c r="CM135" s="313">
        <f t="shared" ca="1" si="187"/>
        <v>1</v>
      </c>
      <c r="CO135" s="320">
        <f t="shared" ca="1" si="221"/>
        <v>124</v>
      </c>
      <c r="CP135" s="22">
        <f ca="1">COUNTIFS($C$10:$C134,"&lt;"&amp;$C135,$M$10:$M134,$D135&amp;"_"&amp;CP$9)</f>
        <v>0</v>
      </c>
      <c r="CQ135" s="7">
        <f ca="1">COUNTIFS($C$10:$C134,"&lt;"&amp;$C135,$M$10:$M134,$D135&amp;"_"&amp;CQ$9)</f>
        <v>0</v>
      </c>
      <c r="CR135" s="7">
        <f ca="1">COUNTIFS($C$10:$C134,"&lt;"&amp;$C135,$M$10:$M134,$D135&amp;"_"&amp;CR$9)</f>
        <v>0</v>
      </c>
      <c r="CS135" s="17">
        <f ca="1">COUNTIFS($C$10:$C134,"&lt;"&amp;$C135,$M$10:$M134,$D135&amp;"_"&amp;CS$9)</f>
        <v>0</v>
      </c>
      <c r="CT135" s="7">
        <f ca="1">COUNTIFS($C$10:$C134,"&lt;"&amp;$C135,$M$10:$M134,$D135&amp;"_"&amp;CT$9)</f>
        <v>0</v>
      </c>
      <c r="CU135" s="18">
        <f ca="1">COUNTIFS($C$10:$C134,"&lt;"&amp;$C135,$M$10:$M134,$D135&amp;"_"&amp;CU$9)</f>
        <v>0</v>
      </c>
      <c r="CV135" s="7">
        <f ca="1">COUNTIFS($C$10:$C134,"&lt;"&amp;$C135,$M$10:$M134,$D135&amp;"_"&amp;CV$9)</f>
        <v>0</v>
      </c>
      <c r="CW135" s="7">
        <f ca="1">COUNTIFS($C$10:$C134,"&lt;"&amp;$C135,$M$10:$M134,$D135&amp;"_"&amp;CW$9)</f>
        <v>0</v>
      </c>
      <c r="CX135" s="7">
        <f ca="1">COUNTIFS($C$10:$C134,"&lt;"&amp;$C135,$M$10:$M134,$D135&amp;"_"&amp;CX$9)</f>
        <v>0</v>
      </c>
      <c r="CY135" s="221">
        <f ca="1">COUNTIFS($C$10:$C134,"&lt;"&amp;$C135,$M$10:$M134,$D135&amp;"_"&amp;CY$9)</f>
        <v>124</v>
      </c>
      <c r="DA135" s="20"/>
      <c r="DB135" s="308">
        <f ca="1">IF(CP135=0,0,SUMIFS($P$10:$P134, $C$10:$C134,"&lt;"&amp;$C135, $M$10:$M134,$D135&amp;"_"&amp;DB$9)/CP135)</f>
        <v>0</v>
      </c>
      <c r="DC135" s="263">
        <f ca="1">IF(CQ135=0,0,SUMIFS($P$10:$P134, $C$10:$C134,"&lt;"&amp;$C135, $M$10:$M134,$D135&amp;"_"&amp;DC$9)/CQ135)</f>
        <v>0</v>
      </c>
      <c r="DD135" s="263">
        <f ca="1">IF(CR135=0,0,SUMIFS($P$10:$P134, $C$10:$C134,"&lt;"&amp;$C135, $M$10:$M134,$D135&amp;"_"&amp;DD$9)/CR135)</f>
        <v>0</v>
      </c>
      <c r="DE135" s="262">
        <f ca="1">IF(CS135=0,0,SUMIFS($P$10:$P134, $C$10:$C134,"&lt;"&amp;$C135, $M$10:$M134,$D135&amp;"_"&amp;DE$9)/CS135)</f>
        <v>0</v>
      </c>
      <c r="DF135" s="263">
        <f ca="1">IF(CT135=0,0,SUMIFS($P$10:$P134, $C$10:$C134,"&lt;"&amp;$C135, $M$10:$M134,$D135&amp;"_"&amp;DF$9)/CT135)</f>
        <v>0</v>
      </c>
      <c r="DG135" s="310">
        <f ca="1">IF(CU135=0,0,SUMIFS($P$10:$P134, $C$10:$C134,"&lt;"&amp;$C135, $M$10:$M134,$D135&amp;"_"&amp;DG$9)/CU135)</f>
        <v>0</v>
      </c>
      <c r="DH135" s="263">
        <f ca="1">IF(CV135=0,0,SUMIFS($P$10:$P134, $C$10:$C134,"&lt;"&amp;$C135, $M$10:$M134,$D135&amp;"_"&amp;DH$9)/CV135)</f>
        <v>0</v>
      </c>
      <c r="DI135" s="263">
        <f ca="1">IF(CW135=0,0,SUMIFS($P$10:$P134, $C$10:$C134,"&lt;"&amp;$C135, $M$10:$M134,$D135&amp;"_"&amp;DI$9)/CW135)</f>
        <v>0</v>
      </c>
      <c r="DJ135" s="264">
        <f ca="1">IF(CX135=0,0,SUMIFS($P$10:$P134, $C$10:$C134,"&lt;"&amp;$C135, $M$10:$M134,$D135&amp;"_"&amp;DJ$9)/CX135)</f>
        <v>0</v>
      </c>
      <c r="DK135" s="264">
        <f ca="1">IF(CY135=0,0,SUMIFS($P$10:$P134, $C$10:$C134,"&lt;"&amp;$C135, $M$10:$M134,$D135&amp;"_"&amp;DK$9)/CY135)</f>
        <v>-1</v>
      </c>
      <c r="DM135" s="104"/>
      <c r="DN135" s="306">
        <f t="shared" ca="1" si="222"/>
        <v>-9999</v>
      </c>
      <c r="DO135" s="15">
        <f t="shared" ca="1" si="188"/>
        <v>-9999</v>
      </c>
      <c r="DP135" s="15">
        <f t="shared" ca="1" si="189"/>
        <v>-9999</v>
      </c>
      <c r="DQ135" s="15">
        <f t="shared" ca="1" si="190"/>
        <v>-9999</v>
      </c>
      <c r="DR135" s="15">
        <f t="shared" ca="1" si="191"/>
        <v>-9999</v>
      </c>
      <c r="DS135" s="15">
        <f t="shared" ca="1" si="192"/>
        <v>-9999</v>
      </c>
      <c r="DT135" s="15">
        <f t="shared" ca="1" si="193"/>
        <v>-9999</v>
      </c>
      <c r="DU135" s="15">
        <f t="shared" ca="1" si="194"/>
        <v>-9999</v>
      </c>
      <c r="DV135" s="52">
        <f t="shared" ca="1" si="195"/>
        <v>-9999</v>
      </c>
      <c r="DW135" s="313">
        <f t="shared" ca="1" si="196"/>
        <v>-0.9109157701947197</v>
      </c>
      <c r="DX135" s="52"/>
      <c r="DY135" s="402">
        <f t="shared" ca="1" si="223"/>
        <v>9</v>
      </c>
      <c r="ED135" s="19">
        <f t="shared" ca="1" si="241"/>
        <v>-1</v>
      </c>
      <c r="EE135" s="1">
        <f t="shared" ca="1" si="242"/>
        <v>1</v>
      </c>
      <c r="EF135" s="1">
        <f t="shared" ca="1" si="243"/>
        <v>-1</v>
      </c>
      <c r="EG135" s="2">
        <f t="shared" ca="1" si="244"/>
        <v>1</v>
      </c>
      <c r="EH135" s="1">
        <f t="shared" ca="1" si="245"/>
        <v>-1</v>
      </c>
      <c r="EI135" s="3">
        <f t="shared" ca="1" si="246"/>
        <v>1</v>
      </c>
      <c r="EJ135" s="1">
        <f t="shared" ca="1" si="247"/>
        <v>0</v>
      </c>
      <c r="EK135" s="1">
        <f t="shared" ca="1" si="248"/>
        <v>0</v>
      </c>
      <c r="EL135" s="20">
        <f t="shared" ca="1" si="249"/>
        <v>-1</v>
      </c>
      <c r="EN135" s="86">
        <f ca="1">MAX(0, SUMPRODUCT($ED135:$EL135,OFFSET(DNN!$E$9:$M$9,EN$9,0)) + OFFSET(DNN!$D$9,EN$9,0))</f>
        <v>0</v>
      </c>
      <c r="EO135" s="84">
        <f ca="1">MAX(0, SUMPRODUCT($ED135:$EL135,OFFSET(DNN!$E$9:$M$9,EO$9,0)) + OFFSET(DNN!$D$9,EO$9,0))</f>
        <v>7.2346022384755949E-3</v>
      </c>
      <c r="EP135" s="84">
        <f ca="1">MAX(0, SUMPRODUCT($ED135:$EL135,OFFSET(DNN!$E$9:$M$9,EP$9,0)) + OFFSET(DNN!$D$9,EP$9,0))</f>
        <v>3.6951849750035152E-3</v>
      </c>
      <c r="EQ135" s="84">
        <f ca="1">MAX(0, SUMPRODUCT($ED135:$EL135,OFFSET(DNN!$E$9:$M$9,EQ$9,0)) + OFFSET(DNN!$D$9,EQ$9,0))</f>
        <v>0</v>
      </c>
      <c r="ER135" s="85">
        <f ca="1">MAX(0, SUMPRODUCT($ED135:$EL135,OFFSET(DNN!$E$9:$M$9,ER$9,0)) + OFFSET(DNN!$D$9,ER$9,0))</f>
        <v>0</v>
      </c>
      <c r="ET135" s="86">
        <f ca="1">MAX(0, SUMPRODUCT($EN135:$ER135,OFFSET(DNN!$Q$9:$U$9,ET$9,0)) + OFFSET(DNN!$P$9,ET$9,0))</f>
        <v>4.3954959453478351E-4</v>
      </c>
      <c r="EU135" s="84">
        <f ca="1">MAX(0, SUMPRODUCT($EN135:$ER135,OFFSET(DNN!$Q$9:$U$9,EU$9,0)) + OFFSET(DNN!$P$9,EU$9,0))</f>
        <v>0</v>
      </c>
      <c r="EV135" s="84">
        <f ca="1">MAX(0, SUMPRODUCT($EN135:$ER135,OFFSET(DNN!$Q$9:$U$9,EV$9,0)) + OFFSET(DNN!$P$9,EV$9,0))</f>
        <v>1.2810123361902579E-3</v>
      </c>
      <c r="EW135" s="84">
        <f ca="1">MAX(0, SUMPRODUCT($EN135:$ER135,OFFSET(DNN!$Q$9:$U$9,EW$9,0)) + OFFSET(DNN!$P$9,EW$9,0))</f>
        <v>7.8382123007882457E-4</v>
      </c>
      <c r="EX135" s="85">
        <f ca="1">MAX(0, SUMPRODUCT($EN135:$ER135,OFFSET(DNN!$Q$9:$U$9,EX$9,0)) + OFFSET(DNN!$P$9,EX$9,0))</f>
        <v>0</v>
      </c>
      <c r="EZ135" s="111">
        <f ca="1">SUMPRODUCT($ET135:$EX135,OFFSET(DNN!$Y$9:$AC$9,EZ$9,0)) + OFFSET(DNN!$X$9,EZ$9,0)</f>
        <v>0.43031618918982212</v>
      </c>
      <c r="FA135" s="97">
        <f ca="1">SUMPRODUCT($ET135:$EX135,OFFSET(DNN!$Y$9:$AC$9,FA$9,0)) + OFFSET(DNN!$X$9,FA$9,0)</f>
        <v>-1.2643439935754107E-5</v>
      </c>
      <c r="FB135" s="97">
        <f ca="1">SUMPRODUCT($ET135:$EX135,OFFSET(DNN!$Y$9:$AC$9,FB$9,0)) + OFFSET(DNN!$X$9,FB$9,0)</f>
        <v>1.5239793458415756E-2</v>
      </c>
      <c r="FC135" s="97">
        <f ca="1">SUMPRODUCT($ET135:$EX135,OFFSET(DNN!$Y$9:$AC$9,FC$9,0)) + OFFSET(DNN!$X$9,FC$9,0)</f>
        <v>-8.8749521084055777E-4</v>
      </c>
      <c r="FD135" s="97">
        <f ca="1">SUMPRODUCT($ET135:$EX135,OFFSET(DNN!$Y$9:$AC$9,FD$9,0)) + OFFSET(DNN!$X$9,FD$9,0)</f>
        <v>-4.235816470721872E-4</v>
      </c>
      <c r="FE135" s="97">
        <f ca="1">SUMPRODUCT($ET135:$EX135,OFFSET(DNN!$Y$9:$AC$9,FE$9,0)) + OFFSET(DNN!$X$9,FE$9,0)</f>
        <v>-1.574182761064886E-5</v>
      </c>
      <c r="FF135" s="97">
        <f ca="1">SUMPRODUCT($ET135:$EX135,OFFSET(DNN!$Y$9:$AC$9,FF$9,0)) + OFFSET(DNN!$X$9,FF$9,0)</f>
        <v>-1.3491460223194656E-3</v>
      </c>
      <c r="FG135" s="97">
        <f ca="1">SUMPRODUCT($ET135:$EX135,OFFSET(DNN!$Y$9:$AC$9,FG$9,0)) + OFFSET(DNN!$X$9,FG$9,0)</f>
        <v>-6.2604808096248285E-2</v>
      </c>
      <c r="FH135" s="97">
        <f ca="1">SUMPRODUCT($ET135:$EX135,OFFSET(DNN!$Y$9:$AC$9,FH$9,0)) + OFFSET(DNN!$X$9,FH$9,0)</f>
        <v>8.6810016937029894E-4</v>
      </c>
      <c r="FI135" s="108">
        <f ca="1">SUMPRODUCT($ET135:$EX135,OFFSET(DNN!$Y$9:$AC$9,FI$9,0)) + OFFSET(DNN!$X$9,FI$9,0)</f>
        <v>-1.3182687612562751</v>
      </c>
      <c r="FJ135" s="98">
        <f ca="1">SUMPRODUCT($ET135:$EX135,OFFSET(DNN!$Y$9:$AC$9,FJ$9,0)) + OFFSET(DNN!$X$9,FJ$9,0)</f>
        <v>-2.2535161745939301E-5</v>
      </c>
      <c r="FL135" s="415">
        <f t="shared" ca="1" si="224"/>
        <v>0.43031618918982212</v>
      </c>
      <c r="FM135" s="130">
        <f t="shared" ca="1" si="225"/>
        <v>1</v>
      </c>
      <c r="FN135" s="131">
        <f t="shared" ca="1" si="226"/>
        <v>0.65029522127322903</v>
      </c>
      <c r="FO135" s="131">
        <f t="shared" ca="1" si="227"/>
        <v>0.66028983545318687</v>
      </c>
      <c r="FP135" s="131">
        <f t="shared" ca="1" si="228"/>
        <v>0.64972655813153501</v>
      </c>
      <c r="FQ135" s="131">
        <f t="shared" ca="1" si="229"/>
        <v>0.65002804502111444</v>
      </c>
      <c r="FR135" s="131">
        <f t="shared" ca="1" si="230"/>
        <v>0.65029320640965171</v>
      </c>
      <c r="FS135" s="131">
        <f t="shared" ca="1" si="231"/>
        <v>0.64942668056342145</v>
      </c>
      <c r="FT135" s="131">
        <f t="shared" ca="1" si="232"/>
        <v>0.61083952513994022</v>
      </c>
      <c r="FU135" s="132">
        <f t="shared" ca="1" si="233"/>
        <v>0.6508682169276182</v>
      </c>
      <c r="FV135" s="131">
        <f t="shared" ca="1" si="234"/>
        <v>0.17402001625314881</v>
      </c>
      <c r="FW135" s="83">
        <f t="shared" ca="1" si="235"/>
        <v>-2.2535161742124597E-5</v>
      </c>
    </row>
    <row r="136" spans="1:179">
      <c r="A136" s="19">
        <f t="shared" si="240"/>
        <v>126</v>
      </c>
      <c r="B136" s="1">
        <f t="shared" ca="1" si="236"/>
        <v>0</v>
      </c>
      <c r="C136" s="20">
        <f t="shared" ca="1" si="237"/>
        <v>126</v>
      </c>
      <c r="D136" s="19" t="str">
        <f t="shared" ca="1" si="238"/>
        <v>〇×〇×〇×--〇</v>
      </c>
      <c r="E136" s="7">
        <f t="shared" ca="1" si="206"/>
        <v>9</v>
      </c>
      <c r="F136" s="7">
        <f t="shared" ca="1" si="207"/>
        <v>1</v>
      </c>
      <c r="G136" s="1" t="str">
        <f t="shared" ca="1" si="250"/>
        <v>〇×〇×〇×--〇</v>
      </c>
      <c r="H136" s="20" t="b">
        <f t="shared" ca="1" si="251"/>
        <v>1</v>
      </c>
      <c r="I136" s="22">
        <f t="shared" ca="1" si="239"/>
        <v>-1</v>
      </c>
      <c r="J136" s="1" t="b">
        <f ca="1">(1&lt;COUNTIF(D$10:D136,D136))</f>
        <v>1</v>
      </c>
      <c r="K136" s="1" t="b">
        <f t="shared" ca="1" si="252"/>
        <v>1</v>
      </c>
      <c r="L136" s="7">
        <f ca="1">MATCH(TRUE,K136:K$1048576,FALSE)-1</f>
        <v>0</v>
      </c>
      <c r="M136" s="24" t="str">
        <f t="shared" ca="1" si="253"/>
        <v>〇×〇×〇×--〇_9</v>
      </c>
      <c r="N136" s="25">
        <f t="shared" ca="1" si="208"/>
        <v>-2.2535161742124597E-5</v>
      </c>
      <c r="O136" s="26">
        <f t="shared" ca="1" si="209"/>
        <v>-1</v>
      </c>
      <c r="P136" s="27">
        <f t="shared" ca="1" si="210"/>
        <v>-1</v>
      </c>
      <c r="R136" s="41" t="str">
        <f ca="1">VLOOKUP(S136,cvt!$B$2:$C$4,2,FALSE)&amp;VLOOKUP(T136,cvt!$B$2:$C$4,2,FALSE)&amp;VLOOKUP(U136,cvt!$B$2:$C$4,2,FALSE)
&amp;VLOOKUP(V136,cvt!$B$2:$C$4,2,FALSE)&amp;VLOOKUP(W136,cvt!$B$2:$C$4,2,FALSE)&amp;VLOOKUP(X136,cvt!$B$2:$C$4,2,FALSE)
&amp;VLOOKUP(Y136,cvt!$B$2:$C$4,2,FALSE)&amp;VLOOKUP(Z136,cvt!$B$2:$C$4,2,FALSE)&amp;VLOOKUP(AA136,cvt!$B$2:$C$4,2,FALSE)</f>
        <v>〇×〇×〇×--〇</v>
      </c>
      <c r="S136" s="7">
        <f ca="1">VLOOKUP(MID($D136,S$9+1,1), cvt!$A$2:$B$4,2, FALSE)</f>
        <v>1</v>
      </c>
      <c r="T136" s="7">
        <f ca="1">VLOOKUP(MID($D136,T$9+1,1), cvt!$A$2:$B$4,2, FALSE)</f>
        <v>-1</v>
      </c>
      <c r="U136" s="7">
        <f ca="1">VLOOKUP(MID($D136,U$9+1,1), cvt!$A$2:$B$4,2, FALSE)</f>
        <v>1</v>
      </c>
      <c r="V136" s="17">
        <f ca="1">VLOOKUP(MID($D136,V$9+1,1), cvt!$A$2:$B$4,2, FALSE)</f>
        <v>-1</v>
      </c>
      <c r="W136" s="7">
        <f ca="1">VLOOKUP(MID($D136,W$9+1,1), cvt!$A$2:$B$4,2, FALSE)</f>
        <v>1</v>
      </c>
      <c r="X136" s="18">
        <f ca="1">VLOOKUP(MID($D136,X$9+1,1), cvt!$A$2:$B$4,2, FALSE)</f>
        <v>-1</v>
      </c>
      <c r="Y136" s="7">
        <f ca="1">VLOOKUP(MID($D136,Y$9+1,1), cvt!$A$2:$B$4,2, FALSE)</f>
        <v>0</v>
      </c>
      <c r="Z136" s="7">
        <f ca="1">VLOOKUP(MID($D136,Z$9+1,1), cvt!$A$2:$B$4,2, FALSE)</f>
        <v>0</v>
      </c>
      <c r="AA136" s="42">
        <f ca="1">VLOOKUP(MID($D136,AA$9+1,1), cvt!$A$2:$B$4,2, FALSE)</f>
        <v>1</v>
      </c>
      <c r="AB136" s="7">
        <f t="shared" ca="1" si="211"/>
        <v>1</v>
      </c>
      <c r="AC136" s="50" t="b">
        <f t="shared" ca="1" si="212"/>
        <v>1</v>
      </c>
      <c r="AE136" s="19" t="str">
        <f ca="1">VLOOKUP(AF136,cvt!$B$2:$C$4,2,FALSE)&amp;VLOOKUP(AG136,cvt!$B$2:$C$4,2,FALSE)&amp;VLOOKUP(AH136,cvt!$B$2:$C$4,2,FALSE)
&amp;VLOOKUP(AI136,cvt!$B$2:$C$4,2,FALSE)&amp;VLOOKUP(AJ136,cvt!$B$2:$C$4,2,FALSE)&amp;VLOOKUP(AK136,cvt!$B$2:$C$4,2,FALSE)
&amp;VLOOKUP(AL136,cvt!$B$2:$C$4,2,FALSE)&amp;VLOOKUP(AM136,cvt!$B$2:$C$4,2,FALSE)&amp;VLOOKUP(AN136,cvt!$B$2:$C$4,2,FALSE)</f>
        <v>〇×〇×〇×--〇</v>
      </c>
      <c r="AF136" s="17">
        <f t="shared" ca="1" si="254"/>
        <v>1</v>
      </c>
      <c r="AG136" s="7">
        <f t="shared" ca="1" si="255"/>
        <v>-1</v>
      </c>
      <c r="AH136" s="7">
        <f t="shared" ca="1" si="256"/>
        <v>1</v>
      </c>
      <c r="AI136" s="17">
        <f t="shared" ca="1" si="257"/>
        <v>-1</v>
      </c>
      <c r="AJ136" s="7">
        <f t="shared" ca="1" si="258"/>
        <v>1</v>
      </c>
      <c r="AK136" s="18">
        <f t="shared" ca="1" si="259"/>
        <v>-1</v>
      </c>
      <c r="AL136" s="7">
        <f t="shared" ca="1" si="260"/>
        <v>0</v>
      </c>
      <c r="AM136" s="7">
        <f t="shared" ca="1" si="261"/>
        <v>0</v>
      </c>
      <c r="AN136" s="18">
        <f t="shared" ca="1" si="262"/>
        <v>1</v>
      </c>
      <c r="AO136" s="7">
        <f t="shared" ca="1" si="213"/>
        <v>1</v>
      </c>
      <c r="AP136" s="50" t="b">
        <f t="shared" ca="1" si="263"/>
        <v>1</v>
      </c>
      <c r="AS136" s="22">
        <f t="shared" ca="1" si="214"/>
        <v>0</v>
      </c>
      <c r="AT136" s="7">
        <f t="shared" ca="1" si="153"/>
        <v>0</v>
      </c>
      <c r="AU136" s="7">
        <f t="shared" ca="1" si="154"/>
        <v>0</v>
      </c>
      <c r="AV136" s="7">
        <f t="shared" ca="1" si="155"/>
        <v>0</v>
      </c>
      <c r="AW136" s="7">
        <f t="shared" ca="1" si="156"/>
        <v>0</v>
      </c>
      <c r="AX136" s="7">
        <f t="shared" ca="1" si="157"/>
        <v>0</v>
      </c>
      <c r="AY136" s="7">
        <f t="shared" ca="1" si="158"/>
        <v>0</v>
      </c>
      <c r="AZ136" s="7">
        <f t="shared" ca="1" si="159"/>
        <v>0</v>
      </c>
      <c r="BA136" s="18">
        <f t="shared" ca="1" si="160"/>
        <v>0</v>
      </c>
      <c r="BB136" s="295">
        <f t="shared" ca="1" si="215"/>
        <v>1</v>
      </c>
      <c r="BD136" s="132"/>
      <c r="BE136" s="297">
        <f t="shared" ca="1" si="216"/>
        <v>1</v>
      </c>
      <c r="BF136" s="298">
        <f t="shared" ca="1" si="161"/>
        <v>0.65029522127322903</v>
      </c>
      <c r="BG136" s="298">
        <f t="shared" ca="1" si="162"/>
        <v>0.66028983545318687</v>
      </c>
      <c r="BH136" s="318">
        <f t="shared" ca="1" si="163"/>
        <v>0.64972655813153501</v>
      </c>
      <c r="BI136" s="298">
        <f t="shared" ca="1" si="164"/>
        <v>0.65002804502111444</v>
      </c>
      <c r="BJ136" s="299">
        <f t="shared" ca="1" si="165"/>
        <v>0.65029320640965171</v>
      </c>
      <c r="BK136" s="298">
        <f t="shared" ca="1" si="166"/>
        <v>0.64942668056342145</v>
      </c>
      <c r="BL136" s="298">
        <f t="shared" ca="1" si="167"/>
        <v>0.61083952513994022</v>
      </c>
      <c r="BM136" s="299">
        <f t="shared" ca="1" si="168"/>
        <v>0.6508682169276182</v>
      </c>
      <c r="BN136" s="295">
        <f t="shared" ca="1" si="169"/>
        <v>0.17402001625314881</v>
      </c>
      <c r="BO136" s="248">
        <f t="shared" ca="1" si="217"/>
        <v>-2.2535161742124597E-5</v>
      </c>
      <c r="BQ136" s="304">
        <f t="shared" ca="1" si="218"/>
        <v>0.42412001625314877</v>
      </c>
      <c r="BR136" s="297">
        <f t="shared" ca="1" si="219"/>
        <v>0</v>
      </c>
      <c r="BS136" s="298">
        <f t="shared" ca="1" si="170"/>
        <v>0</v>
      </c>
      <c r="BT136" s="298">
        <f t="shared" ca="1" si="171"/>
        <v>0</v>
      </c>
      <c r="BU136" s="318">
        <f t="shared" ca="1" si="172"/>
        <v>0</v>
      </c>
      <c r="BV136" s="298">
        <f t="shared" ca="1" si="173"/>
        <v>0</v>
      </c>
      <c r="BW136" s="299">
        <f t="shared" ca="1" si="174"/>
        <v>0</v>
      </c>
      <c r="BX136" s="298">
        <f t="shared" ca="1" si="175"/>
        <v>0</v>
      </c>
      <c r="BY136" s="298">
        <f t="shared" ca="1" si="176"/>
        <v>0</v>
      </c>
      <c r="BZ136" s="298">
        <f t="shared" ca="1" si="177"/>
        <v>0</v>
      </c>
      <c r="CA136" s="315">
        <f t="shared" ca="1" si="178"/>
        <v>0.42412001625314877</v>
      </c>
      <c r="CC136" s="52"/>
      <c r="CD136" s="306">
        <f t="shared" ca="1" si="220"/>
        <v>0</v>
      </c>
      <c r="CE136" s="15">
        <f t="shared" ca="1" si="179"/>
        <v>0</v>
      </c>
      <c r="CF136" s="15">
        <f t="shared" ca="1" si="180"/>
        <v>0</v>
      </c>
      <c r="CG136" s="286">
        <f t="shared" ca="1" si="181"/>
        <v>0</v>
      </c>
      <c r="CH136" s="15">
        <f t="shared" ca="1" si="182"/>
        <v>0</v>
      </c>
      <c r="CI136" s="288">
        <f t="shared" ca="1" si="183"/>
        <v>0</v>
      </c>
      <c r="CJ136" s="15">
        <f t="shared" ca="1" si="184"/>
        <v>0</v>
      </c>
      <c r="CK136" s="15">
        <f t="shared" ca="1" si="185"/>
        <v>0</v>
      </c>
      <c r="CL136" s="15">
        <f t="shared" ca="1" si="186"/>
        <v>0</v>
      </c>
      <c r="CM136" s="313">
        <f t="shared" ca="1" si="187"/>
        <v>1</v>
      </c>
      <c r="CO136" s="320">
        <f t="shared" ca="1" si="221"/>
        <v>125</v>
      </c>
      <c r="CP136" s="22">
        <f ca="1">COUNTIFS($C$10:$C135,"&lt;"&amp;$C136,$M$10:$M135,$D136&amp;"_"&amp;CP$9)</f>
        <v>0</v>
      </c>
      <c r="CQ136" s="7">
        <f ca="1">COUNTIFS($C$10:$C135,"&lt;"&amp;$C136,$M$10:$M135,$D136&amp;"_"&amp;CQ$9)</f>
        <v>0</v>
      </c>
      <c r="CR136" s="7">
        <f ca="1">COUNTIFS($C$10:$C135,"&lt;"&amp;$C136,$M$10:$M135,$D136&amp;"_"&amp;CR$9)</f>
        <v>0</v>
      </c>
      <c r="CS136" s="17">
        <f ca="1">COUNTIFS($C$10:$C135,"&lt;"&amp;$C136,$M$10:$M135,$D136&amp;"_"&amp;CS$9)</f>
        <v>0</v>
      </c>
      <c r="CT136" s="7">
        <f ca="1">COUNTIFS($C$10:$C135,"&lt;"&amp;$C136,$M$10:$M135,$D136&amp;"_"&amp;CT$9)</f>
        <v>0</v>
      </c>
      <c r="CU136" s="18">
        <f ca="1">COUNTIFS($C$10:$C135,"&lt;"&amp;$C136,$M$10:$M135,$D136&amp;"_"&amp;CU$9)</f>
        <v>0</v>
      </c>
      <c r="CV136" s="7">
        <f ca="1">COUNTIFS($C$10:$C135,"&lt;"&amp;$C136,$M$10:$M135,$D136&amp;"_"&amp;CV$9)</f>
        <v>0</v>
      </c>
      <c r="CW136" s="7">
        <f ca="1">COUNTIFS($C$10:$C135,"&lt;"&amp;$C136,$M$10:$M135,$D136&amp;"_"&amp;CW$9)</f>
        <v>0</v>
      </c>
      <c r="CX136" s="7">
        <f ca="1">COUNTIFS($C$10:$C135,"&lt;"&amp;$C136,$M$10:$M135,$D136&amp;"_"&amp;CX$9)</f>
        <v>0</v>
      </c>
      <c r="CY136" s="221">
        <f ca="1">COUNTIFS($C$10:$C135,"&lt;"&amp;$C136,$M$10:$M135,$D136&amp;"_"&amp;CY$9)</f>
        <v>125</v>
      </c>
      <c r="DA136" s="20"/>
      <c r="DB136" s="308">
        <f ca="1">IF(CP136=0,0,SUMIFS($P$10:$P135, $C$10:$C135,"&lt;"&amp;$C136, $M$10:$M135,$D136&amp;"_"&amp;DB$9)/CP136)</f>
        <v>0</v>
      </c>
      <c r="DC136" s="263">
        <f ca="1">IF(CQ136=0,0,SUMIFS($P$10:$P135, $C$10:$C135,"&lt;"&amp;$C136, $M$10:$M135,$D136&amp;"_"&amp;DC$9)/CQ136)</f>
        <v>0</v>
      </c>
      <c r="DD136" s="263">
        <f ca="1">IF(CR136=0,0,SUMIFS($P$10:$P135, $C$10:$C135,"&lt;"&amp;$C136, $M$10:$M135,$D136&amp;"_"&amp;DD$9)/CR136)</f>
        <v>0</v>
      </c>
      <c r="DE136" s="262">
        <f ca="1">IF(CS136=0,0,SUMIFS($P$10:$P135, $C$10:$C135,"&lt;"&amp;$C136, $M$10:$M135,$D136&amp;"_"&amp;DE$9)/CS136)</f>
        <v>0</v>
      </c>
      <c r="DF136" s="263">
        <f ca="1">IF(CT136=0,0,SUMIFS($P$10:$P135, $C$10:$C135,"&lt;"&amp;$C136, $M$10:$M135,$D136&amp;"_"&amp;DF$9)/CT136)</f>
        <v>0</v>
      </c>
      <c r="DG136" s="310">
        <f ca="1">IF(CU136=0,0,SUMIFS($P$10:$P135, $C$10:$C135,"&lt;"&amp;$C136, $M$10:$M135,$D136&amp;"_"&amp;DG$9)/CU136)</f>
        <v>0</v>
      </c>
      <c r="DH136" s="263">
        <f ca="1">IF(CV136=0,0,SUMIFS($P$10:$P135, $C$10:$C135,"&lt;"&amp;$C136, $M$10:$M135,$D136&amp;"_"&amp;DH$9)/CV136)</f>
        <v>0</v>
      </c>
      <c r="DI136" s="263">
        <f ca="1">IF(CW136=0,0,SUMIFS($P$10:$P135, $C$10:$C135,"&lt;"&amp;$C136, $M$10:$M135,$D136&amp;"_"&amp;DI$9)/CW136)</f>
        <v>0</v>
      </c>
      <c r="DJ136" s="264">
        <f ca="1">IF(CX136=0,0,SUMIFS($P$10:$P135, $C$10:$C135,"&lt;"&amp;$C136, $M$10:$M135,$D136&amp;"_"&amp;DJ$9)/CX136)</f>
        <v>0</v>
      </c>
      <c r="DK136" s="264">
        <f ca="1">IF(CY136=0,0,SUMIFS($P$10:$P135, $C$10:$C135,"&lt;"&amp;$C136, $M$10:$M135,$D136&amp;"_"&amp;DK$9)/CY136)</f>
        <v>-1</v>
      </c>
      <c r="DM136" s="104"/>
      <c r="DN136" s="306">
        <f t="shared" ca="1" si="222"/>
        <v>-9999</v>
      </c>
      <c r="DO136" s="15">
        <f t="shared" ca="1" si="188"/>
        <v>-9999</v>
      </c>
      <c r="DP136" s="15">
        <f t="shared" ca="1" si="189"/>
        <v>-9999</v>
      </c>
      <c r="DQ136" s="15">
        <f t="shared" ca="1" si="190"/>
        <v>-9999</v>
      </c>
      <c r="DR136" s="15">
        <f t="shared" ca="1" si="191"/>
        <v>-9999</v>
      </c>
      <c r="DS136" s="15">
        <f t="shared" ca="1" si="192"/>
        <v>-9999</v>
      </c>
      <c r="DT136" s="15">
        <f t="shared" ca="1" si="193"/>
        <v>-9999</v>
      </c>
      <c r="DU136" s="15">
        <f t="shared" ca="1" si="194"/>
        <v>-9999</v>
      </c>
      <c r="DV136" s="52">
        <f t="shared" ca="1" si="195"/>
        <v>-9999</v>
      </c>
      <c r="DW136" s="313">
        <f t="shared" ca="1" si="196"/>
        <v>-0.91126714375000839</v>
      </c>
      <c r="DX136" s="52"/>
      <c r="DY136" s="402">
        <f t="shared" ca="1" si="223"/>
        <v>9</v>
      </c>
      <c r="ED136" s="19">
        <f t="shared" ca="1" si="241"/>
        <v>-1</v>
      </c>
      <c r="EE136" s="1">
        <f t="shared" ca="1" si="242"/>
        <v>1</v>
      </c>
      <c r="EF136" s="1">
        <f t="shared" ca="1" si="243"/>
        <v>-1</v>
      </c>
      <c r="EG136" s="2">
        <f t="shared" ca="1" si="244"/>
        <v>1</v>
      </c>
      <c r="EH136" s="1">
        <f t="shared" ca="1" si="245"/>
        <v>-1</v>
      </c>
      <c r="EI136" s="3">
        <f t="shared" ca="1" si="246"/>
        <v>1</v>
      </c>
      <c r="EJ136" s="1">
        <f t="shared" ca="1" si="247"/>
        <v>0</v>
      </c>
      <c r="EK136" s="1">
        <f t="shared" ca="1" si="248"/>
        <v>0</v>
      </c>
      <c r="EL136" s="20">
        <f t="shared" ca="1" si="249"/>
        <v>-1</v>
      </c>
      <c r="EN136" s="86">
        <f ca="1">MAX(0, SUMPRODUCT($ED136:$EL136,OFFSET(DNN!$E$9:$M$9,EN$9,0)) + OFFSET(DNN!$D$9,EN$9,0))</f>
        <v>0</v>
      </c>
      <c r="EO136" s="84">
        <f ca="1">MAX(0, SUMPRODUCT($ED136:$EL136,OFFSET(DNN!$E$9:$M$9,EO$9,0)) + OFFSET(DNN!$D$9,EO$9,0))</f>
        <v>7.2346022384755949E-3</v>
      </c>
      <c r="EP136" s="84">
        <f ca="1">MAX(0, SUMPRODUCT($ED136:$EL136,OFFSET(DNN!$E$9:$M$9,EP$9,0)) + OFFSET(DNN!$D$9,EP$9,0))</f>
        <v>3.6951849750035152E-3</v>
      </c>
      <c r="EQ136" s="84">
        <f ca="1">MAX(0, SUMPRODUCT($ED136:$EL136,OFFSET(DNN!$E$9:$M$9,EQ$9,0)) + OFFSET(DNN!$D$9,EQ$9,0))</f>
        <v>0</v>
      </c>
      <c r="ER136" s="85">
        <f ca="1">MAX(0, SUMPRODUCT($ED136:$EL136,OFFSET(DNN!$E$9:$M$9,ER$9,0)) + OFFSET(DNN!$D$9,ER$9,0))</f>
        <v>0</v>
      </c>
      <c r="ET136" s="86">
        <f ca="1">MAX(0, SUMPRODUCT($EN136:$ER136,OFFSET(DNN!$Q$9:$U$9,ET$9,0)) + OFFSET(DNN!$P$9,ET$9,0))</f>
        <v>4.3954959453478351E-4</v>
      </c>
      <c r="EU136" s="84">
        <f ca="1">MAX(0, SUMPRODUCT($EN136:$ER136,OFFSET(DNN!$Q$9:$U$9,EU$9,0)) + OFFSET(DNN!$P$9,EU$9,0))</f>
        <v>0</v>
      </c>
      <c r="EV136" s="84">
        <f ca="1">MAX(0, SUMPRODUCT($EN136:$ER136,OFFSET(DNN!$Q$9:$U$9,EV$9,0)) + OFFSET(DNN!$P$9,EV$9,0))</f>
        <v>1.2810123361902579E-3</v>
      </c>
      <c r="EW136" s="84">
        <f ca="1">MAX(0, SUMPRODUCT($EN136:$ER136,OFFSET(DNN!$Q$9:$U$9,EW$9,0)) + OFFSET(DNN!$P$9,EW$9,0))</f>
        <v>7.8382123007882457E-4</v>
      </c>
      <c r="EX136" s="85">
        <f ca="1">MAX(0, SUMPRODUCT($EN136:$ER136,OFFSET(DNN!$Q$9:$U$9,EX$9,0)) + OFFSET(DNN!$P$9,EX$9,0))</f>
        <v>0</v>
      </c>
      <c r="EZ136" s="111">
        <f ca="1">SUMPRODUCT($ET136:$EX136,OFFSET(DNN!$Y$9:$AC$9,EZ$9,0)) + OFFSET(DNN!$X$9,EZ$9,0)</f>
        <v>0.43031618918982212</v>
      </c>
      <c r="FA136" s="97">
        <f ca="1">SUMPRODUCT($ET136:$EX136,OFFSET(DNN!$Y$9:$AC$9,FA$9,0)) + OFFSET(DNN!$X$9,FA$9,0)</f>
        <v>-1.2643439935754107E-5</v>
      </c>
      <c r="FB136" s="97">
        <f ca="1">SUMPRODUCT($ET136:$EX136,OFFSET(DNN!$Y$9:$AC$9,FB$9,0)) + OFFSET(DNN!$X$9,FB$9,0)</f>
        <v>1.5239793458415756E-2</v>
      </c>
      <c r="FC136" s="97">
        <f ca="1">SUMPRODUCT($ET136:$EX136,OFFSET(DNN!$Y$9:$AC$9,FC$9,0)) + OFFSET(DNN!$X$9,FC$9,0)</f>
        <v>-8.8749521084055777E-4</v>
      </c>
      <c r="FD136" s="97">
        <f ca="1">SUMPRODUCT($ET136:$EX136,OFFSET(DNN!$Y$9:$AC$9,FD$9,0)) + OFFSET(DNN!$X$9,FD$9,0)</f>
        <v>-4.235816470721872E-4</v>
      </c>
      <c r="FE136" s="97">
        <f ca="1">SUMPRODUCT($ET136:$EX136,OFFSET(DNN!$Y$9:$AC$9,FE$9,0)) + OFFSET(DNN!$X$9,FE$9,0)</f>
        <v>-1.574182761064886E-5</v>
      </c>
      <c r="FF136" s="97">
        <f ca="1">SUMPRODUCT($ET136:$EX136,OFFSET(DNN!$Y$9:$AC$9,FF$9,0)) + OFFSET(DNN!$X$9,FF$9,0)</f>
        <v>-1.3491460223194656E-3</v>
      </c>
      <c r="FG136" s="97">
        <f ca="1">SUMPRODUCT($ET136:$EX136,OFFSET(DNN!$Y$9:$AC$9,FG$9,0)) + OFFSET(DNN!$X$9,FG$9,0)</f>
        <v>-6.2604808096248285E-2</v>
      </c>
      <c r="FH136" s="97">
        <f ca="1">SUMPRODUCT($ET136:$EX136,OFFSET(DNN!$Y$9:$AC$9,FH$9,0)) + OFFSET(DNN!$X$9,FH$9,0)</f>
        <v>8.6810016937029894E-4</v>
      </c>
      <c r="FI136" s="108">
        <f ca="1">SUMPRODUCT($ET136:$EX136,OFFSET(DNN!$Y$9:$AC$9,FI$9,0)) + OFFSET(DNN!$X$9,FI$9,0)</f>
        <v>-1.3182687612562751</v>
      </c>
      <c r="FJ136" s="98">
        <f ca="1">SUMPRODUCT($ET136:$EX136,OFFSET(DNN!$Y$9:$AC$9,FJ$9,0)) + OFFSET(DNN!$X$9,FJ$9,0)</f>
        <v>-2.2535161745939301E-5</v>
      </c>
      <c r="FL136" s="415">
        <f t="shared" ca="1" si="224"/>
        <v>0.43031618918982212</v>
      </c>
      <c r="FM136" s="130">
        <f t="shared" ca="1" si="225"/>
        <v>1</v>
      </c>
      <c r="FN136" s="131">
        <f t="shared" ca="1" si="226"/>
        <v>0.65029522127322903</v>
      </c>
      <c r="FO136" s="131">
        <f t="shared" ca="1" si="227"/>
        <v>0.66028983545318687</v>
      </c>
      <c r="FP136" s="131">
        <f t="shared" ca="1" si="228"/>
        <v>0.64972655813153501</v>
      </c>
      <c r="FQ136" s="131">
        <f t="shared" ca="1" si="229"/>
        <v>0.65002804502111444</v>
      </c>
      <c r="FR136" s="131">
        <f t="shared" ca="1" si="230"/>
        <v>0.65029320640965171</v>
      </c>
      <c r="FS136" s="131">
        <f t="shared" ca="1" si="231"/>
        <v>0.64942668056342145</v>
      </c>
      <c r="FT136" s="131">
        <f t="shared" ca="1" si="232"/>
        <v>0.61083952513994022</v>
      </c>
      <c r="FU136" s="132">
        <f t="shared" ca="1" si="233"/>
        <v>0.6508682169276182</v>
      </c>
      <c r="FV136" s="131">
        <f t="shared" ca="1" si="234"/>
        <v>0.17402001625314881</v>
      </c>
      <c r="FW136" s="83">
        <f t="shared" ca="1" si="235"/>
        <v>-2.2535161742124597E-5</v>
      </c>
    </row>
    <row r="137" spans="1:179">
      <c r="A137" s="19">
        <f t="shared" si="240"/>
        <v>127</v>
      </c>
      <c r="B137" s="1">
        <f t="shared" ca="1" si="236"/>
        <v>0</v>
      </c>
      <c r="C137" s="20">
        <f t="shared" ca="1" si="237"/>
        <v>127</v>
      </c>
      <c r="D137" s="19" t="str">
        <f t="shared" ca="1" si="238"/>
        <v>〇×〇×〇×--〇</v>
      </c>
      <c r="E137" s="7">
        <f t="shared" ca="1" si="206"/>
        <v>9</v>
      </c>
      <c r="F137" s="7">
        <f t="shared" ca="1" si="207"/>
        <v>1</v>
      </c>
      <c r="G137" s="1" t="str">
        <f t="shared" ca="1" si="250"/>
        <v>〇×〇×〇×--〇</v>
      </c>
      <c r="H137" s="20" t="b">
        <f t="shared" ca="1" si="251"/>
        <v>1</v>
      </c>
      <c r="I137" s="22">
        <f t="shared" ca="1" si="239"/>
        <v>-1</v>
      </c>
      <c r="J137" s="1" t="b">
        <f ca="1">(1&lt;COUNTIF(D$10:D137,D137))</f>
        <v>1</v>
      </c>
      <c r="K137" s="1" t="b">
        <f t="shared" ca="1" si="252"/>
        <v>1</v>
      </c>
      <c r="L137" s="7">
        <f ca="1">MATCH(TRUE,K137:K$1048576,FALSE)-1</f>
        <v>0</v>
      </c>
      <c r="M137" s="24" t="str">
        <f t="shared" ca="1" si="253"/>
        <v>〇×〇×〇×--〇_9</v>
      </c>
      <c r="N137" s="25">
        <f t="shared" ca="1" si="208"/>
        <v>-2.2535161742124597E-5</v>
      </c>
      <c r="O137" s="26">
        <f t="shared" ca="1" si="209"/>
        <v>-1</v>
      </c>
      <c r="P137" s="27">
        <f t="shared" ca="1" si="210"/>
        <v>-1</v>
      </c>
      <c r="R137" s="41" t="str">
        <f ca="1">VLOOKUP(S137,cvt!$B$2:$C$4,2,FALSE)&amp;VLOOKUP(T137,cvt!$B$2:$C$4,2,FALSE)&amp;VLOOKUP(U137,cvt!$B$2:$C$4,2,FALSE)
&amp;VLOOKUP(V137,cvt!$B$2:$C$4,2,FALSE)&amp;VLOOKUP(W137,cvt!$B$2:$C$4,2,FALSE)&amp;VLOOKUP(X137,cvt!$B$2:$C$4,2,FALSE)
&amp;VLOOKUP(Y137,cvt!$B$2:$C$4,2,FALSE)&amp;VLOOKUP(Z137,cvt!$B$2:$C$4,2,FALSE)&amp;VLOOKUP(AA137,cvt!$B$2:$C$4,2,FALSE)</f>
        <v>〇×〇×〇×--〇</v>
      </c>
      <c r="S137" s="7">
        <f ca="1">VLOOKUP(MID($D137,S$9+1,1), cvt!$A$2:$B$4,2, FALSE)</f>
        <v>1</v>
      </c>
      <c r="T137" s="7">
        <f ca="1">VLOOKUP(MID($D137,T$9+1,1), cvt!$A$2:$B$4,2, FALSE)</f>
        <v>-1</v>
      </c>
      <c r="U137" s="7">
        <f ca="1">VLOOKUP(MID($D137,U$9+1,1), cvt!$A$2:$B$4,2, FALSE)</f>
        <v>1</v>
      </c>
      <c r="V137" s="17">
        <f ca="1">VLOOKUP(MID($D137,V$9+1,1), cvt!$A$2:$B$4,2, FALSE)</f>
        <v>-1</v>
      </c>
      <c r="W137" s="7">
        <f ca="1">VLOOKUP(MID($D137,W$9+1,1), cvt!$A$2:$B$4,2, FALSE)</f>
        <v>1</v>
      </c>
      <c r="X137" s="18">
        <f ca="1">VLOOKUP(MID($D137,X$9+1,1), cvt!$A$2:$B$4,2, FALSE)</f>
        <v>-1</v>
      </c>
      <c r="Y137" s="7">
        <f ca="1">VLOOKUP(MID($D137,Y$9+1,1), cvt!$A$2:$B$4,2, FALSE)</f>
        <v>0</v>
      </c>
      <c r="Z137" s="7">
        <f ca="1">VLOOKUP(MID($D137,Z$9+1,1), cvt!$A$2:$B$4,2, FALSE)</f>
        <v>0</v>
      </c>
      <c r="AA137" s="42">
        <f ca="1">VLOOKUP(MID($D137,AA$9+1,1), cvt!$A$2:$B$4,2, FALSE)</f>
        <v>1</v>
      </c>
      <c r="AB137" s="7">
        <f t="shared" ca="1" si="211"/>
        <v>1</v>
      </c>
      <c r="AC137" s="50" t="b">
        <f t="shared" ca="1" si="212"/>
        <v>1</v>
      </c>
      <c r="AE137" s="19" t="str">
        <f ca="1">VLOOKUP(AF137,cvt!$B$2:$C$4,2,FALSE)&amp;VLOOKUP(AG137,cvt!$B$2:$C$4,2,FALSE)&amp;VLOOKUP(AH137,cvt!$B$2:$C$4,2,FALSE)
&amp;VLOOKUP(AI137,cvt!$B$2:$C$4,2,FALSE)&amp;VLOOKUP(AJ137,cvt!$B$2:$C$4,2,FALSE)&amp;VLOOKUP(AK137,cvt!$B$2:$C$4,2,FALSE)
&amp;VLOOKUP(AL137,cvt!$B$2:$C$4,2,FALSE)&amp;VLOOKUP(AM137,cvt!$B$2:$C$4,2,FALSE)&amp;VLOOKUP(AN137,cvt!$B$2:$C$4,2,FALSE)</f>
        <v>〇×〇×〇×--〇</v>
      </c>
      <c r="AF137" s="17">
        <f t="shared" ca="1" si="254"/>
        <v>1</v>
      </c>
      <c r="AG137" s="7">
        <f t="shared" ca="1" si="255"/>
        <v>-1</v>
      </c>
      <c r="AH137" s="7">
        <f t="shared" ca="1" si="256"/>
        <v>1</v>
      </c>
      <c r="AI137" s="17">
        <f t="shared" ca="1" si="257"/>
        <v>-1</v>
      </c>
      <c r="AJ137" s="7">
        <f t="shared" ca="1" si="258"/>
        <v>1</v>
      </c>
      <c r="AK137" s="18">
        <f t="shared" ca="1" si="259"/>
        <v>-1</v>
      </c>
      <c r="AL137" s="7">
        <f t="shared" ca="1" si="260"/>
        <v>0</v>
      </c>
      <c r="AM137" s="7">
        <f t="shared" ca="1" si="261"/>
        <v>0</v>
      </c>
      <c r="AN137" s="18">
        <f t="shared" ca="1" si="262"/>
        <v>1</v>
      </c>
      <c r="AO137" s="7">
        <f t="shared" ca="1" si="213"/>
        <v>1</v>
      </c>
      <c r="AP137" s="50" t="b">
        <f t="shared" ca="1" si="263"/>
        <v>1</v>
      </c>
      <c r="AS137" s="22">
        <f t="shared" ca="1" si="214"/>
        <v>0</v>
      </c>
      <c r="AT137" s="7">
        <f t="shared" ca="1" si="153"/>
        <v>0</v>
      </c>
      <c r="AU137" s="7">
        <f t="shared" ca="1" si="154"/>
        <v>0</v>
      </c>
      <c r="AV137" s="7">
        <f t="shared" ca="1" si="155"/>
        <v>0</v>
      </c>
      <c r="AW137" s="7">
        <f t="shared" ca="1" si="156"/>
        <v>0</v>
      </c>
      <c r="AX137" s="7">
        <f t="shared" ca="1" si="157"/>
        <v>0</v>
      </c>
      <c r="AY137" s="7">
        <f t="shared" ca="1" si="158"/>
        <v>0</v>
      </c>
      <c r="AZ137" s="7">
        <f t="shared" ca="1" si="159"/>
        <v>0</v>
      </c>
      <c r="BA137" s="18">
        <f t="shared" ca="1" si="160"/>
        <v>0</v>
      </c>
      <c r="BB137" s="295">
        <f t="shared" ca="1" si="215"/>
        <v>1</v>
      </c>
      <c r="BD137" s="132"/>
      <c r="BE137" s="297">
        <f t="shared" ca="1" si="216"/>
        <v>1</v>
      </c>
      <c r="BF137" s="298">
        <f t="shared" ca="1" si="161"/>
        <v>0.65029522127322903</v>
      </c>
      <c r="BG137" s="298">
        <f t="shared" ca="1" si="162"/>
        <v>0.66028983545318687</v>
      </c>
      <c r="BH137" s="318">
        <f t="shared" ca="1" si="163"/>
        <v>0.64972655813153501</v>
      </c>
      <c r="BI137" s="298">
        <f t="shared" ca="1" si="164"/>
        <v>0.65002804502111444</v>
      </c>
      <c r="BJ137" s="299">
        <f t="shared" ca="1" si="165"/>
        <v>0.65029320640965171</v>
      </c>
      <c r="BK137" s="298">
        <f t="shared" ca="1" si="166"/>
        <v>0.64942668056342145</v>
      </c>
      <c r="BL137" s="298">
        <f t="shared" ca="1" si="167"/>
        <v>0.61083952513994022</v>
      </c>
      <c r="BM137" s="299">
        <f t="shared" ca="1" si="168"/>
        <v>0.6508682169276182</v>
      </c>
      <c r="BN137" s="295">
        <f t="shared" ca="1" si="169"/>
        <v>0.17402001625314881</v>
      </c>
      <c r="BO137" s="248">
        <f t="shared" ca="1" si="217"/>
        <v>-2.2535161742124597E-5</v>
      </c>
      <c r="BQ137" s="304">
        <f t="shared" ca="1" si="218"/>
        <v>0.1741200162531488</v>
      </c>
      <c r="BR137" s="297">
        <f t="shared" ca="1" si="219"/>
        <v>0</v>
      </c>
      <c r="BS137" s="298">
        <f t="shared" ca="1" si="170"/>
        <v>0</v>
      </c>
      <c r="BT137" s="298">
        <f t="shared" ca="1" si="171"/>
        <v>0</v>
      </c>
      <c r="BU137" s="318">
        <f t="shared" ca="1" si="172"/>
        <v>0</v>
      </c>
      <c r="BV137" s="298">
        <f t="shared" ca="1" si="173"/>
        <v>0</v>
      </c>
      <c r="BW137" s="299">
        <f t="shared" ca="1" si="174"/>
        <v>0</v>
      </c>
      <c r="BX137" s="298">
        <f t="shared" ca="1" si="175"/>
        <v>0</v>
      </c>
      <c r="BY137" s="298">
        <f t="shared" ca="1" si="176"/>
        <v>0</v>
      </c>
      <c r="BZ137" s="298">
        <f t="shared" ca="1" si="177"/>
        <v>0</v>
      </c>
      <c r="CA137" s="315">
        <f t="shared" ca="1" si="178"/>
        <v>0.1741200162531488</v>
      </c>
      <c r="CC137" s="52"/>
      <c r="CD137" s="306">
        <f t="shared" ca="1" si="220"/>
        <v>0</v>
      </c>
      <c r="CE137" s="15">
        <f t="shared" ca="1" si="179"/>
        <v>0</v>
      </c>
      <c r="CF137" s="15">
        <f t="shared" ca="1" si="180"/>
        <v>0</v>
      </c>
      <c r="CG137" s="286">
        <f t="shared" ca="1" si="181"/>
        <v>0</v>
      </c>
      <c r="CH137" s="15">
        <f t="shared" ca="1" si="182"/>
        <v>0</v>
      </c>
      <c r="CI137" s="288">
        <f t="shared" ca="1" si="183"/>
        <v>0</v>
      </c>
      <c r="CJ137" s="15">
        <f t="shared" ca="1" si="184"/>
        <v>0</v>
      </c>
      <c r="CK137" s="15">
        <f t="shared" ca="1" si="185"/>
        <v>0</v>
      </c>
      <c r="CL137" s="15">
        <f t="shared" ca="1" si="186"/>
        <v>0</v>
      </c>
      <c r="CM137" s="313">
        <f t="shared" ca="1" si="187"/>
        <v>1</v>
      </c>
      <c r="CO137" s="320">
        <f t="shared" ca="1" si="221"/>
        <v>126</v>
      </c>
      <c r="CP137" s="22">
        <f ca="1">COUNTIFS($C$10:$C136,"&lt;"&amp;$C137,$M$10:$M136,$D137&amp;"_"&amp;CP$9)</f>
        <v>0</v>
      </c>
      <c r="CQ137" s="7">
        <f ca="1">COUNTIFS($C$10:$C136,"&lt;"&amp;$C137,$M$10:$M136,$D137&amp;"_"&amp;CQ$9)</f>
        <v>0</v>
      </c>
      <c r="CR137" s="7">
        <f ca="1">COUNTIFS($C$10:$C136,"&lt;"&amp;$C137,$M$10:$M136,$D137&amp;"_"&amp;CR$9)</f>
        <v>0</v>
      </c>
      <c r="CS137" s="17">
        <f ca="1">COUNTIFS($C$10:$C136,"&lt;"&amp;$C137,$M$10:$M136,$D137&amp;"_"&amp;CS$9)</f>
        <v>0</v>
      </c>
      <c r="CT137" s="7">
        <f ca="1">COUNTIFS($C$10:$C136,"&lt;"&amp;$C137,$M$10:$M136,$D137&amp;"_"&amp;CT$9)</f>
        <v>0</v>
      </c>
      <c r="CU137" s="18">
        <f ca="1">COUNTIFS($C$10:$C136,"&lt;"&amp;$C137,$M$10:$M136,$D137&amp;"_"&amp;CU$9)</f>
        <v>0</v>
      </c>
      <c r="CV137" s="7">
        <f ca="1">COUNTIFS($C$10:$C136,"&lt;"&amp;$C137,$M$10:$M136,$D137&amp;"_"&amp;CV$9)</f>
        <v>0</v>
      </c>
      <c r="CW137" s="7">
        <f ca="1">COUNTIFS($C$10:$C136,"&lt;"&amp;$C137,$M$10:$M136,$D137&amp;"_"&amp;CW$9)</f>
        <v>0</v>
      </c>
      <c r="CX137" s="7">
        <f ca="1">COUNTIFS($C$10:$C136,"&lt;"&amp;$C137,$M$10:$M136,$D137&amp;"_"&amp;CX$9)</f>
        <v>0</v>
      </c>
      <c r="CY137" s="221">
        <f ca="1">COUNTIFS($C$10:$C136,"&lt;"&amp;$C137,$M$10:$M136,$D137&amp;"_"&amp;CY$9)</f>
        <v>126</v>
      </c>
      <c r="DA137" s="20"/>
      <c r="DB137" s="308">
        <f ca="1">IF(CP137=0,0,SUMIFS($P$10:$P136, $C$10:$C136,"&lt;"&amp;$C137, $M$10:$M136,$D137&amp;"_"&amp;DB$9)/CP137)</f>
        <v>0</v>
      </c>
      <c r="DC137" s="263">
        <f ca="1">IF(CQ137=0,0,SUMIFS($P$10:$P136, $C$10:$C136,"&lt;"&amp;$C137, $M$10:$M136,$D137&amp;"_"&amp;DC$9)/CQ137)</f>
        <v>0</v>
      </c>
      <c r="DD137" s="263">
        <f ca="1">IF(CR137=0,0,SUMIFS($P$10:$P136, $C$10:$C136,"&lt;"&amp;$C137, $M$10:$M136,$D137&amp;"_"&amp;DD$9)/CR137)</f>
        <v>0</v>
      </c>
      <c r="DE137" s="262">
        <f ca="1">IF(CS137=0,0,SUMIFS($P$10:$P136, $C$10:$C136,"&lt;"&amp;$C137, $M$10:$M136,$D137&amp;"_"&amp;DE$9)/CS137)</f>
        <v>0</v>
      </c>
      <c r="DF137" s="263">
        <f ca="1">IF(CT137=0,0,SUMIFS($P$10:$P136, $C$10:$C136,"&lt;"&amp;$C137, $M$10:$M136,$D137&amp;"_"&amp;DF$9)/CT137)</f>
        <v>0</v>
      </c>
      <c r="DG137" s="310">
        <f ca="1">IF(CU137=0,0,SUMIFS($P$10:$P136, $C$10:$C136,"&lt;"&amp;$C137, $M$10:$M136,$D137&amp;"_"&amp;DG$9)/CU137)</f>
        <v>0</v>
      </c>
      <c r="DH137" s="263">
        <f ca="1">IF(CV137=0,0,SUMIFS($P$10:$P136, $C$10:$C136,"&lt;"&amp;$C137, $M$10:$M136,$D137&amp;"_"&amp;DH$9)/CV137)</f>
        <v>0</v>
      </c>
      <c r="DI137" s="263">
        <f ca="1">IF(CW137=0,0,SUMIFS($P$10:$P136, $C$10:$C136,"&lt;"&amp;$C137, $M$10:$M136,$D137&amp;"_"&amp;DI$9)/CW137)</f>
        <v>0</v>
      </c>
      <c r="DJ137" s="264">
        <f ca="1">IF(CX137=0,0,SUMIFS($P$10:$P136, $C$10:$C136,"&lt;"&amp;$C137, $M$10:$M136,$D137&amp;"_"&amp;DJ$9)/CX137)</f>
        <v>0</v>
      </c>
      <c r="DK137" s="264">
        <f ca="1">IF(CY137=0,0,SUMIFS($P$10:$P136, $C$10:$C136,"&lt;"&amp;$C137, $M$10:$M136,$D137&amp;"_"&amp;DK$9)/CY137)</f>
        <v>-1</v>
      </c>
      <c r="DM137" s="104"/>
      <c r="DN137" s="306">
        <f t="shared" ca="1" si="222"/>
        <v>-9999</v>
      </c>
      <c r="DO137" s="15">
        <f t="shared" ca="1" si="188"/>
        <v>-9999</v>
      </c>
      <c r="DP137" s="15">
        <f t="shared" ca="1" si="189"/>
        <v>-9999</v>
      </c>
      <c r="DQ137" s="15">
        <f t="shared" ca="1" si="190"/>
        <v>-9999</v>
      </c>
      <c r="DR137" s="15">
        <f t="shared" ca="1" si="191"/>
        <v>-9999</v>
      </c>
      <c r="DS137" s="15">
        <f t="shared" ca="1" si="192"/>
        <v>-9999</v>
      </c>
      <c r="DT137" s="15">
        <f t="shared" ca="1" si="193"/>
        <v>-9999</v>
      </c>
      <c r="DU137" s="15">
        <f t="shared" ca="1" si="194"/>
        <v>-9999</v>
      </c>
      <c r="DV137" s="52">
        <f t="shared" ca="1" si="195"/>
        <v>-9999</v>
      </c>
      <c r="DW137" s="313">
        <f t="shared" ca="1" si="196"/>
        <v>-0.9116143924384108</v>
      </c>
      <c r="DX137" s="52"/>
      <c r="DY137" s="402">
        <f t="shared" ca="1" si="223"/>
        <v>9</v>
      </c>
      <c r="ED137" s="19">
        <f t="shared" ca="1" si="241"/>
        <v>-1</v>
      </c>
      <c r="EE137" s="1">
        <f t="shared" ca="1" si="242"/>
        <v>1</v>
      </c>
      <c r="EF137" s="1">
        <f t="shared" ca="1" si="243"/>
        <v>-1</v>
      </c>
      <c r="EG137" s="2">
        <f t="shared" ca="1" si="244"/>
        <v>1</v>
      </c>
      <c r="EH137" s="1">
        <f t="shared" ca="1" si="245"/>
        <v>-1</v>
      </c>
      <c r="EI137" s="3">
        <f t="shared" ca="1" si="246"/>
        <v>1</v>
      </c>
      <c r="EJ137" s="1">
        <f t="shared" ca="1" si="247"/>
        <v>0</v>
      </c>
      <c r="EK137" s="1">
        <f t="shared" ca="1" si="248"/>
        <v>0</v>
      </c>
      <c r="EL137" s="20">
        <f t="shared" ca="1" si="249"/>
        <v>-1</v>
      </c>
      <c r="EN137" s="86">
        <f ca="1">MAX(0, SUMPRODUCT($ED137:$EL137,OFFSET(DNN!$E$9:$M$9,EN$9,0)) + OFFSET(DNN!$D$9,EN$9,0))</f>
        <v>0</v>
      </c>
      <c r="EO137" s="84">
        <f ca="1">MAX(0, SUMPRODUCT($ED137:$EL137,OFFSET(DNN!$E$9:$M$9,EO$9,0)) + OFFSET(DNN!$D$9,EO$9,0))</f>
        <v>7.2346022384755949E-3</v>
      </c>
      <c r="EP137" s="84">
        <f ca="1">MAX(0, SUMPRODUCT($ED137:$EL137,OFFSET(DNN!$E$9:$M$9,EP$9,0)) + OFFSET(DNN!$D$9,EP$9,0))</f>
        <v>3.6951849750035152E-3</v>
      </c>
      <c r="EQ137" s="84">
        <f ca="1">MAX(0, SUMPRODUCT($ED137:$EL137,OFFSET(DNN!$E$9:$M$9,EQ$9,0)) + OFFSET(DNN!$D$9,EQ$9,0))</f>
        <v>0</v>
      </c>
      <c r="ER137" s="85">
        <f ca="1">MAX(0, SUMPRODUCT($ED137:$EL137,OFFSET(DNN!$E$9:$M$9,ER$9,0)) + OFFSET(DNN!$D$9,ER$9,0))</f>
        <v>0</v>
      </c>
      <c r="ET137" s="86">
        <f ca="1">MAX(0, SUMPRODUCT($EN137:$ER137,OFFSET(DNN!$Q$9:$U$9,ET$9,0)) + OFFSET(DNN!$P$9,ET$9,0))</f>
        <v>4.3954959453478351E-4</v>
      </c>
      <c r="EU137" s="84">
        <f ca="1">MAX(0, SUMPRODUCT($EN137:$ER137,OFFSET(DNN!$Q$9:$U$9,EU$9,0)) + OFFSET(DNN!$P$9,EU$9,0))</f>
        <v>0</v>
      </c>
      <c r="EV137" s="84">
        <f ca="1">MAX(0, SUMPRODUCT($EN137:$ER137,OFFSET(DNN!$Q$9:$U$9,EV$9,0)) + OFFSET(DNN!$P$9,EV$9,0))</f>
        <v>1.2810123361902579E-3</v>
      </c>
      <c r="EW137" s="84">
        <f ca="1">MAX(0, SUMPRODUCT($EN137:$ER137,OFFSET(DNN!$Q$9:$U$9,EW$9,0)) + OFFSET(DNN!$P$9,EW$9,0))</f>
        <v>7.8382123007882457E-4</v>
      </c>
      <c r="EX137" s="85">
        <f ca="1">MAX(0, SUMPRODUCT($EN137:$ER137,OFFSET(DNN!$Q$9:$U$9,EX$9,0)) + OFFSET(DNN!$P$9,EX$9,0))</f>
        <v>0</v>
      </c>
      <c r="EZ137" s="111">
        <f ca="1">SUMPRODUCT($ET137:$EX137,OFFSET(DNN!$Y$9:$AC$9,EZ$9,0)) + OFFSET(DNN!$X$9,EZ$9,0)</f>
        <v>0.43031618918982212</v>
      </c>
      <c r="FA137" s="97">
        <f ca="1">SUMPRODUCT($ET137:$EX137,OFFSET(DNN!$Y$9:$AC$9,FA$9,0)) + OFFSET(DNN!$X$9,FA$9,0)</f>
        <v>-1.2643439935754107E-5</v>
      </c>
      <c r="FB137" s="97">
        <f ca="1">SUMPRODUCT($ET137:$EX137,OFFSET(DNN!$Y$9:$AC$9,FB$9,0)) + OFFSET(DNN!$X$9,FB$9,0)</f>
        <v>1.5239793458415756E-2</v>
      </c>
      <c r="FC137" s="97">
        <f ca="1">SUMPRODUCT($ET137:$EX137,OFFSET(DNN!$Y$9:$AC$9,FC$9,0)) + OFFSET(DNN!$X$9,FC$9,0)</f>
        <v>-8.8749521084055777E-4</v>
      </c>
      <c r="FD137" s="97">
        <f ca="1">SUMPRODUCT($ET137:$EX137,OFFSET(DNN!$Y$9:$AC$9,FD$9,0)) + OFFSET(DNN!$X$9,FD$9,0)</f>
        <v>-4.235816470721872E-4</v>
      </c>
      <c r="FE137" s="97">
        <f ca="1">SUMPRODUCT($ET137:$EX137,OFFSET(DNN!$Y$9:$AC$9,FE$9,0)) + OFFSET(DNN!$X$9,FE$9,0)</f>
        <v>-1.574182761064886E-5</v>
      </c>
      <c r="FF137" s="97">
        <f ca="1">SUMPRODUCT($ET137:$EX137,OFFSET(DNN!$Y$9:$AC$9,FF$9,0)) + OFFSET(DNN!$X$9,FF$9,0)</f>
        <v>-1.3491460223194656E-3</v>
      </c>
      <c r="FG137" s="97">
        <f ca="1">SUMPRODUCT($ET137:$EX137,OFFSET(DNN!$Y$9:$AC$9,FG$9,0)) + OFFSET(DNN!$X$9,FG$9,0)</f>
        <v>-6.2604808096248285E-2</v>
      </c>
      <c r="FH137" s="97">
        <f ca="1">SUMPRODUCT($ET137:$EX137,OFFSET(DNN!$Y$9:$AC$9,FH$9,0)) + OFFSET(DNN!$X$9,FH$9,0)</f>
        <v>8.6810016937029894E-4</v>
      </c>
      <c r="FI137" s="108">
        <f ca="1">SUMPRODUCT($ET137:$EX137,OFFSET(DNN!$Y$9:$AC$9,FI$9,0)) + OFFSET(DNN!$X$9,FI$9,0)</f>
        <v>-1.3182687612562751</v>
      </c>
      <c r="FJ137" s="98">
        <f ca="1">SUMPRODUCT($ET137:$EX137,OFFSET(DNN!$Y$9:$AC$9,FJ$9,0)) + OFFSET(DNN!$X$9,FJ$9,0)</f>
        <v>-2.2535161745939301E-5</v>
      </c>
      <c r="FL137" s="415">
        <f t="shared" ca="1" si="224"/>
        <v>0.43031618918982212</v>
      </c>
      <c r="FM137" s="130">
        <f t="shared" ca="1" si="225"/>
        <v>1</v>
      </c>
      <c r="FN137" s="131">
        <f t="shared" ca="1" si="226"/>
        <v>0.65029522127322903</v>
      </c>
      <c r="FO137" s="131">
        <f t="shared" ca="1" si="227"/>
        <v>0.66028983545318687</v>
      </c>
      <c r="FP137" s="131">
        <f t="shared" ca="1" si="228"/>
        <v>0.64972655813153501</v>
      </c>
      <c r="FQ137" s="131">
        <f t="shared" ca="1" si="229"/>
        <v>0.65002804502111444</v>
      </c>
      <c r="FR137" s="131">
        <f t="shared" ca="1" si="230"/>
        <v>0.65029320640965171</v>
      </c>
      <c r="FS137" s="131">
        <f t="shared" ca="1" si="231"/>
        <v>0.64942668056342145</v>
      </c>
      <c r="FT137" s="131">
        <f t="shared" ca="1" si="232"/>
        <v>0.61083952513994022</v>
      </c>
      <c r="FU137" s="132">
        <f t="shared" ca="1" si="233"/>
        <v>0.6508682169276182</v>
      </c>
      <c r="FV137" s="131">
        <f t="shared" ca="1" si="234"/>
        <v>0.17402001625314881</v>
      </c>
      <c r="FW137" s="83">
        <f t="shared" ca="1" si="235"/>
        <v>-2.2535161742124597E-5</v>
      </c>
    </row>
    <row r="138" spans="1:179">
      <c r="A138" s="19">
        <f t="shared" si="240"/>
        <v>128</v>
      </c>
      <c r="B138" s="1">
        <f t="shared" ca="1" si="236"/>
        <v>0</v>
      </c>
      <c r="C138" s="20">
        <f t="shared" ca="1" si="237"/>
        <v>128</v>
      </c>
      <c r="D138" s="19" t="str">
        <f t="shared" ca="1" si="238"/>
        <v>〇×〇×〇×--〇</v>
      </c>
      <c r="E138" s="7">
        <f t="shared" ca="1" si="206"/>
        <v>9</v>
      </c>
      <c r="F138" s="7">
        <f t="shared" ca="1" si="207"/>
        <v>1</v>
      </c>
      <c r="G138" s="1" t="str">
        <f t="shared" ca="1" si="250"/>
        <v>〇×〇×〇×--〇</v>
      </c>
      <c r="H138" s="20" t="b">
        <f t="shared" ca="1" si="251"/>
        <v>1</v>
      </c>
      <c r="I138" s="22">
        <f t="shared" ca="1" si="239"/>
        <v>-1</v>
      </c>
      <c r="J138" s="1" t="b">
        <f ca="1">(1&lt;COUNTIF(D$10:D138,D138))</f>
        <v>1</v>
      </c>
      <c r="K138" s="1" t="b">
        <f t="shared" ca="1" si="252"/>
        <v>1</v>
      </c>
      <c r="L138" s="7">
        <f ca="1">MATCH(TRUE,K138:K$1048576,FALSE)-1</f>
        <v>0</v>
      </c>
      <c r="M138" s="24" t="str">
        <f t="shared" ca="1" si="253"/>
        <v>〇×〇×〇×--〇_9</v>
      </c>
      <c r="N138" s="25">
        <f t="shared" ca="1" si="208"/>
        <v>-2.2535161742124597E-5</v>
      </c>
      <c r="O138" s="26">
        <f t="shared" ca="1" si="209"/>
        <v>-1</v>
      </c>
      <c r="P138" s="27">
        <f t="shared" ca="1" si="210"/>
        <v>-1</v>
      </c>
      <c r="R138" s="41" t="str">
        <f ca="1">VLOOKUP(S138,cvt!$B$2:$C$4,2,FALSE)&amp;VLOOKUP(T138,cvt!$B$2:$C$4,2,FALSE)&amp;VLOOKUP(U138,cvt!$B$2:$C$4,2,FALSE)
&amp;VLOOKUP(V138,cvt!$B$2:$C$4,2,FALSE)&amp;VLOOKUP(W138,cvt!$B$2:$C$4,2,FALSE)&amp;VLOOKUP(X138,cvt!$B$2:$C$4,2,FALSE)
&amp;VLOOKUP(Y138,cvt!$B$2:$C$4,2,FALSE)&amp;VLOOKUP(Z138,cvt!$B$2:$C$4,2,FALSE)&amp;VLOOKUP(AA138,cvt!$B$2:$C$4,2,FALSE)</f>
        <v>〇×〇×〇×--〇</v>
      </c>
      <c r="S138" s="7">
        <f ca="1">VLOOKUP(MID($D138,S$9+1,1), cvt!$A$2:$B$4,2, FALSE)</f>
        <v>1</v>
      </c>
      <c r="T138" s="7">
        <f ca="1">VLOOKUP(MID($D138,T$9+1,1), cvt!$A$2:$B$4,2, FALSE)</f>
        <v>-1</v>
      </c>
      <c r="U138" s="7">
        <f ca="1">VLOOKUP(MID($D138,U$9+1,1), cvt!$A$2:$B$4,2, FALSE)</f>
        <v>1</v>
      </c>
      <c r="V138" s="17">
        <f ca="1">VLOOKUP(MID($D138,V$9+1,1), cvt!$A$2:$B$4,2, FALSE)</f>
        <v>-1</v>
      </c>
      <c r="W138" s="7">
        <f ca="1">VLOOKUP(MID($D138,W$9+1,1), cvt!$A$2:$B$4,2, FALSE)</f>
        <v>1</v>
      </c>
      <c r="X138" s="18">
        <f ca="1">VLOOKUP(MID($D138,X$9+1,1), cvt!$A$2:$B$4,2, FALSE)</f>
        <v>-1</v>
      </c>
      <c r="Y138" s="7">
        <f ca="1">VLOOKUP(MID($D138,Y$9+1,1), cvt!$A$2:$B$4,2, FALSE)</f>
        <v>0</v>
      </c>
      <c r="Z138" s="7">
        <f ca="1">VLOOKUP(MID($D138,Z$9+1,1), cvt!$A$2:$B$4,2, FALSE)</f>
        <v>0</v>
      </c>
      <c r="AA138" s="42">
        <f ca="1">VLOOKUP(MID($D138,AA$9+1,1), cvt!$A$2:$B$4,2, FALSE)</f>
        <v>1</v>
      </c>
      <c r="AB138" s="7">
        <f t="shared" ca="1" si="211"/>
        <v>1</v>
      </c>
      <c r="AC138" s="50" t="b">
        <f t="shared" ca="1" si="212"/>
        <v>1</v>
      </c>
      <c r="AE138" s="19" t="str">
        <f ca="1">VLOOKUP(AF138,cvt!$B$2:$C$4,2,FALSE)&amp;VLOOKUP(AG138,cvt!$B$2:$C$4,2,FALSE)&amp;VLOOKUP(AH138,cvt!$B$2:$C$4,2,FALSE)
&amp;VLOOKUP(AI138,cvt!$B$2:$C$4,2,FALSE)&amp;VLOOKUP(AJ138,cvt!$B$2:$C$4,2,FALSE)&amp;VLOOKUP(AK138,cvt!$B$2:$C$4,2,FALSE)
&amp;VLOOKUP(AL138,cvt!$B$2:$C$4,2,FALSE)&amp;VLOOKUP(AM138,cvt!$B$2:$C$4,2,FALSE)&amp;VLOOKUP(AN138,cvt!$B$2:$C$4,2,FALSE)</f>
        <v>〇×〇×〇×--〇</v>
      </c>
      <c r="AF138" s="17">
        <f t="shared" ca="1" si="254"/>
        <v>1</v>
      </c>
      <c r="AG138" s="7">
        <f t="shared" ca="1" si="255"/>
        <v>-1</v>
      </c>
      <c r="AH138" s="7">
        <f t="shared" ca="1" si="256"/>
        <v>1</v>
      </c>
      <c r="AI138" s="17">
        <f t="shared" ca="1" si="257"/>
        <v>-1</v>
      </c>
      <c r="AJ138" s="7">
        <f t="shared" ca="1" si="258"/>
        <v>1</v>
      </c>
      <c r="AK138" s="18">
        <f t="shared" ca="1" si="259"/>
        <v>-1</v>
      </c>
      <c r="AL138" s="7">
        <f t="shared" ca="1" si="260"/>
        <v>0</v>
      </c>
      <c r="AM138" s="7">
        <f t="shared" ca="1" si="261"/>
        <v>0</v>
      </c>
      <c r="AN138" s="18">
        <f t="shared" ca="1" si="262"/>
        <v>1</v>
      </c>
      <c r="AO138" s="7">
        <f t="shared" ca="1" si="213"/>
        <v>1</v>
      </c>
      <c r="AP138" s="50" t="b">
        <f t="shared" ca="1" si="263"/>
        <v>1</v>
      </c>
      <c r="AS138" s="22">
        <f t="shared" ca="1" si="214"/>
        <v>0</v>
      </c>
      <c r="AT138" s="7">
        <f t="shared" ref="AT138:AT145" ca="1" si="264">IF(AND(T138=0,$AC138=FALSE),1,0)</f>
        <v>0</v>
      </c>
      <c r="AU138" s="7">
        <f t="shared" ref="AU138:AU145" ca="1" si="265">IF(AND(U138=0,$AC138=FALSE),1,0)</f>
        <v>0</v>
      </c>
      <c r="AV138" s="7">
        <f t="shared" ref="AV138:AV145" ca="1" si="266">IF(AND(V138=0,$AC138=FALSE),1,0)</f>
        <v>0</v>
      </c>
      <c r="AW138" s="7">
        <f t="shared" ref="AW138:AW145" ca="1" si="267">IF(AND(W138=0,$AC138=FALSE),1,0)</f>
        <v>0</v>
      </c>
      <c r="AX138" s="7">
        <f t="shared" ref="AX138:AX145" ca="1" si="268">IF(AND(X138=0,$AC138=FALSE),1,0)</f>
        <v>0</v>
      </c>
      <c r="AY138" s="7">
        <f t="shared" ref="AY138:AY145" ca="1" si="269">IF(AND(Y138=0,$AC138=FALSE),1,0)</f>
        <v>0</v>
      </c>
      <c r="AZ138" s="7">
        <f t="shared" ref="AZ138:AZ145" ca="1" si="270">IF(AND(Z138=0,$AC138=FALSE),1,0)</f>
        <v>0</v>
      </c>
      <c r="BA138" s="18">
        <f t="shared" ref="BA138:BA145" ca="1" si="271">IF(AND(AA138=0,$AC138=FALSE),1,0)</f>
        <v>0</v>
      </c>
      <c r="BB138" s="295">
        <f t="shared" ca="1" si="215"/>
        <v>1</v>
      </c>
      <c r="BD138" s="132"/>
      <c r="BE138" s="297">
        <f t="shared" ca="1" si="216"/>
        <v>1</v>
      </c>
      <c r="BF138" s="298">
        <f t="shared" ref="BF138:BF145" ca="1" si="272">FN138</f>
        <v>0.65029522127322903</v>
      </c>
      <c r="BG138" s="298">
        <f t="shared" ref="BG138:BG145" ca="1" si="273">FO138</f>
        <v>0.66028983545318687</v>
      </c>
      <c r="BH138" s="318">
        <f t="shared" ref="BH138:BH145" ca="1" si="274">FP138</f>
        <v>0.64972655813153501</v>
      </c>
      <c r="BI138" s="298">
        <f t="shared" ref="BI138:BI145" ca="1" si="275">FQ138</f>
        <v>0.65002804502111444</v>
      </c>
      <c r="BJ138" s="299">
        <f t="shared" ref="BJ138:BJ145" ca="1" si="276">FR138</f>
        <v>0.65029320640965171</v>
      </c>
      <c r="BK138" s="298">
        <f t="shared" ref="BK138:BK145" ca="1" si="277">FS138</f>
        <v>0.64942668056342145</v>
      </c>
      <c r="BL138" s="298">
        <f t="shared" ref="BL138:BL145" ca="1" si="278">FT138</f>
        <v>0.61083952513994022</v>
      </c>
      <c r="BM138" s="299">
        <f t="shared" ref="BM138:BM145" ca="1" si="279">FU138</f>
        <v>0.6508682169276182</v>
      </c>
      <c r="BN138" s="295">
        <f t="shared" ref="BN138:BN145" ca="1" si="280">FV138</f>
        <v>0.17402001625314881</v>
      </c>
      <c r="BO138" s="248">
        <f t="shared" ca="1" si="217"/>
        <v>-2.2535161742124597E-5</v>
      </c>
      <c r="BQ138" s="304">
        <f t="shared" ca="1" si="218"/>
        <v>0.1741200162531488</v>
      </c>
      <c r="BR138" s="297">
        <f t="shared" ca="1" si="219"/>
        <v>0</v>
      </c>
      <c r="BS138" s="298">
        <f t="shared" ref="BS138:BS145" ca="1" si="281">(BF138 + 0.25*IF($B138=0, RANDBETWEEN(0,1), 0) + 1/10000) * AT138</f>
        <v>0</v>
      </c>
      <c r="BT138" s="298">
        <f t="shared" ref="BT138:BT145" ca="1" si="282">(BG138 + 0.25*IF($B138=0, RANDBETWEEN(0,1), 0) + 1/10000) * AU138</f>
        <v>0</v>
      </c>
      <c r="BU138" s="318">
        <f t="shared" ref="BU138:BU145" ca="1" si="283">(BH138 + 0.25*IF($B138=0, RANDBETWEEN(0,1), 0) + 1/10000) * AV138</f>
        <v>0</v>
      </c>
      <c r="BV138" s="298">
        <f t="shared" ref="BV138:BV145" ca="1" si="284">(BI138 + 0.25*IF($B138=0, RANDBETWEEN(0,1), 0) + 1/10000) * AW138</f>
        <v>0</v>
      </c>
      <c r="BW138" s="299">
        <f t="shared" ref="BW138:BW145" ca="1" si="285">(BJ138 + 0.25*IF($B138=0, RANDBETWEEN(0,1), 0) + 1/10000) * AX138</f>
        <v>0</v>
      </c>
      <c r="BX138" s="298">
        <f t="shared" ref="BX138:BX145" ca="1" si="286">(BK138 + 0.25*IF($B138=0, RANDBETWEEN(0,1), 0) + 1/10000) * AY138</f>
        <v>0</v>
      </c>
      <c r="BY138" s="298">
        <f t="shared" ref="BY138:BY145" ca="1" si="287">(BL138 + 0.25*IF($B138=0, RANDBETWEEN(0,1), 0) + 1/10000) * AZ138</f>
        <v>0</v>
      </c>
      <c r="BZ138" s="298">
        <f t="shared" ref="BZ138:BZ145" ca="1" si="288">(BM138 + 0.25*IF($B138=0, RANDBETWEEN(0,1), 0) + 1/10000) * BA138</f>
        <v>0</v>
      </c>
      <c r="CA138" s="315">
        <f t="shared" ref="CA138:CA145" ca="1" si="289">(BN138 + 0.25*IF($B138=0, RANDBETWEEN(0,1), 0) + 1/10000) * BB138</f>
        <v>0.1741200162531488</v>
      </c>
      <c r="CC138" s="52"/>
      <c r="CD138" s="306">
        <f t="shared" ca="1" si="220"/>
        <v>0</v>
      </c>
      <c r="CE138" s="15">
        <f t="shared" ref="CE138:CE145" ca="1" si="290">BS138/$BQ138</f>
        <v>0</v>
      </c>
      <c r="CF138" s="15">
        <f t="shared" ref="CF138:CF145" ca="1" si="291">BT138/$BQ138</f>
        <v>0</v>
      </c>
      <c r="CG138" s="286">
        <f t="shared" ref="CG138:CG145" ca="1" si="292">BU138/$BQ138</f>
        <v>0</v>
      </c>
      <c r="CH138" s="15">
        <f t="shared" ref="CH138:CH145" ca="1" si="293">BV138/$BQ138</f>
        <v>0</v>
      </c>
      <c r="CI138" s="288">
        <f t="shared" ref="CI138:CI145" ca="1" si="294">BW138/$BQ138</f>
        <v>0</v>
      </c>
      <c r="CJ138" s="15">
        <f t="shared" ref="CJ138:CJ145" ca="1" si="295">BX138/$BQ138</f>
        <v>0</v>
      </c>
      <c r="CK138" s="15">
        <f t="shared" ref="CK138:CK145" ca="1" si="296">BY138/$BQ138</f>
        <v>0</v>
      </c>
      <c r="CL138" s="15">
        <f t="shared" ref="CL138:CL145" ca="1" si="297">BZ138/$BQ138</f>
        <v>0</v>
      </c>
      <c r="CM138" s="313">
        <f t="shared" ref="CM138:CM145" ca="1" si="298">CA138/$BQ138</f>
        <v>1</v>
      </c>
      <c r="CO138" s="320">
        <f t="shared" ca="1" si="221"/>
        <v>127</v>
      </c>
      <c r="CP138" s="22">
        <f ca="1">COUNTIFS($C$10:$C137,"&lt;"&amp;$C138,$M$10:$M137,$D138&amp;"_"&amp;CP$9)</f>
        <v>0</v>
      </c>
      <c r="CQ138" s="7">
        <f ca="1">COUNTIFS($C$10:$C137,"&lt;"&amp;$C138,$M$10:$M137,$D138&amp;"_"&amp;CQ$9)</f>
        <v>0</v>
      </c>
      <c r="CR138" s="7">
        <f ca="1">COUNTIFS($C$10:$C137,"&lt;"&amp;$C138,$M$10:$M137,$D138&amp;"_"&amp;CR$9)</f>
        <v>0</v>
      </c>
      <c r="CS138" s="17">
        <f ca="1">COUNTIFS($C$10:$C137,"&lt;"&amp;$C138,$M$10:$M137,$D138&amp;"_"&amp;CS$9)</f>
        <v>0</v>
      </c>
      <c r="CT138" s="7">
        <f ca="1">COUNTIFS($C$10:$C137,"&lt;"&amp;$C138,$M$10:$M137,$D138&amp;"_"&amp;CT$9)</f>
        <v>0</v>
      </c>
      <c r="CU138" s="18">
        <f ca="1">COUNTIFS($C$10:$C137,"&lt;"&amp;$C138,$M$10:$M137,$D138&amp;"_"&amp;CU$9)</f>
        <v>0</v>
      </c>
      <c r="CV138" s="7">
        <f ca="1">COUNTIFS($C$10:$C137,"&lt;"&amp;$C138,$M$10:$M137,$D138&amp;"_"&amp;CV$9)</f>
        <v>0</v>
      </c>
      <c r="CW138" s="7">
        <f ca="1">COUNTIFS($C$10:$C137,"&lt;"&amp;$C138,$M$10:$M137,$D138&amp;"_"&amp;CW$9)</f>
        <v>0</v>
      </c>
      <c r="CX138" s="7">
        <f ca="1">COUNTIFS($C$10:$C137,"&lt;"&amp;$C138,$M$10:$M137,$D138&amp;"_"&amp;CX$9)</f>
        <v>0</v>
      </c>
      <c r="CY138" s="221">
        <f ca="1">COUNTIFS($C$10:$C137,"&lt;"&amp;$C138,$M$10:$M137,$D138&amp;"_"&amp;CY$9)</f>
        <v>127</v>
      </c>
      <c r="DA138" s="20"/>
      <c r="DB138" s="308">
        <f ca="1">IF(CP138=0,0,SUMIFS($P$10:$P137, $C$10:$C137,"&lt;"&amp;$C138, $M$10:$M137,$D138&amp;"_"&amp;DB$9)/CP138)</f>
        <v>0</v>
      </c>
      <c r="DC138" s="263">
        <f ca="1">IF(CQ138=0,0,SUMIFS($P$10:$P137, $C$10:$C137,"&lt;"&amp;$C138, $M$10:$M137,$D138&amp;"_"&amp;DC$9)/CQ138)</f>
        <v>0</v>
      </c>
      <c r="DD138" s="263">
        <f ca="1">IF(CR138=0,0,SUMIFS($P$10:$P137, $C$10:$C137,"&lt;"&amp;$C138, $M$10:$M137,$D138&amp;"_"&amp;DD$9)/CR138)</f>
        <v>0</v>
      </c>
      <c r="DE138" s="262">
        <f ca="1">IF(CS138=0,0,SUMIFS($P$10:$P137, $C$10:$C137,"&lt;"&amp;$C138, $M$10:$M137,$D138&amp;"_"&amp;DE$9)/CS138)</f>
        <v>0</v>
      </c>
      <c r="DF138" s="263">
        <f ca="1">IF(CT138=0,0,SUMIFS($P$10:$P137, $C$10:$C137,"&lt;"&amp;$C138, $M$10:$M137,$D138&amp;"_"&amp;DF$9)/CT138)</f>
        <v>0</v>
      </c>
      <c r="DG138" s="310">
        <f ca="1">IF(CU138=0,0,SUMIFS($P$10:$P137, $C$10:$C137,"&lt;"&amp;$C138, $M$10:$M137,$D138&amp;"_"&amp;DG$9)/CU138)</f>
        <v>0</v>
      </c>
      <c r="DH138" s="263">
        <f ca="1">IF(CV138=0,0,SUMIFS($P$10:$P137, $C$10:$C137,"&lt;"&amp;$C138, $M$10:$M137,$D138&amp;"_"&amp;DH$9)/CV138)</f>
        <v>0</v>
      </c>
      <c r="DI138" s="263">
        <f ca="1">IF(CW138=0,0,SUMIFS($P$10:$P137, $C$10:$C137,"&lt;"&amp;$C138, $M$10:$M137,$D138&amp;"_"&amp;DI$9)/CW138)</f>
        <v>0</v>
      </c>
      <c r="DJ138" s="264">
        <f ca="1">IF(CX138=0,0,SUMIFS($P$10:$P137, $C$10:$C137,"&lt;"&amp;$C138, $M$10:$M137,$D138&amp;"_"&amp;DJ$9)/CX138)</f>
        <v>0</v>
      </c>
      <c r="DK138" s="264">
        <f ca="1">IF(CY138=0,0,SUMIFS($P$10:$P137, $C$10:$C137,"&lt;"&amp;$C138, $M$10:$M137,$D138&amp;"_"&amp;DK$9)/CY138)</f>
        <v>-1</v>
      </c>
      <c r="DM138" s="104"/>
      <c r="DN138" s="306">
        <f t="shared" ca="1" si="222"/>
        <v>-9999</v>
      </c>
      <c r="DO138" s="15">
        <f t="shared" ref="DO138:DO145" ca="1" si="299">IF(AT138=0, -9999, DC138 + 1*CE138*SQRT($CO138)/(1+CQ138))</f>
        <v>-9999</v>
      </c>
      <c r="DP138" s="15">
        <f t="shared" ref="DP138:DP145" ca="1" si="300">IF(AU138=0, -9999, DD138 + 1*CF138*SQRT($CO138)/(1+CR138))</f>
        <v>-9999</v>
      </c>
      <c r="DQ138" s="15">
        <f t="shared" ref="DQ138:DQ145" ca="1" si="301">IF(AV138=0, -9999, DE138 + 1*CG138*SQRT($CO138)/(1+CS138))</f>
        <v>-9999</v>
      </c>
      <c r="DR138" s="15">
        <f t="shared" ref="DR138:DR145" ca="1" si="302">IF(AW138=0, -9999, DF138 + 1*CH138*SQRT($CO138)/(1+CT138))</f>
        <v>-9999</v>
      </c>
      <c r="DS138" s="15">
        <f t="shared" ref="DS138:DS145" ca="1" si="303">IF(AX138=0, -9999, DG138 + 1*CI138*SQRT($CO138)/(1+CU138))</f>
        <v>-9999</v>
      </c>
      <c r="DT138" s="15">
        <f t="shared" ref="DT138:DT145" ca="1" si="304">IF(AY138=0, -9999, DH138 + 1*CJ138*SQRT($CO138)/(1+CV138))</f>
        <v>-9999</v>
      </c>
      <c r="DU138" s="15">
        <f t="shared" ref="DU138:DU145" ca="1" si="305">IF(AZ138=0, -9999, DI138 + 1*CK138*SQRT($CO138)/(1+CW138))</f>
        <v>-9999</v>
      </c>
      <c r="DV138" s="52">
        <f t="shared" ref="DV138:DV145" ca="1" si="306">IF(BA138=0, -9999, DJ138 + 1*CL138*SQRT($CO138)/(1+CX138))</f>
        <v>-9999</v>
      </c>
      <c r="DW138" s="313">
        <f t="shared" ref="DW138:DW145" ca="1" si="307">IF(BB138=0, -9999, DK138 + 1*CM138*SQRT($CO138)/(1+CY138))</f>
        <v>-0.91195759633136997</v>
      </c>
      <c r="DX138" s="52"/>
      <c r="DY138" s="402">
        <f t="shared" ca="1" si="223"/>
        <v>9</v>
      </c>
      <c r="ED138" s="19">
        <f t="shared" ref="ED138:ED145" ca="1" si="308">S138 * $I138</f>
        <v>-1</v>
      </c>
      <c r="EE138" s="1">
        <f t="shared" ref="EE138:EE145" ca="1" si="309">T138 * $I138</f>
        <v>1</v>
      </c>
      <c r="EF138" s="1">
        <f t="shared" ref="EF138:EF145" ca="1" si="310">U138 * $I138</f>
        <v>-1</v>
      </c>
      <c r="EG138" s="2">
        <f t="shared" ref="EG138:EG145" ca="1" si="311">V138 * $I138</f>
        <v>1</v>
      </c>
      <c r="EH138" s="1">
        <f t="shared" ref="EH138:EH145" ca="1" si="312">W138 * $I138</f>
        <v>-1</v>
      </c>
      <c r="EI138" s="3">
        <f t="shared" ref="EI138:EI145" ca="1" si="313">X138 * $I138</f>
        <v>1</v>
      </c>
      <c r="EJ138" s="1">
        <f t="shared" ref="EJ138:EJ145" ca="1" si="314">Y138 * $I138</f>
        <v>0</v>
      </c>
      <c r="EK138" s="1">
        <f t="shared" ref="EK138:EK145" ca="1" si="315">Z138 * $I138</f>
        <v>0</v>
      </c>
      <c r="EL138" s="20">
        <f t="shared" ref="EL138:EL145" ca="1" si="316">AA138 * $I138</f>
        <v>-1</v>
      </c>
      <c r="EN138" s="86">
        <f ca="1">MAX(0, SUMPRODUCT($ED138:$EL138,OFFSET(DNN!$E$9:$M$9,EN$9,0)) + OFFSET(DNN!$D$9,EN$9,0))</f>
        <v>0</v>
      </c>
      <c r="EO138" s="84">
        <f ca="1">MAX(0, SUMPRODUCT($ED138:$EL138,OFFSET(DNN!$E$9:$M$9,EO$9,0)) + OFFSET(DNN!$D$9,EO$9,0))</f>
        <v>7.2346022384755949E-3</v>
      </c>
      <c r="EP138" s="84">
        <f ca="1">MAX(0, SUMPRODUCT($ED138:$EL138,OFFSET(DNN!$E$9:$M$9,EP$9,0)) + OFFSET(DNN!$D$9,EP$9,0))</f>
        <v>3.6951849750035152E-3</v>
      </c>
      <c r="EQ138" s="84">
        <f ca="1">MAX(0, SUMPRODUCT($ED138:$EL138,OFFSET(DNN!$E$9:$M$9,EQ$9,0)) + OFFSET(DNN!$D$9,EQ$9,0))</f>
        <v>0</v>
      </c>
      <c r="ER138" s="85">
        <f ca="1">MAX(0, SUMPRODUCT($ED138:$EL138,OFFSET(DNN!$E$9:$M$9,ER$9,0)) + OFFSET(DNN!$D$9,ER$9,0))</f>
        <v>0</v>
      </c>
      <c r="ET138" s="86">
        <f ca="1">MAX(0, SUMPRODUCT($EN138:$ER138,OFFSET(DNN!$Q$9:$U$9,ET$9,0)) + OFFSET(DNN!$P$9,ET$9,0))</f>
        <v>4.3954959453478351E-4</v>
      </c>
      <c r="EU138" s="84">
        <f ca="1">MAX(0, SUMPRODUCT($EN138:$ER138,OFFSET(DNN!$Q$9:$U$9,EU$9,0)) + OFFSET(DNN!$P$9,EU$9,0))</f>
        <v>0</v>
      </c>
      <c r="EV138" s="84">
        <f ca="1">MAX(0, SUMPRODUCT($EN138:$ER138,OFFSET(DNN!$Q$9:$U$9,EV$9,0)) + OFFSET(DNN!$P$9,EV$9,0))</f>
        <v>1.2810123361902579E-3</v>
      </c>
      <c r="EW138" s="84">
        <f ca="1">MAX(0, SUMPRODUCT($EN138:$ER138,OFFSET(DNN!$Q$9:$U$9,EW$9,0)) + OFFSET(DNN!$P$9,EW$9,0))</f>
        <v>7.8382123007882457E-4</v>
      </c>
      <c r="EX138" s="85">
        <f ca="1">MAX(0, SUMPRODUCT($EN138:$ER138,OFFSET(DNN!$Q$9:$U$9,EX$9,0)) + OFFSET(DNN!$P$9,EX$9,0))</f>
        <v>0</v>
      </c>
      <c r="EZ138" s="111">
        <f ca="1">SUMPRODUCT($ET138:$EX138,OFFSET(DNN!$Y$9:$AC$9,EZ$9,0)) + OFFSET(DNN!$X$9,EZ$9,0)</f>
        <v>0.43031618918982212</v>
      </c>
      <c r="FA138" s="97">
        <f ca="1">SUMPRODUCT($ET138:$EX138,OFFSET(DNN!$Y$9:$AC$9,FA$9,0)) + OFFSET(DNN!$X$9,FA$9,0)</f>
        <v>-1.2643439935754107E-5</v>
      </c>
      <c r="FB138" s="97">
        <f ca="1">SUMPRODUCT($ET138:$EX138,OFFSET(DNN!$Y$9:$AC$9,FB$9,0)) + OFFSET(DNN!$X$9,FB$9,0)</f>
        <v>1.5239793458415756E-2</v>
      </c>
      <c r="FC138" s="97">
        <f ca="1">SUMPRODUCT($ET138:$EX138,OFFSET(DNN!$Y$9:$AC$9,FC$9,0)) + OFFSET(DNN!$X$9,FC$9,0)</f>
        <v>-8.8749521084055777E-4</v>
      </c>
      <c r="FD138" s="97">
        <f ca="1">SUMPRODUCT($ET138:$EX138,OFFSET(DNN!$Y$9:$AC$9,FD$9,0)) + OFFSET(DNN!$X$9,FD$9,0)</f>
        <v>-4.235816470721872E-4</v>
      </c>
      <c r="FE138" s="97">
        <f ca="1">SUMPRODUCT($ET138:$EX138,OFFSET(DNN!$Y$9:$AC$9,FE$9,0)) + OFFSET(DNN!$X$9,FE$9,0)</f>
        <v>-1.574182761064886E-5</v>
      </c>
      <c r="FF138" s="97">
        <f ca="1">SUMPRODUCT($ET138:$EX138,OFFSET(DNN!$Y$9:$AC$9,FF$9,0)) + OFFSET(DNN!$X$9,FF$9,0)</f>
        <v>-1.3491460223194656E-3</v>
      </c>
      <c r="FG138" s="97">
        <f ca="1">SUMPRODUCT($ET138:$EX138,OFFSET(DNN!$Y$9:$AC$9,FG$9,0)) + OFFSET(DNN!$X$9,FG$9,0)</f>
        <v>-6.2604808096248285E-2</v>
      </c>
      <c r="FH138" s="97">
        <f ca="1">SUMPRODUCT($ET138:$EX138,OFFSET(DNN!$Y$9:$AC$9,FH$9,0)) + OFFSET(DNN!$X$9,FH$9,0)</f>
        <v>8.6810016937029894E-4</v>
      </c>
      <c r="FI138" s="108">
        <f ca="1">SUMPRODUCT($ET138:$EX138,OFFSET(DNN!$Y$9:$AC$9,FI$9,0)) + OFFSET(DNN!$X$9,FI$9,0)</f>
        <v>-1.3182687612562751</v>
      </c>
      <c r="FJ138" s="98">
        <f ca="1">SUMPRODUCT($ET138:$EX138,OFFSET(DNN!$Y$9:$AC$9,FJ$9,0)) + OFFSET(DNN!$X$9,FJ$9,0)</f>
        <v>-2.2535161745939301E-5</v>
      </c>
      <c r="FL138" s="415">
        <f t="shared" ca="1" si="224"/>
        <v>0.43031618918982212</v>
      </c>
      <c r="FM138" s="130">
        <f t="shared" ca="1" si="225"/>
        <v>1</v>
      </c>
      <c r="FN138" s="131">
        <f t="shared" ca="1" si="226"/>
        <v>0.65029522127322903</v>
      </c>
      <c r="FO138" s="131">
        <f t="shared" ca="1" si="227"/>
        <v>0.66028983545318687</v>
      </c>
      <c r="FP138" s="131">
        <f t="shared" ca="1" si="228"/>
        <v>0.64972655813153501</v>
      </c>
      <c r="FQ138" s="131">
        <f t="shared" ca="1" si="229"/>
        <v>0.65002804502111444</v>
      </c>
      <c r="FR138" s="131">
        <f t="shared" ca="1" si="230"/>
        <v>0.65029320640965171</v>
      </c>
      <c r="FS138" s="131">
        <f t="shared" ca="1" si="231"/>
        <v>0.64942668056342145</v>
      </c>
      <c r="FT138" s="131">
        <f t="shared" ca="1" si="232"/>
        <v>0.61083952513994022</v>
      </c>
      <c r="FU138" s="132">
        <f t="shared" ca="1" si="233"/>
        <v>0.6508682169276182</v>
      </c>
      <c r="FV138" s="131">
        <f t="shared" ca="1" si="234"/>
        <v>0.17402001625314881</v>
      </c>
      <c r="FW138" s="83">
        <f t="shared" ca="1" si="235"/>
        <v>-2.2535161742124597E-5</v>
      </c>
    </row>
    <row r="139" spans="1:179">
      <c r="A139" s="19">
        <f t="shared" si="240"/>
        <v>129</v>
      </c>
      <c r="B139" s="1">
        <f t="shared" ca="1" si="236"/>
        <v>0</v>
      </c>
      <c r="C139" s="20">
        <f t="shared" ca="1" si="237"/>
        <v>129</v>
      </c>
      <c r="D139" s="19" t="str">
        <f t="shared" ca="1" si="238"/>
        <v>〇×〇×〇×--〇</v>
      </c>
      <c r="E139" s="7">
        <f t="shared" ref="E139:E145" ca="1" si="317">$DY139</f>
        <v>9</v>
      </c>
      <c r="F139" s="7">
        <f t="shared" ref="F139:F145" ca="1" si="318">AO139</f>
        <v>1</v>
      </c>
      <c r="G139" s="1" t="str">
        <f t="shared" ca="1" si="250"/>
        <v>〇×〇×〇×--〇</v>
      </c>
      <c r="H139" s="20" t="b">
        <f t="shared" ca="1" si="251"/>
        <v>1</v>
      </c>
      <c r="I139" s="22">
        <f t="shared" ca="1" si="239"/>
        <v>-1</v>
      </c>
      <c r="J139" s="1" t="b">
        <f ca="1">(1&lt;COUNTIF(D$10:D139,D139))</f>
        <v>1</v>
      </c>
      <c r="K139" s="1" t="b">
        <f t="shared" ca="1" si="252"/>
        <v>1</v>
      </c>
      <c r="L139" s="7">
        <f ca="1">MATCH(TRUE,K139:K$1048576,FALSE)-1</f>
        <v>0</v>
      </c>
      <c r="M139" s="24" t="str">
        <f t="shared" ca="1" si="253"/>
        <v>〇×〇×〇×--〇_9</v>
      </c>
      <c r="N139" s="25">
        <f t="shared" ref="N139:N145" ca="1" si="319">BO139</f>
        <v>-2.2535161742124597E-5</v>
      </c>
      <c r="O139" s="26">
        <f t="shared" ref="O139:O145" ca="1" si="320">IF(K139, IF(H139, F139*I139, N139), 0)</f>
        <v>-1</v>
      </c>
      <c r="P139" s="27">
        <f t="shared" ref="P139:P145" ca="1" si="321">OFFSET(O139,L139,0) * I139*OFFSET(I139,L139,0)</f>
        <v>-1</v>
      </c>
      <c r="R139" s="41" t="str">
        <f ca="1">VLOOKUP(S139,cvt!$B$2:$C$4,2,FALSE)&amp;VLOOKUP(T139,cvt!$B$2:$C$4,2,FALSE)&amp;VLOOKUP(U139,cvt!$B$2:$C$4,2,FALSE)
&amp;VLOOKUP(V139,cvt!$B$2:$C$4,2,FALSE)&amp;VLOOKUP(W139,cvt!$B$2:$C$4,2,FALSE)&amp;VLOOKUP(X139,cvt!$B$2:$C$4,2,FALSE)
&amp;VLOOKUP(Y139,cvt!$B$2:$C$4,2,FALSE)&amp;VLOOKUP(Z139,cvt!$B$2:$C$4,2,FALSE)&amp;VLOOKUP(AA139,cvt!$B$2:$C$4,2,FALSE)</f>
        <v>〇×〇×〇×--〇</v>
      </c>
      <c r="S139" s="7">
        <f ca="1">VLOOKUP(MID($D139,S$9+1,1), cvt!$A$2:$B$4,2, FALSE)</f>
        <v>1</v>
      </c>
      <c r="T139" s="7">
        <f ca="1">VLOOKUP(MID($D139,T$9+1,1), cvt!$A$2:$B$4,2, FALSE)</f>
        <v>-1</v>
      </c>
      <c r="U139" s="7">
        <f ca="1">VLOOKUP(MID($D139,U$9+1,1), cvt!$A$2:$B$4,2, FALSE)</f>
        <v>1</v>
      </c>
      <c r="V139" s="17">
        <f ca="1">VLOOKUP(MID($D139,V$9+1,1), cvt!$A$2:$B$4,2, FALSE)</f>
        <v>-1</v>
      </c>
      <c r="W139" s="7">
        <f ca="1">VLOOKUP(MID($D139,W$9+1,1), cvt!$A$2:$B$4,2, FALSE)</f>
        <v>1</v>
      </c>
      <c r="X139" s="18">
        <f ca="1">VLOOKUP(MID($D139,X$9+1,1), cvt!$A$2:$B$4,2, FALSE)</f>
        <v>-1</v>
      </c>
      <c r="Y139" s="7">
        <f ca="1">VLOOKUP(MID($D139,Y$9+1,1), cvt!$A$2:$B$4,2, FALSE)</f>
        <v>0</v>
      </c>
      <c r="Z139" s="7">
        <f ca="1">VLOOKUP(MID($D139,Z$9+1,1), cvt!$A$2:$B$4,2, FALSE)</f>
        <v>0</v>
      </c>
      <c r="AA139" s="42">
        <f ca="1">VLOOKUP(MID($D139,AA$9+1,1), cvt!$A$2:$B$4,2, FALSE)</f>
        <v>1</v>
      </c>
      <c r="AB139" s="7">
        <f t="shared" ref="AB139:AB145" ca="1" si="322">IF(OR(SUM(S139:U139)=3,SUM(V139:X139)=3,SUM(Y139:AA139)=3,
(S139+V139+Y139)=3,(T139+W139+Z139)=3,(U139+X139+AA139)=3,
(S139+W139+AA139)=3,(U139+W139+Y139=3)),1,
IF(
OR(SUM(S139:U139)=-3,SUM(V139:X139)=-3,SUM(Y139:AA139)=-3,
(S139+V139+Y139)=-3,(T139+W139+Z139)=-3,(U139+X139+AA139)=-3,
(S139+W139+AA139)=-3,(U139+W139+Y139=-3)),-1,0))</f>
        <v>1</v>
      </c>
      <c r="AC139" s="50" t="b">
        <f t="shared" ref="AC139:AC145" ca="1" si="323">OR(AB139&lt;&gt;0,COUNTIF(S139:AA139,0)=0)</f>
        <v>1</v>
      </c>
      <c r="AE139" s="19" t="str">
        <f ca="1">VLOOKUP(AF139,cvt!$B$2:$C$4,2,FALSE)&amp;VLOOKUP(AG139,cvt!$B$2:$C$4,2,FALSE)&amp;VLOOKUP(AH139,cvt!$B$2:$C$4,2,FALSE)
&amp;VLOOKUP(AI139,cvt!$B$2:$C$4,2,FALSE)&amp;VLOOKUP(AJ139,cvt!$B$2:$C$4,2,FALSE)&amp;VLOOKUP(AK139,cvt!$B$2:$C$4,2,FALSE)
&amp;VLOOKUP(AL139,cvt!$B$2:$C$4,2,FALSE)&amp;VLOOKUP(AM139,cvt!$B$2:$C$4,2,FALSE)&amp;VLOOKUP(AN139,cvt!$B$2:$C$4,2,FALSE)</f>
        <v>〇×〇×〇×--〇</v>
      </c>
      <c r="AF139" s="17">
        <f t="shared" ca="1" si="254"/>
        <v>1</v>
      </c>
      <c r="AG139" s="7">
        <f t="shared" ca="1" si="255"/>
        <v>-1</v>
      </c>
      <c r="AH139" s="7">
        <f t="shared" ca="1" si="256"/>
        <v>1</v>
      </c>
      <c r="AI139" s="17">
        <f t="shared" ca="1" si="257"/>
        <v>-1</v>
      </c>
      <c r="AJ139" s="7">
        <f t="shared" ca="1" si="258"/>
        <v>1</v>
      </c>
      <c r="AK139" s="18">
        <f t="shared" ca="1" si="259"/>
        <v>-1</v>
      </c>
      <c r="AL139" s="7">
        <f t="shared" ca="1" si="260"/>
        <v>0</v>
      </c>
      <c r="AM139" s="7">
        <f t="shared" ca="1" si="261"/>
        <v>0</v>
      </c>
      <c r="AN139" s="18">
        <f t="shared" ca="1" si="262"/>
        <v>1</v>
      </c>
      <c r="AO139" s="7">
        <f t="shared" ref="AO139:AO145" ca="1" si="324">IF(OR(SUM(AF139:AH139)=3,SUM(AI139:AK139)=3,SUM(AL139:AN139)=3,
(AF139+AI139+AL139)=3,(AG139+AJ139+AM139)=3,(AH139+AK139+AN139)=3,
(AF139+AJ139+AN139)=3,(AH139+AJ139+AL139=3)),1,
IF(
OR(SUM(AF139:AH139)=-3,SUM(AI139:AK139)=-3,SUM(AL139:AN139)=-3,
(AF139+AI139+AL139)=-3,(AG139+AJ139+AM139)=-3,(AH139+AK139+AN139)=-3,
(AF139+AJ139+AN139)=-3,(AH139+AJ139+AL139=-3)),-1,0))</f>
        <v>1</v>
      </c>
      <c r="AP139" s="50" t="b">
        <f t="shared" ca="1" si="263"/>
        <v>1</v>
      </c>
      <c r="AS139" s="22">
        <f t="shared" ref="AS139:AS145" ca="1" si="325">IF(AND(S139=0,$AC139=FALSE),1,0)</f>
        <v>0</v>
      </c>
      <c r="AT139" s="7">
        <f t="shared" ca="1" si="264"/>
        <v>0</v>
      </c>
      <c r="AU139" s="7">
        <f t="shared" ca="1" si="265"/>
        <v>0</v>
      </c>
      <c r="AV139" s="7">
        <f t="shared" ca="1" si="266"/>
        <v>0</v>
      </c>
      <c r="AW139" s="7">
        <f t="shared" ca="1" si="267"/>
        <v>0</v>
      </c>
      <c r="AX139" s="7">
        <f t="shared" ca="1" si="268"/>
        <v>0</v>
      </c>
      <c r="AY139" s="7">
        <f t="shared" ca="1" si="269"/>
        <v>0</v>
      </c>
      <c r="AZ139" s="7">
        <f t="shared" ca="1" si="270"/>
        <v>0</v>
      </c>
      <c r="BA139" s="18">
        <f t="shared" ca="1" si="271"/>
        <v>0</v>
      </c>
      <c r="BB139" s="295">
        <f t="shared" ref="BB139:BB145" ca="1" si="326">IF(SUM(AS139:BA139)=0,1,0)</f>
        <v>1</v>
      </c>
      <c r="BD139" s="132"/>
      <c r="BE139" s="297">
        <f t="shared" ref="BE139:BE145" ca="1" si="327">FM139</f>
        <v>1</v>
      </c>
      <c r="BF139" s="298">
        <f t="shared" ca="1" si="272"/>
        <v>0.65029522127322903</v>
      </c>
      <c r="BG139" s="298">
        <f t="shared" ca="1" si="273"/>
        <v>0.66028983545318687</v>
      </c>
      <c r="BH139" s="318">
        <f t="shared" ca="1" si="274"/>
        <v>0.64972655813153501</v>
      </c>
      <c r="BI139" s="298">
        <f t="shared" ca="1" si="275"/>
        <v>0.65002804502111444</v>
      </c>
      <c r="BJ139" s="299">
        <f t="shared" ca="1" si="276"/>
        <v>0.65029320640965171</v>
      </c>
      <c r="BK139" s="298">
        <f t="shared" ca="1" si="277"/>
        <v>0.64942668056342145</v>
      </c>
      <c r="BL139" s="298">
        <f t="shared" ca="1" si="278"/>
        <v>0.61083952513994022</v>
      </c>
      <c r="BM139" s="299">
        <f t="shared" ca="1" si="279"/>
        <v>0.6508682169276182</v>
      </c>
      <c r="BN139" s="295">
        <f t="shared" ca="1" si="280"/>
        <v>0.17402001625314881</v>
      </c>
      <c r="BO139" s="248">
        <f t="shared" ref="BO139:BO145" ca="1" si="328">$FW139</f>
        <v>-2.2535161742124597E-5</v>
      </c>
      <c r="BQ139" s="304">
        <f t="shared" ref="BQ139:BQ145" ca="1" si="329">SUM(BR139:CA139)</f>
        <v>0.1741200162531488</v>
      </c>
      <c r="BR139" s="297">
        <f t="shared" ref="BR139:BR145" ca="1" si="330">(BE139 + 0.25*IF($B139=0, RANDBETWEEN(0,1), 0) + 1/10000) * AS139</f>
        <v>0</v>
      </c>
      <c r="BS139" s="298">
        <f t="shared" ca="1" si="281"/>
        <v>0</v>
      </c>
      <c r="BT139" s="298">
        <f t="shared" ca="1" si="282"/>
        <v>0</v>
      </c>
      <c r="BU139" s="318">
        <f t="shared" ca="1" si="283"/>
        <v>0</v>
      </c>
      <c r="BV139" s="298">
        <f t="shared" ca="1" si="284"/>
        <v>0</v>
      </c>
      <c r="BW139" s="299">
        <f t="shared" ca="1" si="285"/>
        <v>0</v>
      </c>
      <c r="BX139" s="298">
        <f t="shared" ca="1" si="286"/>
        <v>0</v>
      </c>
      <c r="BY139" s="298">
        <f t="shared" ca="1" si="287"/>
        <v>0</v>
      </c>
      <c r="BZ139" s="298">
        <f t="shared" ca="1" si="288"/>
        <v>0</v>
      </c>
      <c r="CA139" s="315">
        <f t="shared" ca="1" si="289"/>
        <v>0.1741200162531488</v>
      </c>
      <c r="CC139" s="52"/>
      <c r="CD139" s="306">
        <f t="shared" ref="CD139:CD145" ca="1" si="331">BR139/$BQ139</f>
        <v>0</v>
      </c>
      <c r="CE139" s="15">
        <f t="shared" ca="1" si="290"/>
        <v>0</v>
      </c>
      <c r="CF139" s="15">
        <f t="shared" ca="1" si="291"/>
        <v>0</v>
      </c>
      <c r="CG139" s="286">
        <f t="shared" ca="1" si="292"/>
        <v>0</v>
      </c>
      <c r="CH139" s="15">
        <f t="shared" ca="1" si="293"/>
        <v>0</v>
      </c>
      <c r="CI139" s="288">
        <f t="shared" ca="1" si="294"/>
        <v>0</v>
      </c>
      <c r="CJ139" s="15">
        <f t="shared" ca="1" si="295"/>
        <v>0</v>
      </c>
      <c r="CK139" s="15">
        <f t="shared" ca="1" si="296"/>
        <v>0</v>
      </c>
      <c r="CL139" s="15">
        <f t="shared" ca="1" si="297"/>
        <v>0</v>
      </c>
      <c r="CM139" s="313">
        <f t="shared" ca="1" si="298"/>
        <v>1</v>
      </c>
      <c r="CO139" s="320">
        <f t="shared" ref="CO139:CO145" ca="1" si="332">SUM(CP139:CY139)</f>
        <v>128</v>
      </c>
      <c r="CP139" s="22">
        <f ca="1">COUNTIFS($C$10:$C138,"&lt;"&amp;$C139,$M$10:$M138,$D139&amp;"_"&amp;CP$9)</f>
        <v>0</v>
      </c>
      <c r="CQ139" s="7">
        <f ca="1">COUNTIFS($C$10:$C138,"&lt;"&amp;$C139,$M$10:$M138,$D139&amp;"_"&amp;CQ$9)</f>
        <v>0</v>
      </c>
      <c r="CR139" s="7">
        <f ca="1">COUNTIFS($C$10:$C138,"&lt;"&amp;$C139,$M$10:$M138,$D139&amp;"_"&amp;CR$9)</f>
        <v>0</v>
      </c>
      <c r="CS139" s="17">
        <f ca="1">COUNTIFS($C$10:$C138,"&lt;"&amp;$C139,$M$10:$M138,$D139&amp;"_"&amp;CS$9)</f>
        <v>0</v>
      </c>
      <c r="CT139" s="7">
        <f ca="1">COUNTIFS($C$10:$C138,"&lt;"&amp;$C139,$M$10:$M138,$D139&amp;"_"&amp;CT$9)</f>
        <v>0</v>
      </c>
      <c r="CU139" s="18">
        <f ca="1">COUNTIFS($C$10:$C138,"&lt;"&amp;$C139,$M$10:$M138,$D139&amp;"_"&amp;CU$9)</f>
        <v>0</v>
      </c>
      <c r="CV139" s="7">
        <f ca="1">COUNTIFS($C$10:$C138,"&lt;"&amp;$C139,$M$10:$M138,$D139&amp;"_"&amp;CV$9)</f>
        <v>0</v>
      </c>
      <c r="CW139" s="7">
        <f ca="1">COUNTIFS($C$10:$C138,"&lt;"&amp;$C139,$M$10:$M138,$D139&amp;"_"&amp;CW$9)</f>
        <v>0</v>
      </c>
      <c r="CX139" s="7">
        <f ca="1">COUNTIFS($C$10:$C138,"&lt;"&amp;$C139,$M$10:$M138,$D139&amp;"_"&amp;CX$9)</f>
        <v>0</v>
      </c>
      <c r="CY139" s="221">
        <f ca="1">COUNTIFS($C$10:$C138,"&lt;"&amp;$C139,$M$10:$M138,$D139&amp;"_"&amp;CY$9)</f>
        <v>128</v>
      </c>
      <c r="DA139" s="20"/>
      <c r="DB139" s="308">
        <f ca="1">IF(CP139=0,0,SUMIFS($P$10:$P138, $C$10:$C138,"&lt;"&amp;$C139, $M$10:$M138,$D139&amp;"_"&amp;DB$9)/CP139)</f>
        <v>0</v>
      </c>
      <c r="DC139" s="263">
        <f ca="1">IF(CQ139=0,0,SUMIFS($P$10:$P138, $C$10:$C138,"&lt;"&amp;$C139, $M$10:$M138,$D139&amp;"_"&amp;DC$9)/CQ139)</f>
        <v>0</v>
      </c>
      <c r="DD139" s="263">
        <f ca="1">IF(CR139=0,0,SUMIFS($P$10:$P138, $C$10:$C138,"&lt;"&amp;$C139, $M$10:$M138,$D139&amp;"_"&amp;DD$9)/CR139)</f>
        <v>0</v>
      </c>
      <c r="DE139" s="262">
        <f ca="1">IF(CS139=0,0,SUMIFS($P$10:$P138, $C$10:$C138,"&lt;"&amp;$C139, $M$10:$M138,$D139&amp;"_"&amp;DE$9)/CS139)</f>
        <v>0</v>
      </c>
      <c r="DF139" s="263">
        <f ca="1">IF(CT139=0,0,SUMIFS($P$10:$P138, $C$10:$C138,"&lt;"&amp;$C139, $M$10:$M138,$D139&amp;"_"&amp;DF$9)/CT139)</f>
        <v>0</v>
      </c>
      <c r="DG139" s="310">
        <f ca="1">IF(CU139=0,0,SUMIFS($P$10:$P138, $C$10:$C138,"&lt;"&amp;$C139, $M$10:$M138,$D139&amp;"_"&amp;DG$9)/CU139)</f>
        <v>0</v>
      </c>
      <c r="DH139" s="263">
        <f ca="1">IF(CV139=0,0,SUMIFS($P$10:$P138, $C$10:$C138,"&lt;"&amp;$C139, $M$10:$M138,$D139&amp;"_"&amp;DH$9)/CV139)</f>
        <v>0</v>
      </c>
      <c r="DI139" s="263">
        <f ca="1">IF(CW139=0,0,SUMIFS($P$10:$P138, $C$10:$C138,"&lt;"&amp;$C139, $M$10:$M138,$D139&amp;"_"&amp;DI$9)/CW139)</f>
        <v>0</v>
      </c>
      <c r="DJ139" s="264">
        <f ca="1">IF(CX139=0,0,SUMIFS($P$10:$P138, $C$10:$C138,"&lt;"&amp;$C139, $M$10:$M138,$D139&amp;"_"&amp;DJ$9)/CX139)</f>
        <v>0</v>
      </c>
      <c r="DK139" s="264">
        <f ca="1">IF(CY139=0,0,SUMIFS($P$10:$P138, $C$10:$C138,"&lt;"&amp;$C139, $M$10:$M138,$D139&amp;"_"&amp;DK$9)/CY139)</f>
        <v>-1</v>
      </c>
      <c r="DM139" s="104"/>
      <c r="DN139" s="306">
        <f t="shared" ref="DN139:DN145" ca="1" si="333">IF(AS139=0, -9999, DB139 + 1*CD139*SQRT($CO139)/(1+CP139))</f>
        <v>-9999</v>
      </c>
      <c r="DO139" s="15">
        <f t="shared" ca="1" si="299"/>
        <v>-9999</v>
      </c>
      <c r="DP139" s="15">
        <f t="shared" ca="1" si="300"/>
        <v>-9999</v>
      </c>
      <c r="DQ139" s="15">
        <f t="shared" ca="1" si="301"/>
        <v>-9999</v>
      </c>
      <c r="DR139" s="15">
        <f t="shared" ca="1" si="302"/>
        <v>-9999</v>
      </c>
      <c r="DS139" s="15">
        <f t="shared" ca="1" si="303"/>
        <v>-9999</v>
      </c>
      <c r="DT139" s="15">
        <f t="shared" ca="1" si="304"/>
        <v>-9999</v>
      </c>
      <c r="DU139" s="15">
        <f t="shared" ca="1" si="305"/>
        <v>-9999</v>
      </c>
      <c r="DV139" s="52">
        <f t="shared" ca="1" si="306"/>
        <v>-9999</v>
      </c>
      <c r="DW139" s="313">
        <f t="shared" ca="1" si="307"/>
        <v>-0.91229683334120337</v>
      </c>
      <c r="DX139" s="52"/>
      <c r="DY139" s="402">
        <f t="shared" ref="DY139:DY145" ca="1" si="334">MATCH(MAX(DN139:DW139),DN139:DW139,FALSE)-1</f>
        <v>9</v>
      </c>
      <c r="ED139" s="19">
        <f t="shared" ca="1" si="308"/>
        <v>-1</v>
      </c>
      <c r="EE139" s="1">
        <f t="shared" ca="1" si="309"/>
        <v>1</v>
      </c>
      <c r="EF139" s="1">
        <f t="shared" ca="1" si="310"/>
        <v>-1</v>
      </c>
      <c r="EG139" s="2">
        <f t="shared" ca="1" si="311"/>
        <v>1</v>
      </c>
      <c r="EH139" s="1">
        <f t="shared" ca="1" si="312"/>
        <v>-1</v>
      </c>
      <c r="EI139" s="3">
        <f t="shared" ca="1" si="313"/>
        <v>1</v>
      </c>
      <c r="EJ139" s="1">
        <f t="shared" ca="1" si="314"/>
        <v>0</v>
      </c>
      <c r="EK139" s="1">
        <f t="shared" ca="1" si="315"/>
        <v>0</v>
      </c>
      <c r="EL139" s="20">
        <f t="shared" ca="1" si="316"/>
        <v>-1</v>
      </c>
      <c r="EN139" s="86">
        <f ca="1">MAX(0, SUMPRODUCT($ED139:$EL139,OFFSET(DNN!$E$9:$M$9,EN$9,0)) + OFFSET(DNN!$D$9,EN$9,0))</f>
        <v>0</v>
      </c>
      <c r="EO139" s="84">
        <f ca="1">MAX(0, SUMPRODUCT($ED139:$EL139,OFFSET(DNN!$E$9:$M$9,EO$9,0)) + OFFSET(DNN!$D$9,EO$9,0))</f>
        <v>7.2346022384755949E-3</v>
      </c>
      <c r="EP139" s="84">
        <f ca="1">MAX(0, SUMPRODUCT($ED139:$EL139,OFFSET(DNN!$E$9:$M$9,EP$9,0)) + OFFSET(DNN!$D$9,EP$9,0))</f>
        <v>3.6951849750035152E-3</v>
      </c>
      <c r="EQ139" s="84">
        <f ca="1">MAX(0, SUMPRODUCT($ED139:$EL139,OFFSET(DNN!$E$9:$M$9,EQ$9,0)) + OFFSET(DNN!$D$9,EQ$9,0))</f>
        <v>0</v>
      </c>
      <c r="ER139" s="85">
        <f ca="1">MAX(0, SUMPRODUCT($ED139:$EL139,OFFSET(DNN!$E$9:$M$9,ER$9,0)) + OFFSET(DNN!$D$9,ER$9,0))</f>
        <v>0</v>
      </c>
      <c r="ET139" s="86">
        <f ca="1">MAX(0, SUMPRODUCT($EN139:$ER139,OFFSET(DNN!$Q$9:$U$9,ET$9,0)) + OFFSET(DNN!$P$9,ET$9,0))</f>
        <v>4.3954959453478351E-4</v>
      </c>
      <c r="EU139" s="84">
        <f ca="1">MAX(0, SUMPRODUCT($EN139:$ER139,OFFSET(DNN!$Q$9:$U$9,EU$9,0)) + OFFSET(DNN!$P$9,EU$9,0))</f>
        <v>0</v>
      </c>
      <c r="EV139" s="84">
        <f ca="1">MAX(0, SUMPRODUCT($EN139:$ER139,OFFSET(DNN!$Q$9:$U$9,EV$9,0)) + OFFSET(DNN!$P$9,EV$9,0))</f>
        <v>1.2810123361902579E-3</v>
      </c>
      <c r="EW139" s="84">
        <f ca="1">MAX(0, SUMPRODUCT($EN139:$ER139,OFFSET(DNN!$Q$9:$U$9,EW$9,0)) + OFFSET(DNN!$P$9,EW$9,0))</f>
        <v>7.8382123007882457E-4</v>
      </c>
      <c r="EX139" s="85">
        <f ca="1">MAX(0, SUMPRODUCT($EN139:$ER139,OFFSET(DNN!$Q$9:$U$9,EX$9,0)) + OFFSET(DNN!$P$9,EX$9,0))</f>
        <v>0</v>
      </c>
      <c r="EZ139" s="111">
        <f ca="1">SUMPRODUCT($ET139:$EX139,OFFSET(DNN!$Y$9:$AC$9,EZ$9,0)) + OFFSET(DNN!$X$9,EZ$9,0)</f>
        <v>0.43031618918982212</v>
      </c>
      <c r="FA139" s="97">
        <f ca="1">SUMPRODUCT($ET139:$EX139,OFFSET(DNN!$Y$9:$AC$9,FA$9,0)) + OFFSET(DNN!$X$9,FA$9,0)</f>
        <v>-1.2643439935754107E-5</v>
      </c>
      <c r="FB139" s="97">
        <f ca="1">SUMPRODUCT($ET139:$EX139,OFFSET(DNN!$Y$9:$AC$9,FB$9,0)) + OFFSET(DNN!$X$9,FB$9,0)</f>
        <v>1.5239793458415756E-2</v>
      </c>
      <c r="FC139" s="97">
        <f ca="1">SUMPRODUCT($ET139:$EX139,OFFSET(DNN!$Y$9:$AC$9,FC$9,0)) + OFFSET(DNN!$X$9,FC$9,0)</f>
        <v>-8.8749521084055777E-4</v>
      </c>
      <c r="FD139" s="97">
        <f ca="1">SUMPRODUCT($ET139:$EX139,OFFSET(DNN!$Y$9:$AC$9,FD$9,0)) + OFFSET(DNN!$X$9,FD$9,0)</f>
        <v>-4.235816470721872E-4</v>
      </c>
      <c r="FE139" s="97">
        <f ca="1">SUMPRODUCT($ET139:$EX139,OFFSET(DNN!$Y$9:$AC$9,FE$9,0)) + OFFSET(DNN!$X$9,FE$9,0)</f>
        <v>-1.574182761064886E-5</v>
      </c>
      <c r="FF139" s="97">
        <f ca="1">SUMPRODUCT($ET139:$EX139,OFFSET(DNN!$Y$9:$AC$9,FF$9,0)) + OFFSET(DNN!$X$9,FF$9,0)</f>
        <v>-1.3491460223194656E-3</v>
      </c>
      <c r="FG139" s="97">
        <f ca="1">SUMPRODUCT($ET139:$EX139,OFFSET(DNN!$Y$9:$AC$9,FG$9,0)) + OFFSET(DNN!$X$9,FG$9,0)</f>
        <v>-6.2604808096248285E-2</v>
      </c>
      <c r="FH139" s="97">
        <f ca="1">SUMPRODUCT($ET139:$EX139,OFFSET(DNN!$Y$9:$AC$9,FH$9,0)) + OFFSET(DNN!$X$9,FH$9,0)</f>
        <v>8.6810016937029894E-4</v>
      </c>
      <c r="FI139" s="108">
        <f ca="1">SUMPRODUCT($ET139:$EX139,OFFSET(DNN!$Y$9:$AC$9,FI$9,0)) + OFFSET(DNN!$X$9,FI$9,0)</f>
        <v>-1.3182687612562751</v>
      </c>
      <c r="FJ139" s="98">
        <f ca="1">SUMPRODUCT($ET139:$EX139,OFFSET(DNN!$Y$9:$AC$9,FJ$9,0)) + OFFSET(DNN!$X$9,FJ$9,0)</f>
        <v>-2.2535161745939301E-5</v>
      </c>
      <c r="FL139" s="415">
        <f t="shared" ref="FL139:FL145" ca="1" si="335">MAX(EZ139:FI139)</f>
        <v>0.43031618918982212</v>
      </c>
      <c r="FM139" s="130">
        <f t="shared" ref="FM139:FM145" ca="1" si="336">EXP(EZ139-$FL139)</f>
        <v>1</v>
      </c>
      <c r="FN139" s="131">
        <f t="shared" ref="FN139:FN145" ca="1" si="337">EXP(FA139-$FL139)</f>
        <v>0.65029522127322903</v>
      </c>
      <c r="FO139" s="131">
        <f t="shared" ref="FO139:FO145" ca="1" si="338">EXP(FB139-$FL139)</f>
        <v>0.66028983545318687</v>
      </c>
      <c r="FP139" s="131">
        <f t="shared" ref="FP139:FP145" ca="1" si="339">EXP(FC139-$FL139)</f>
        <v>0.64972655813153501</v>
      </c>
      <c r="FQ139" s="131">
        <f t="shared" ref="FQ139:FQ145" ca="1" si="340">EXP(FD139-$FL139)</f>
        <v>0.65002804502111444</v>
      </c>
      <c r="FR139" s="131">
        <f t="shared" ref="FR139:FR145" ca="1" si="341">EXP(FE139-$FL139)</f>
        <v>0.65029320640965171</v>
      </c>
      <c r="FS139" s="131">
        <f t="shared" ref="FS139:FS145" ca="1" si="342">EXP(FF139-$FL139)</f>
        <v>0.64942668056342145</v>
      </c>
      <c r="FT139" s="131">
        <f t="shared" ref="FT139:FT145" ca="1" si="343">EXP(FG139-$FL139)</f>
        <v>0.61083952513994022</v>
      </c>
      <c r="FU139" s="132">
        <f t="shared" ref="FU139:FU145" ca="1" si="344">EXP(FH139-$FL139)</f>
        <v>0.6508682169276182</v>
      </c>
      <c r="FV139" s="131">
        <f t="shared" ref="FV139:FV145" ca="1" si="345">EXP(FI139-$FL139)</f>
        <v>0.17402001625314881</v>
      </c>
      <c r="FW139" s="83">
        <f t="shared" ref="FW139:FW145" ca="1" si="346">TANH($FJ139)</f>
        <v>-2.2535161742124597E-5</v>
      </c>
    </row>
    <row r="140" spans="1:179">
      <c r="A140" s="19">
        <f t="shared" si="240"/>
        <v>130</v>
      </c>
      <c r="B140" s="1">
        <f t="shared" ref="B140:B145" ca="1" si="347">IF(K139,0,B139+1)</f>
        <v>0</v>
      </c>
      <c r="C140" s="20">
        <f t="shared" ref="C140:C145" ca="1" si="348">IF(K139,C139+1,C139)</f>
        <v>130</v>
      </c>
      <c r="D140" s="19" t="str">
        <f t="shared" ref="D140:D145" ca="1" si="349">IF(K139,D$10,G139)</f>
        <v>〇×〇×〇×--〇</v>
      </c>
      <c r="E140" s="7">
        <f t="shared" ca="1" si="317"/>
        <v>9</v>
      </c>
      <c r="F140" s="7">
        <f t="shared" ca="1" si="318"/>
        <v>1</v>
      </c>
      <c r="G140" s="1" t="str">
        <f t="shared" ca="1" si="250"/>
        <v>〇×〇×〇×--〇</v>
      </c>
      <c r="H140" s="20" t="b">
        <f t="shared" ca="1" si="251"/>
        <v>1</v>
      </c>
      <c r="I140" s="22">
        <f t="shared" ref="I140:I145" ca="1" si="350">IF(K139, I$10, I139*-1)</f>
        <v>-1</v>
      </c>
      <c r="J140" s="1" t="b">
        <f ca="1">(1&lt;COUNTIF(D$10:D140,D140))</f>
        <v>1</v>
      </c>
      <c r="K140" s="1" t="b">
        <f t="shared" ca="1" si="252"/>
        <v>1</v>
      </c>
      <c r="L140" s="7">
        <f ca="1">MATCH(TRUE,K140:K$1048576,FALSE)-1</f>
        <v>0</v>
      </c>
      <c r="M140" s="24" t="str">
        <f t="shared" ca="1" si="253"/>
        <v>〇×〇×〇×--〇_9</v>
      </c>
      <c r="N140" s="25">
        <f t="shared" ca="1" si="319"/>
        <v>-2.2535161742124597E-5</v>
      </c>
      <c r="O140" s="26">
        <f t="shared" ca="1" si="320"/>
        <v>-1</v>
      </c>
      <c r="P140" s="27">
        <f t="shared" ca="1" si="321"/>
        <v>-1</v>
      </c>
      <c r="R140" s="41" t="str">
        <f ca="1">VLOOKUP(S140,cvt!$B$2:$C$4,2,FALSE)&amp;VLOOKUP(T140,cvt!$B$2:$C$4,2,FALSE)&amp;VLOOKUP(U140,cvt!$B$2:$C$4,2,FALSE)
&amp;VLOOKUP(V140,cvt!$B$2:$C$4,2,FALSE)&amp;VLOOKUP(W140,cvt!$B$2:$C$4,2,FALSE)&amp;VLOOKUP(X140,cvt!$B$2:$C$4,2,FALSE)
&amp;VLOOKUP(Y140,cvt!$B$2:$C$4,2,FALSE)&amp;VLOOKUP(Z140,cvt!$B$2:$C$4,2,FALSE)&amp;VLOOKUP(AA140,cvt!$B$2:$C$4,2,FALSE)</f>
        <v>〇×〇×〇×--〇</v>
      </c>
      <c r="S140" s="7">
        <f ca="1">VLOOKUP(MID($D140,S$9+1,1), cvt!$A$2:$B$4,2, FALSE)</f>
        <v>1</v>
      </c>
      <c r="T140" s="7">
        <f ca="1">VLOOKUP(MID($D140,T$9+1,1), cvt!$A$2:$B$4,2, FALSE)</f>
        <v>-1</v>
      </c>
      <c r="U140" s="7">
        <f ca="1">VLOOKUP(MID($D140,U$9+1,1), cvt!$A$2:$B$4,2, FALSE)</f>
        <v>1</v>
      </c>
      <c r="V140" s="17">
        <f ca="1">VLOOKUP(MID($D140,V$9+1,1), cvt!$A$2:$B$4,2, FALSE)</f>
        <v>-1</v>
      </c>
      <c r="W140" s="7">
        <f ca="1">VLOOKUP(MID($D140,W$9+1,1), cvt!$A$2:$B$4,2, FALSE)</f>
        <v>1</v>
      </c>
      <c r="X140" s="18">
        <f ca="1">VLOOKUP(MID($D140,X$9+1,1), cvt!$A$2:$B$4,2, FALSE)</f>
        <v>-1</v>
      </c>
      <c r="Y140" s="7">
        <f ca="1">VLOOKUP(MID($D140,Y$9+1,1), cvt!$A$2:$B$4,2, FALSE)</f>
        <v>0</v>
      </c>
      <c r="Z140" s="7">
        <f ca="1">VLOOKUP(MID($D140,Z$9+1,1), cvt!$A$2:$B$4,2, FALSE)</f>
        <v>0</v>
      </c>
      <c r="AA140" s="42">
        <f ca="1">VLOOKUP(MID($D140,AA$9+1,1), cvt!$A$2:$B$4,2, FALSE)</f>
        <v>1</v>
      </c>
      <c r="AB140" s="7">
        <f t="shared" ca="1" si="322"/>
        <v>1</v>
      </c>
      <c r="AC140" s="50" t="b">
        <f t="shared" ca="1" si="323"/>
        <v>1</v>
      </c>
      <c r="AE140" s="19" t="str">
        <f ca="1">VLOOKUP(AF140,cvt!$B$2:$C$4,2,FALSE)&amp;VLOOKUP(AG140,cvt!$B$2:$C$4,2,FALSE)&amp;VLOOKUP(AH140,cvt!$B$2:$C$4,2,FALSE)
&amp;VLOOKUP(AI140,cvt!$B$2:$C$4,2,FALSE)&amp;VLOOKUP(AJ140,cvt!$B$2:$C$4,2,FALSE)&amp;VLOOKUP(AK140,cvt!$B$2:$C$4,2,FALSE)
&amp;VLOOKUP(AL140,cvt!$B$2:$C$4,2,FALSE)&amp;VLOOKUP(AM140,cvt!$B$2:$C$4,2,FALSE)&amp;VLOOKUP(AN140,cvt!$B$2:$C$4,2,FALSE)</f>
        <v>〇×〇×〇×--〇</v>
      </c>
      <c r="AF140" s="17">
        <f t="shared" ca="1" si="254"/>
        <v>1</v>
      </c>
      <c r="AG140" s="7">
        <f t="shared" ca="1" si="255"/>
        <v>-1</v>
      </c>
      <c r="AH140" s="7">
        <f t="shared" ca="1" si="256"/>
        <v>1</v>
      </c>
      <c r="AI140" s="17">
        <f t="shared" ca="1" si="257"/>
        <v>-1</v>
      </c>
      <c r="AJ140" s="7">
        <f t="shared" ca="1" si="258"/>
        <v>1</v>
      </c>
      <c r="AK140" s="18">
        <f t="shared" ca="1" si="259"/>
        <v>-1</v>
      </c>
      <c r="AL140" s="7">
        <f t="shared" ca="1" si="260"/>
        <v>0</v>
      </c>
      <c r="AM140" s="7">
        <f t="shared" ca="1" si="261"/>
        <v>0</v>
      </c>
      <c r="AN140" s="18">
        <f t="shared" ca="1" si="262"/>
        <v>1</v>
      </c>
      <c r="AO140" s="7">
        <f t="shared" ca="1" si="324"/>
        <v>1</v>
      </c>
      <c r="AP140" s="50" t="b">
        <f t="shared" ca="1" si="263"/>
        <v>1</v>
      </c>
      <c r="AS140" s="22">
        <f t="shared" ca="1" si="325"/>
        <v>0</v>
      </c>
      <c r="AT140" s="7">
        <f t="shared" ca="1" si="264"/>
        <v>0</v>
      </c>
      <c r="AU140" s="7">
        <f t="shared" ca="1" si="265"/>
        <v>0</v>
      </c>
      <c r="AV140" s="7">
        <f t="shared" ca="1" si="266"/>
        <v>0</v>
      </c>
      <c r="AW140" s="7">
        <f t="shared" ca="1" si="267"/>
        <v>0</v>
      </c>
      <c r="AX140" s="7">
        <f t="shared" ca="1" si="268"/>
        <v>0</v>
      </c>
      <c r="AY140" s="7">
        <f t="shared" ca="1" si="269"/>
        <v>0</v>
      </c>
      <c r="AZ140" s="7">
        <f t="shared" ca="1" si="270"/>
        <v>0</v>
      </c>
      <c r="BA140" s="18">
        <f t="shared" ca="1" si="271"/>
        <v>0</v>
      </c>
      <c r="BB140" s="295">
        <f t="shared" ca="1" si="326"/>
        <v>1</v>
      </c>
      <c r="BD140" s="132"/>
      <c r="BE140" s="297">
        <f t="shared" ca="1" si="327"/>
        <v>1</v>
      </c>
      <c r="BF140" s="298">
        <f t="shared" ca="1" si="272"/>
        <v>0.65029522127322903</v>
      </c>
      <c r="BG140" s="298">
        <f t="shared" ca="1" si="273"/>
        <v>0.66028983545318687</v>
      </c>
      <c r="BH140" s="318">
        <f t="shared" ca="1" si="274"/>
        <v>0.64972655813153501</v>
      </c>
      <c r="BI140" s="298">
        <f t="shared" ca="1" si="275"/>
        <v>0.65002804502111444</v>
      </c>
      <c r="BJ140" s="299">
        <f t="shared" ca="1" si="276"/>
        <v>0.65029320640965171</v>
      </c>
      <c r="BK140" s="298">
        <f t="shared" ca="1" si="277"/>
        <v>0.64942668056342145</v>
      </c>
      <c r="BL140" s="298">
        <f t="shared" ca="1" si="278"/>
        <v>0.61083952513994022</v>
      </c>
      <c r="BM140" s="299">
        <f t="shared" ca="1" si="279"/>
        <v>0.6508682169276182</v>
      </c>
      <c r="BN140" s="295">
        <f t="shared" ca="1" si="280"/>
        <v>0.17402001625314881</v>
      </c>
      <c r="BO140" s="248">
        <f t="shared" ca="1" si="328"/>
        <v>-2.2535161742124597E-5</v>
      </c>
      <c r="BQ140" s="304">
        <f t="shared" ca="1" si="329"/>
        <v>0.1741200162531488</v>
      </c>
      <c r="BR140" s="297">
        <f t="shared" ca="1" si="330"/>
        <v>0</v>
      </c>
      <c r="BS140" s="298">
        <f t="shared" ca="1" si="281"/>
        <v>0</v>
      </c>
      <c r="BT140" s="298">
        <f t="shared" ca="1" si="282"/>
        <v>0</v>
      </c>
      <c r="BU140" s="318">
        <f t="shared" ca="1" si="283"/>
        <v>0</v>
      </c>
      <c r="BV140" s="298">
        <f t="shared" ca="1" si="284"/>
        <v>0</v>
      </c>
      <c r="BW140" s="299">
        <f t="shared" ca="1" si="285"/>
        <v>0</v>
      </c>
      <c r="BX140" s="298">
        <f t="shared" ca="1" si="286"/>
        <v>0</v>
      </c>
      <c r="BY140" s="298">
        <f t="shared" ca="1" si="287"/>
        <v>0</v>
      </c>
      <c r="BZ140" s="298">
        <f t="shared" ca="1" si="288"/>
        <v>0</v>
      </c>
      <c r="CA140" s="315">
        <f t="shared" ca="1" si="289"/>
        <v>0.1741200162531488</v>
      </c>
      <c r="CC140" s="52"/>
      <c r="CD140" s="306">
        <f t="shared" ca="1" si="331"/>
        <v>0</v>
      </c>
      <c r="CE140" s="15">
        <f t="shared" ca="1" si="290"/>
        <v>0</v>
      </c>
      <c r="CF140" s="15">
        <f t="shared" ca="1" si="291"/>
        <v>0</v>
      </c>
      <c r="CG140" s="286">
        <f t="shared" ca="1" si="292"/>
        <v>0</v>
      </c>
      <c r="CH140" s="15">
        <f t="shared" ca="1" si="293"/>
        <v>0</v>
      </c>
      <c r="CI140" s="288">
        <f t="shared" ca="1" si="294"/>
        <v>0</v>
      </c>
      <c r="CJ140" s="15">
        <f t="shared" ca="1" si="295"/>
        <v>0</v>
      </c>
      <c r="CK140" s="15">
        <f t="shared" ca="1" si="296"/>
        <v>0</v>
      </c>
      <c r="CL140" s="15">
        <f t="shared" ca="1" si="297"/>
        <v>0</v>
      </c>
      <c r="CM140" s="313">
        <f t="shared" ca="1" si="298"/>
        <v>1</v>
      </c>
      <c r="CO140" s="320">
        <f t="shared" ca="1" si="332"/>
        <v>129</v>
      </c>
      <c r="CP140" s="22">
        <f ca="1">COUNTIFS($C$10:$C139,"&lt;"&amp;$C140,$M$10:$M139,$D140&amp;"_"&amp;CP$9)</f>
        <v>0</v>
      </c>
      <c r="CQ140" s="7">
        <f ca="1">COUNTIFS($C$10:$C139,"&lt;"&amp;$C140,$M$10:$M139,$D140&amp;"_"&amp;CQ$9)</f>
        <v>0</v>
      </c>
      <c r="CR140" s="7">
        <f ca="1">COUNTIFS($C$10:$C139,"&lt;"&amp;$C140,$M$10:$M139,$D140&amp;"_"&amp;CR$9)</f>
        <v>0</v>
      </c>
      <c r="CS140" s="17">
        <f ca="1">COUNTIFS($C$10:$C139,"&lt;"&amp;$C140,$M$10:$M139,$D140&amp;"_"&amp;CS$9)</f>
        <v>0</v>
      </c>
      <c r="CT140" s="7">
        <f ca="1">COUNTIFS($C$10:$C139,"&lt;"&amp;$C140,$M$10:$M139,$D140&amp;"_"&amp;CT$9)</f>
        <v>0</v>
      </c>
      <c r="CU140" s="18">
        <f ca="1">COUNTIFS($C$10:$C139,"&lt;"&amp;$C140,$M$10:$M139,$D140&amp;"_"&amp;CU$9)</f>
        <v>0</v>
      </c>
      <c r="CV140" s="7">
        <f ca="1">COUNTIFS($C$10:$C139,"&lt;"&amp;$C140,$M$10:$M139,$D140&amp;"_"&amp;CV$9)</f>
        <v>0</v>
      </c>
      <c r="CW140" s="7">
        <f ca="1">COUNTIFS($C$10:$C139,"&lt;"&amp;$C140,$M$10:$M139,$D140&amp;"_"&amp;CW$9)</f>
        <v>0</v>
      </c>
      <c r="CX140" s="7">
        <f ca="1">COUNTIFS($C$10:$C139,"&lt;"&amp;$C140,$M$10:$M139,$D140&amp;"_"&amp;CX$9)</f>
        <v>0</v>
      </c>
      <c r="CY140" s="221">
        <f ca="1">COUNTIFS($C$10:$C139,"&lt;"&amp;$C140,$M$10:$M139,$D140&amp;"_"&amp;CY$9)</f>
        <v>129</v>
      </c>
      <c r="DA140" s="20"/>
      <c r="DB140" s="308">
        <f ca="1">IF(CP140=0,0,SUMIFS($P$10:$P139, $C$10:$C139,"&lt;"&amp;$C140, $M$10:$M139,$D140&amp;"_"&amp;DB$9)/CP140)</f>
        <v>0</v>
      </c>
      <c r="DC140" s="263">
        <f ca="1">IF(CQ140=0,0,SUMIFS($P$10:$P139, $C$10:$C139,"&lt;"&amp;$C140, $M$10:$M139,$D140&amp;"_"&amp;DC$9)/CQ140)</f>
        <v>0</v>
      </c>
      <c r="DD140" s="263">
        <f ca="1">IF(CR140=0,0,SUMIFS($P$10:$P139, $C$10:$C139,"&lt;"&amp;$C140, $M$10:$M139,$D140&amp;"_"&amp;DD$9)/CR140)</f>
        <v>0</v>
      </c>
      <c r="DE140" s="262">
        <f ca="1">IF(CS140=0,0,SUMIFS($P$10:$P139, $C$10:$C139,"&lt;"&amp;$C140, $M$10:$M139,$D140&amp;"_"&amp;DE$9)/CS140)</f>
        <v>0</v>
      </c>
      <c r="DF140" s="263">
        <f ca="1">IF(CT140=0,0,SUMIFS($P$10:$P139, $C$10:$C139,"&lt;"&amp;$C140, $M$10:$M139,$D140&amp;"_"&amp;DF$9)/CT140)</f>
        <v>0</v>
      </c>
      <c r="DG140" s="310">
        <f ca="1">IF(CU140=0,0,SUMIFS($P$10:$P139, $C$10:$C139,"&lt;"&amp;$C140, $M$10:$M139,$D140&amp;"_"&amp;DG$9)/CU140)</f>
        <v>0</v>
      </c>
      <c r="DH140" s="263">
        <f ca="1">IF(CV140=0,0,SUMIFS($P$10:$P139, $C$10:$C139,"&lt;"&amp;$C140, $M$10:$M139,$D140&amp;"_"&amp;DH$9)/CV140)</f>
        <v>0</v>
      </c>
      <c r="DI140" s="263">
        <f ca="1">IF(CW140=0,0,SUMIFS($P$10:$P139, $C$10:$C139,"&lt;"&amp;$C140, $M$10:$M139,$D140&amp;"_"&amp;DI$9)/CW140)</f>
        <v>0</v>
      </c>
      <c r="DJ140" s="264">
        <f ca="1">IF(CX140=0,0,SUMIFS($P$10:$P139, $C$10:$C139,"&lt;"&amp;$C140, $M$10:$M139,$D140&amp;"_"&amp;DJ$9)/CX140)</f>
        <v>0</v>
      </c>
      <c r="DK140" s="264">
        <f ca="1">IF(CY140=0,0,SUMIFS($P$10:$P139, $C$10:$C139,"&lt;"&amp;$C140, $M$10:$M139,$D140&amp;"_"&amp;DK$9)/CY140)</f>
        <v>-1</v>
      </c>
      <c r="DM140" s="104"/>
      <c r="DN140" s="306">
        <f t="shared" ca="1" si="333"/>
        <v>-9999</v>
      </c>
      <c r="DO140" s="15">
        <f t="shared" ca="1" si="299"/>
        <v>-9999</v>
      </c>
      <c r="DP140" s="15">
        <f t="shared" ca="1" si="300"/>
        <v>-9999</v>
      </c>
      <c r="DQ140" s="15">
        <f t="shared" ca="1" si="301"/>
        <v>-9999</v>
      </c>
      <c r="DR140" s="15">
        <f t="shared" ca="1" si="302"/>
        <v>-9999</v>
      </c>
      <c r="DS140" s="15">
        <f t="shared" ca="1" si="303"/>
        <v>-9999</v>
      </c>
      <c r="DT140" s="15">
        <f t="shared" ca="1" si="304"/>
        <v>-9999</v>
      </c>
      <c r="DU140" s="15">
        <f t="shared" ca="1" si="305"/>
        <v>-9999</v>
      </c>
      <c r="DV140" s="52">
        <f t="shared" ca="1" si="306"/>
        <v>-9999</v>
      </c>
      <c r="DW140" s="313">
        <f t="shared" ca="1" si="307"/>
        <v>-0.91263217929538043</v>
      </c>
      <c r="DX140" s="52"/>
      <c r="DY140" s="402">
        <f t="shared" ca="1" si="334"/>
        <v>9</v>
      </c>
      <c r="ED140" s="19">
        <f t="shared" ca="1" si="308"/>
        <v>-1</v>
      </c>
      <c r="EE140" s="1">
        <f t="shared" ca="1" si="309"/>
        <v>1</v>
      </c>
      <c r="EF140" s="1">
        <f t="shared" ca="1" si="310"/>
        <v>-1</v>
      </c>
      <c r="EG140" s="2">
        <f t="shared" ca="1" si="311"/>
        <v>1</v>
      </c>
      <c r="EH140" s="1">
        <f t="shared" ca="1" si="312"/>
        <v>-1</v>
      </c>
      <c r="EI140" s="3">
        <f t="shared" ca="1" si="313"/>
        <v>1</v>
      </c>
      <c r="EJ140" s="1">
        <f t="shared" ca="1" si="314"/>
        <v>0</v>
      </c>
      <c r="EK140" s="1">
        <f t="shared" ca="1" si="315"/>
        <v>0</v>
      </c>
      <c r="EL140" s="20">
        <f t="shared" ca="1" si="316"/>
        <v>-1</v>
      </c>
      <c r="EN140" s="86">
        <f ca="1">MAX(0, SUMPRODUCT($ED140:$EL140,OFFSET(DNN!$E$9:$M$9,EN$9,0)) + OFFSET(DNN!$D$9,EN$9,0))</f>
        <v>0</v>
      </c>
      <c r="EO140" s="84">
        <f ca="1">MAX(0, SUMPRODUCT($ED140:$EL140,OFFSET(DNN!$E$9:$M$9,EO$9,0)) + OFFSET(DNN!$D$9,EO$9,0))</f>
        <v>7.2346022384755949E-3</v>
      </c>
      <c r="EP140" s="84">
        <f ca="1">MAX(0, SUMPRODUCT($ED140:$EL140,OFFSET(DNN!$E$9:$M$9,EP$9,0)) + OFFSET(DNN!$D$9,EP$9,0))</f>
        <v>3.6951849750035152E-3</v>
      </c>
      <c r="EQ140" s="84">
        <f ca="1">MAX(0, SUMPRODUCT($ED140:$EL140,OFFSET(DNN!$E$9:$M$9,EQ$9,0)) + OFFSET(DNN!$D$9,EQ$9,0))</f>
        <v>0</v>
      </c>
      <c r="ER140" s="85">
        <f ca="1">MAX(0, SUMPRODUCT($ED140:$EL140,OFFSET(DNN!$E$9:$M$9,ER$9,0)) + OFFSET(DNN!$D$9,ER$9,0))</f>
        <v>0</v>
      </c>
      <c r="ET140" s="86">
        <f ca="1">MAX(0, SUMPRODUCT($EN140:$ER140,OFFSET(DNN!$Q$9:$U$9,ET$9,0)) + OFFSET(DNN!$P$9,ET$9,0))</f>
        <v>4.3954959453478351E-4</v>
      </c>
      <c r="EU140" s="84">
        <f ca="1">MAX(0, SUMPRODUCT($EN140:$ER140,OFFSET(DNN!$Q$9:$U$9,EU$9,0)) + OFFSET(DNN!$P$9,EU$9,0))</f>
        <v>0</v>
      </c>
      <c r="EV140" s="84">
        <f ca="1">MAX(0, SUMPRODUCT($EN140:$ER140,OFFSET(DNN!$Q$9:$U$9,EV$9,0)) + OFFSET(DNN!$P$9,EV$9,0))</f>
        <v>1.2810123361902579E-3</v>
      </c>
      <c r="EW140" s="84">
        <f ca="1">MAX(0, SUMPRODUCT($EN140:$ER140,OFFSET(DNN!$Q$9:$U$9,EW$9,0)) + OFFSET(DNN!$P$9,EW$9,0))</f>
        <v>7.8382123007882457E-4</v>
      </c>
      <c r="EX140" s="85">
        <f ca="1">MAX(0, SUMPRODUCT($EN140:$ER140,OFFSET(DNN!$Q$9:$U$9,EX$9,0)) + OFFSET(DNN!$P$9,EX$9,0))</f>
        <v>0</v>
      </c>
      <c r="EZ140" s="111">
        <f ca="1">SUMPRODUCT($ET140:$EX140,OFFSET(DNN!$Y$9:$AC$9,EZ$9,0)) + OFFSET(DNN!$X$9,EZ$9,0)</f>
        <v>0.43031618918982212</v>
      </c>
      <c r="FA140" s="97">
        <f ca="1">SUMPRODUCT($ET140:$EX140,OFFSET(DNN!$Y$9:$AC$9,FA$9,0)) + OFFSET(DNN!$X$9,FA$9,0)</f>
        <v>-1.2643439935754107E-5</v>
      </c>
      <c r="FB140" s="97">
        <f ca="1">SUMPRODUCT($ET140:$EX140,OFFSET(DNN!$Y$9:$AC$9,FB$9,0)) + OFFSET(DNN!$X$9,FB$9,0)</f>
        <v>1.5239793458415756E-2</v>
      </c>
      <c r="FC140" s="97">
        <f ca="1">SUMPRODUCT($ET140:$EX140,OFFSET(DNN!$Y$9:$AC$9,FC$9,0)) + OFFSET(DNN!$X$9,FC$9,0)</f>
        <v>-8.8749521084055777E-4</v>
      </c>
      <c r="FD140" s="97">
        <f ca="1">SUMPRODUCT($ET140:$EX140,OFFSET(DNN!$Y$9:$AC$9,FD$9,0)) + OFFSET(DNN!$X$9,FD$9,0)</f>
        <v>-4.235816470721872E-4</v>
      </c>
      <c r="FE140" s="97">
        <f ca="1">SUMPRODUCT($ET140:$EX140,OFFSET(DNN!$Y$9:$AC$9,FE$9,0)) + OFFSET(DNN!$X$9,FE$9,0)</f>
        <v>-1.574182761064886E-5</v>
      </c>
      <c r="FF140" s="97">
        <f ca="1">SUMPRODUCT($ET140:$EX140,OFFSET(DNN!$Y$9:$AC$9,FF$9,0)) + OFFSET(DNN!$X$9,FF$9,0)</f>
        <v>-1.3491460223194656E-3</v>
      </c>
      <c r="FG140" s="97">
        <f ca="1">SUMPRODUCT($ET140:$EX140,OFFSET(DNN!$Y$9:$AC$9,FG$9,0)) + OFFSET(DNN!$X$9,FG$9,0)</f>
        <v>-6.2604808096248285E-2</v>
      </c>
      <c r="FH140" s="97">
        <f ca="1">SUMPRODUCT($ET140:$EX140,OFFSET(DNN!$Y$9:$AC$9,FH$9,0)) + OFFSET(DNN!$X$9,FH$9,0)</f>
        <v>8.6810016937029894E-4</v>
      </c>
      <c r="FI140" s="108">
        <f ca="1">SUMPRODUCT($ET140:$EX140,OFFSET(DNN!$Y$9:$AC$9,FI$9,0)) + OFFSET(DNN!$X$9,FI$9,0)</f>
        <v>-1.3182687612562751</v>
      </c>
      <c r="FJ140" s="98">
        <f ca="1">SUMPRODUCT($ET140:$EX140,OFFSET(DNN!$Y$9:$AC$9,FJ$9,0)) + OFFSET(DNN!$X$9,FJ$9,0)</f>
        <v>-2.2535161745939301E-5</v>
      </c>
      <c r="FL140" s="415">
        <f t="shared" ca="1" si="335"/>
        <v>0.43031618918982212</v>
      </c>
      <c r="FM140" s="130">
        <f t="shared" ca="1" si="336"/>
        <v>1</v>
      </c>
      <c r="FN140" s="131">
        <f t="shared" ca="1" si="337"/>
        <v>0.65029522127322903</v>
      </c>
      <c r="FO140" s="131">
        <f t="shared" ca="1" si="338"/>
        <v>0.66028983545318687</v>
      </c>
      <c r="FP140" s="131">
        <f t="shared" ca="1" si="339"/>
        <v>0.64972655813153501</v>
      </c>
      <c r="FQ140" s="131">
        <f t="shared" ca="1" si="340"/>
        <v>0.65002804502111444</v>
      </c>
      <c r="FR140" s="131">
        <f t="shared" ca="1" si="341"/>
        <v>0.65029320640965171</v>
      </c>
      <c r="FS140" s="131">
        <f t="shared" ca="1" si="342"/>
        <v>0.64942668056342145</v>
      </c>
      <c r="FT140" s="131">
        <f t="shared" ca="1" si="343"/>
        <v>0.61083952513994022</v>
      </c>
      <c r="FU140" s="132">
        <f t="shared" ca="1" si="344"/>
        <v>0.6508682169276182</v>
      </c>
      <c r="FV140" s="131">
        <f t="shared" ca="1" si="345"/>
        <v>0.17402001625314881</v>
      </c>
      <c r="FW140" s="83">
        <f t="shared" ca="1" si="346"/>
        <v>-2.2535161742124597E-5</v>
      </c>
    </row>
    <row r="141" spans="1:179">
      <c r="A141" s="19">
        <f t="shared" si="240"/>
        <v>131</v>
      </c>
      <c r="B141" s="1">
        <f t="shared" ca="1" si="347"/>
        <v>0</v>
      </c>
      <c r="C141" s="20">
        <f t="shared" ca="1" si="348"/>
        <v>131</v>
      </c>
      <c r="D141" s="19" t="str">
        <f t="shared" ca="1" si="349"/>
        <v>〇×〇×〇×--〇</v>
      </c>
      <c r="E141" s="7">
        <f t="shared" ca="1" si="317"/>
        <v>9</v>
      </c>
      <c r="F141" s="7">
        <f t="shared" ca="1" si="318"/>
        <v>1</v>
      </c>
      <c r="G141" s="1" t="str">
        <f t="shared" ca="1" si="250"/>
        <v>〇×〇×〇×--〇</v>
      </c>
      <c r="H141" s="20" t="b">
        <f t="shared" ca="1" si="251"/>
        <v>1</v>
      </c>
      <c r="I141" s="22">
        <f t="shared" ca="1" si="350"/>
        <v>-1</v>
      </c>
      <c r="J141" s="1" t="b">
        <f ca="1">(1&lt;COUNTIF(D$10:D141,D141))</f>
        <v>1</v>
      </c>
      <c r="K141" s="1" t="b">
        <f t="shared" ca="1" si="252"/>
        <v>1</v>
      </c>
      <c r="L141" s="7">
        <f ca="1">MATCH(TRUE,K141:K$1048576,FALSE)-1</f>
        <v>0</v>
      </c>
      <c r="M141" s="24" t="str">
        <f t="shared" ca="1" si="253"/>
        <v>〇×〇×〇×--〇_9</v>
      </c>
      <c r="N141" s="25">
        <f t="shared" ca="1" si="319"/>
        <v>-2.2535161742124597E-5</v>
      </c>
      <c r="O141" s="26">
        <f t="shared" ca="1" si="320"/>
        <v>-1</v>
      </c>
      <c r="P141" s="27">
        <f t="shared" ca="1" si="321"/>
        <v>-1</v>
      </c>
      <c r="R141" s="41" t="str">
        <f ca="1">VLOOKUP(S141,cvt!$B$2:$C$4,2,FALSE)&amp;VLOOKUP(T141,cvt!$B$2:$C$4,2,FALSE)&amp;VLOOKUP(U141,cvt!$B$2:$C$4,2,FALSE)
&amp;VLOOKUP(V141,cvt!$B$2:$C$4,2,FALSE)&amp;VLOOKUP(W141,cvt!$B$2:$C$4,2,FALSE)&amp;VLOOKUP(X141,cvt!$B$2:$C$4,2,FALSE)
&amp;VLOOKUP(Y141,cvt!$B$2:$C$4,2,FALSE)&amp;VLOOKUP(Z141,cvt!$B$2:$C$4,2,FALSE)&amp;VLOOKUP(AA141,cvt!$B$2:$C$4,2,FALSE)</f>
        <v>〇×〇×〇×--〇</v>
      </c>
      <c r="S141" s="7">
        <f ca="1">VLOOKUP(MID($D141,S$9+1,1), cvt!$A$2:$B$4,2, FALSE)</f>
        <v>1</v>
      </c>
      <c r="T141" s="7">
        <f ca="1">VLOOKUP(MID($D141,T$9+1,1), cvt!$A$2:$B$4,2, FALSE)</f>
        <v>-1</v>
      </c>
      <c r="U141" s="7">
        <f ca="1">VLOOKUP(MID($D141,U$9+1,1), cvt!$A$2:$B$4,2, FALSE)</f>
        <v>1</v>
      </c>
      <c r="V141" s="17">
        <f ca="1">VLOOKUP(MID($D141,V$9+1,1), cvt!$A$2:$B$4,2, FALSE)</f>
        <v>-1</v>
      </c>
      <c r="W141" s="7">
        <f ca="1">VLOOKUP(MID($D141,W$9+1,1), cvt!$A$2:$B$4,2, FALSE)</f>
        <v>1</v>
      </c>
      <c r="X141" s="18">
        <f ca="1">VLOOKUP(MID($D141,X$9+1,1), cvt!$A$2:$B$4,2, FALSE)</f>
        <v>-1</v>
      </c>
      <c r="Y141" s="7">
        <f ca="1">VLOOKUP(MID($D141,Y$9+1,1), cvt!$A$2:$B$4,2, FALSE)</f>
        <v>0</v>
      </c>
      <c r="Z141" s="7">
        <f ca="1">VLOOKUP(MID($D141,Z$9+1,1), cvt!$A$2:$B$4,2, FALSE)</f>
        <v>0</v>
      </c>
      <c r="AA141" s="42">
        <f ca="1">VLOOKUP(MID($D141,AA$9+1,1), cvt!$A$2:$B$4,2, FALSE)</f>
        <v>1</v>
      </c>
      <c r="AB141" s="7">
        <f t="shared" ca="1" si="322"/>
        <v>1</v>
      </c>
      <c r="AC141" s="50" t="b">
        <f t="shared" ca="1" si="323"/>
        <v>1</v>
      </c>
      <c r="AE141" s="19" t="str">
        <f ca="1">VLOOKUP(AF141,cvt!$B$2:$C$4,2,FALSE)&amp;VLOOKUP(AG141,cvt!$B$2:$C$4,2,FALSE)&amp;VLOOKUP(AH141,cvt!$B$2:$C$4,2,FALSE)
&amp;VLOOKUP(AI141,cvt!$B$2:$C$4,2,FALSE)&amp;VLOOKUP(AJ141,cvt!$B$2:$C$4,2,FALSE)&amp;VLOOKUP(AK141,cvt!$B$2:$C$4,2,FALSE)
&amp;VLOOKUP(AL141,cvt!$B$2:$C$4,2,FALSE)&amp;VLOOKUP(AM141,cvt!$B$2:$C$4,2,FALSE)&amp;VLOOKUP(AN141,cvt!$B$2:$C$4,2,FALSE)</f>
        <v>〇×〇×〇×--〇</v>
      </c>
      <c r="AF141" s="17">
        <f t="shared" ca="1" si="254"/>
        <v>1</v>
      </c>
      <c r="AG141" s="7">
        <f t="shared" ca="1" si="255"/>
        <v>-1</v>
      </c>
      <c r="AH141" s="7">
        <f t="shared" ca="1" si="256"/>
        <v>1</v>
      </c>
      <c r="AI141" s="17">
        <f t="shared" ca="1" si="257"/>
        <v>-1</v>
      </c>
      <c r="AJ141" s="7">
        <f t="shared" ca="1" si="258"/>
        <v>1</v>
      </c>
      <c r="AK141" s="18">
        <f t="shared" ca="1" si="259"/>
        <v>-1</v>
      </c>
      <c r="AL141" s="7">
        <f t="shared" ca="1" si="260"/>
        <v>0</v>
      </c>
      <c r="AM141" s="7">
        <f t="shared" ca="1" si="261"/>
        <v>0</v>
      </c>
      <c r="AN141" s="18">
        <f t="shared" ca="1" si="262"/>
        <v>1</v>
      </c>
      <c r="AO141" s="7">
        <f t="shared" ca="1" si="324"/>
        <v>1</v>
      </c>
      <c r="AP141" s="50" t="b">
        <f t="shared" ca="1" si="263"/>
        <v>1</v>
      </c>
      <c r="AS141" s="22">
        <f t="shared" ca="1" si="325"/>
        <v>0</v>
      </c>
      <c r="AT141" s="7">
        <f t="shared" ca="1" si="264"/>
        <v>0</v>
      </c>
      <c r="AU141" s="7">
        <f t="shared" ca="1" si="265"/>
        <v>0</v>
      </c>
      <c r="AV141" s="7">
        <f t="shared" ca="1" si="266"/>
        <v>0</v>
      </c>
      <c r="AW141" s="7">
        <f t="shared" ca="1" si="267"/>
        <v>0</v>
      </c>
      <c r="AX141" s="7">
        <f t="shared" ca="1" si="268"/>
        <v>0</v>
      </c>
      <c r="AY141" s="7">
        <f t="shared" ca="1" si="269"/>
        <v>0</v>
      </c>
      <c r="AZ141" s="7">
        <f t="shared" ca="1" si="270"/>
        <v>0</v>
      </c>
      <c r="BA141" s="18">
        <f t="shared" ca="1" si="271"/>
        <v>0</v>
      </c>
      <c r="BB141" s="295">
        <f t="shared" ca="1" si="326"/>
        <v>1</v>
      </c>
      <c r="BD141" s="132"/>
      <c r="BE141" s="297">
        <f t="shared" ca="1" si="327"/>
        <v>1</v>
      </c>
      <c r="BF141" s="298">
        <f t="shared" ca="1" si="272"/>
        <v>0.65029522127322903</v>
      </c>
      <c r="BG141" s="298">
        <f t="shared" ca="1" si="273"/>
        <v>0.66028983545318687</v>
      </c>
      <c r="BH141" s="318">
        <f t="shared" ca="1" si="274"/>
        <v>0.64972655813153501</v>
      </c>
      <c r="BI141" s="298">
        <f t="shared" ca="1" si="275"/>
        <v>0.65002804502111444</v>
      </c>
      <c r="BJ141" s="299">
        <f t="shared" ca="1" si="276"/>
        <v>0.65029320640965171</v>
      </c>
      <c r="BK141" s="298">
        <f t="shared" ca="1" si="277"/>
        <v>0.64942668056342145</v>
      </c>
      <c r="BL141" s="298">
        <f t="shared" ca="1" si="278"/>
        <v>0.61083952513994022</v>
      </c>
      <c r="BM141" s="299">
        <f t="shared" ca="1" si="279"/>
        <v>0.6508682169276182</v>
      </c>
      <c r="BN141" s="295">
        <f t="shared" ca="1" si="280"/>
        <v>0.17402001625314881</v>
      </c>
      <c r="BO141" s="248">
        <f t="shared" ca="1" si="328"/>
        <v>-2.2535161742124597E-5</v>
      </c>
      <c r="BQ141" s="304">
        <f t="shared" ca="1" si="329"/>
        <v>0.1741200162531488</v>
      </c>
      <c r="BR141" s="297">
        <f t="shared" ca="1" si="330"/>
        <v>0</v>
      </c>
      <c r="BS141" s="298">
        <f t="shared" ca="1" si="281"/>
        <v>0</v>
      </c>
      <c r="BT141" s="298">
        <f t="shared" ca="1" si="282"/>
        <v>0</v>
      </c>
      <c r="BU141" s="318">
        <f t="shared" ca="1" si="283"/>
        <v>0</v>
      </c>
      <c r="BV141" s="298">
        <f t="shared" ca="1" si="284"/>
        <v>0</v>
      </c>
      <c r="BW141" s="299">
        <f t="shared" ca="1" si="285"/>
        <v>0</v>
      </c>
      <c r="BX141" s="298">
        <f t="shared" ca="1" si="286"/>
        <v>0</v>
      </c>
      <c r="BY141" s="298">
        <f t="shared" ca="1" si="287"/>
        <v>0</v>
      </c>
      <c r="BZ141" s="298">
        <f t="shared" ca="1" si="288"/>
        <v>0</v>
      </c>
      <c r="CA141" s="315">
        <f t="shared" ca="1" si="289"/>
        <v>0.1741200162531488</v>
      </c>
      <c r="CC141" s="52"/>
      <c r="CD141" s="306">
        <f t="shared" ca="1" si="331"/>
        <v>0</v>
      </c>
      <c r="CE141" s="15">
        <f t="shared" ca="1" si="290"/>
        <v>0</v>
      </c>
      <c r="CF141" s="15">
        <f t="shared" ca="1" si="291"/>
        <v>0</v>
      </c>
      <c r="CG141" s="286">
        <f t="shared" ca="1" si="292"/>
        <v>0</v>
      </c>
      <c r="CH141" s="15">
        <f t="shared" ca="1" si="293"/>
        <v>0</v>
      </c>
      <c r="CI141" s="288">
        <f t="shared" ca="1" si="294"/>
        <v>0</v>
      </c>
      <c r="CJ141" s="15">
        <f t="shared" ca="1" si="295"/>
        <v>0</v>
      </c>
      <c r="CK141" s="15">
        <f t="shared" ca="1" si="296"/>
        <v>0</v>
      </c>
      <c r="CL141" s="15">
        <f t="shared" ca="1" si="297"/>
        <v>0</v>
      </c>
      <c r="CM141" s="313">
        <f t="shared" ca="1" si="298"/>
        <v>1</v>
      </c>
      <c r="CO141" s="320">
        <f t="shared" ca="1" si="332"/>
        <v>130</v>
      </c>
      <c r="CP141" s="22">
        <f ca="1">COUNTIFS($C$10:$C140,"&lt;"&amp;$C141,$M$10:$M140,$D141&amp;"_"&amp;CP$9)</f>
        <v>0</v>
      </c>
      <c r="CQ141" s="7">
        <f ca="1">COUNTIFS($C$10:$C140,"&lt;"&amp;$C141,$M$10:$M140,$D141&amp;"_"&amp;CQ$9)</f>
        <v>0</v>
      </c>
      <c r="CR141" s="7">
        <f ca="1">COUNTIFS($C$10:$C140,"&lt;"&amp;$C141,$M$10:$M140,$D141&amp;"_"&amp;CR$9)</f>
        <v>0</v>
      </c>
      <c r="CS141" s="17">
        <f ca="1">COUNTIFS($C$10:$C140,"&lt;"&amp;$C141,$M$10:$M140,$D141&amp;"_"&amp;CS$9)</f>
        <v>0</v>
      </c>
      <c r="CT141" s="7">
        <f ca="1">COUNTIFS($C$10:$C140,"&lt;"&amp;$C141,$M$10:$M140,$D141&amp;"_"&amp;CT$9)</f>
        <v>0</v>
      </c>
      <c r="CU141" s="18">
        <f ca="1">COUNTIFS($C$10:$C140,"&lt;"&amp;$C141,$M$10:$M140,$D141&amp;"_"&amp;CU$9)</f>
        <v>0</v>
      </c>
      <c r="CV141" s="7">
        <f ca="1">COUNTIFS($C$10:$C140,"&lt;"&amp;$C141,$M$10:$M140,$D141&amp;"_"&amp;CV$9)</f>
        <v>0</v>
      </c>
      <c r="CW141" s="7">
        <f ca="1">COUNTIFS($C$10:$C140,"&lt;"&amp;$C141,$M$10:$M140,$D141&amp;"_"&amp;CW$9)</f>
        <v>0</v>
      </c>
      <c r="CX141" s="7">
        <f ca="1">COUNTIFS($C$10:$C140,"&lt;"&amp;$C141,$M$10:$M140,$D141&amp;"_"&amp;CX$9)</f>
        <v>0</v>
      </c>
      <c r="CY141" s="221">
        <f ca="1">COUNTIFS($C$10:$C140,"&lt;"&amp;$C141,$M$10:$M140,$D141&amp;"_"&amp;CY$9)</f>
        <v>130</v>
      </c>
      <c r="DA141" s="20"/>
      <c r="DB141" s="308">
        <f ca="1">IF(CP141=0,0,SUMIFS($P$10:$P140, $C$10:$C140,"&lt;"&amp;$C141, $M$10:$M140,$D141&amp;"_"&amp;DB$9)/CP141)</f>
        <v>0</v>
      </c>
      <c r="DC141" s="263">
        <f ca="1">IF(CQ141=0,0,SUMIFS($P$10:$P140, $C$10:$C140,"&lt;"&amp;$C141, $M$10:$M140,$D141&amp;"_"&amp;DC$9)/CQ141)</f>
        <v>0</v>
      </c>
      <c r="DD141" s="263">
        <f ca="1">IF(CR141=0,0,SUMIFS($P$10:$P140, $C$10:$C140,"&lt;"&amp;$C141, $M$10:$M140,$D141&amp;"_"&amp;DD$9)/CR141)</f>
        <v>0</v>
      </c>
      <c r="DE141" s="262">
        <f ca="1">IF(CS141=0,0,SUMIFS($P$10:$P140, $C$10:$C140,"&lt;"&amp;$C141, $M$10:$M140,$D141&amp;"_"&amp;DE$9)/CS141)</f>
        <v>0</v>
      </c>
      <c r="DF141" s="263">
        <f ca="1">IF(CT141=0,0,SUMIFS($P$10:$P140, $C$10:$C140,"&lt;"&amp;$C141, $M$10:$M140,$D141&amp;"_"&amp;DF$9)/CT141)</f>
        <v>0</v>
      </c>
      <c r="DG141" s="310">
        <f ca="1">IF(CU141=0,0,SUMIFS($P$10:$P140, $C$10:$C140,"&lt;"&amp;$C141, $M$10:$M140,$D141&amp;"_"&amp;DG$9)/CU141)</f>
        <v>0</v>
      </c>
      <c r="DH141" s="263">
        <f ca="1">IF(CV141=0,0,SUMIFS($P$10:$P140, $C$10:$C140,"&lt;"&amp;$C141, $M$10:$M140,$D141&amp;"_"&amp;DH$9)/CV141)</f>
        <v>0</v>
      </c>
      <c r="DI141" s="263">
        <f ca="1">IF(CW141=0,0,SUMIFS($P$10:$P140, $C$10:$C140,"&lt;"&amp;$C141, $M$10:$M140,$D141&amp;"_"&amp;DI$9)/CW141)</f>
        <v>0</v>
      </c>
      <c r="DJ141" s="264">
        <f ca="1">IF(CX141=0,0,SUMIFS($P$10:$P140, $C$10:$C140,"&lt;"&amp;$C141, $M$10:$M140,$D141&amp;"_"&amp;DJ$9)/CX141)</f>
        <v>0</v>
      </c>
      <c r="DK141" s="264">
        <f ca="1">IF(CY141=0,0,SUMIFS($P$10:$P140, $C$10:$C140,"&lt;"&amp;$C141, $M$10:$M140,$D141&amp;"_"&amp;DK$9)/CY141)</f>
        <v>-1</v>
      </c>
      <c r="DM141" s="104"/>
      <c r="DN141" s="306">
        <f t="shared" ca="1" si="333"/>
        <v>-9999</v>
      </c>
      <c r="DO141" s="15">
        <f t="shared" ca="1" si="299"/>
        <v>-9999</v>
      </c>
      <c r="DP141" s="15">
        <f t="shared" ca="1" si="300"/>
        <v>-9999</v>
      </c>
      <c r="DQ141" s="15">
        <f t="shared" ca="1" si="301"/>
        <v>-9999</v>
      </c>
      <c r="DR141" s="15">
        <f t="shared" ca="1" si="302"/>
        <v>-9999</v>
      </c>
      <c r="DS141" s="15">
        <f t="shared" ca="1" si="303"/>
        <v>-9999</v>
      </c>
      <c r="DT141" s="15">
        <f t="shared" ca="1" si="304"/>
        <v>-9999</v>
      </c>
      <c r="DU141" s="15">
        <f t="shared" ca="1" si="305"/>
        <v>-9999</v>
      </c>
      <c r="DV141" s="52">
        <f t="shared" ca="1" si="306"/>
        <v>-9999</v>
      </c>
      <c r="DW141" s="313">
        <f t="shared" ca="1" si="307"/>
        <v>-0.91296370800769944</v>
      </c>
      <c r="DX141" s="52"/>
      <c r="DY141" s="402">
        <f t="shared" ca="1" si="334"/>
        <v>9</v>
      </c>
      <c r="ED141" s="19">
        <f t="shared" ca="1" si="308"/>
        <v>-1</v>
      </c>
      <c r="EE141" s="1">
        <f t="shared" ca="1" si="309"/>
        <v>1</v>
      </c>
      <c r="EF141" s="1">
        <f t="shared" ca="1" si="310"/>
        <v>-1</v>
      </c>
      <c r="EG141" s="2">
        <f t="shared" ca="1" si="311"/>
        <v>1</v>
      </c>
      <c r="EH141" s="1">
        <f t="shared" ca="1" si="312"/>
        <v>-1</v>
      </c>
      <c r="EI141" s="3">
        <f t="shared" ca="1" si="313"/>
        <v>1</v>
      </c>
      <c r="EJ141" s="1">
        <f t="shared" ca="1" si="314"/>
        <v>0</v>
      </c>
      <c r="EK141" s="1">
        <f t="shared" ca="1" si="315"/>
        <v>0</v>
      </c>
      <c r="EL141" s="20">
        <f t="shared" ca="1" si="316"/>
        <v>-1</v>
      </c>
      <c r="EN141" s="86">
        <f ca="1">MAX(0, SUMPRODUCT($ED141:$EL141,OFFSET(DNN!$E$9:$M$9,EN$9,0)) + OFFSET(DNN!$D$9,EN$9,0))</f>
        <v>0</v>
      </c>
      <c r="EO141" s="84">
        <f ca="1">MAX(0, SUMPRODUCT($ED141:$EL141,OFFSET(DNN!$E$9:$M$9,EO$9,0)) + OFFSET(DNN!$D$9,EO$9,0))</f>
        <v>7.2346022384755949E-3</v>
      </c>
      <c r="EP141" s="84">
        <f ca="1">MAX(0, SUMPRODUCT($ED141:$EL141,OFFSET(DNN!$E$9:$M$9,EP$9,0)) + OFFSET(DNN!$D$9,EP$9,0))</f>
        <v>3.6951849750035152E-3</v>
      </c>
      <c r="EQ141" s="84">
        <f ca="1">MAX(0, SUMPRODUCT($ED141:$EL141,OFFSET(DNN!$E$9:$M$9,EQ$9,0)) + OFFSET(DNN!$D$9,EQ$9,0))</f>
        <v>0</v>
      </c>
      <c r="ER141" s="85">
        <f ca="1">MAX(0, SUMPRODUCT($ED141:$EL141,OFFSET(DNN!$E$9:$M$9,ER$9,0)) + OFFSET(DNN!$D$9,ER$9,0))</f>
        <v>0</v>
      </c>
      <c r="ET141" s="86">
        <f ca="1">MAX(0, SUMPRODUCT($EN141:$ER141,OFFSET(DNN!$Q$9:$U$9,ET$9,0)) + OFFSET(DNN!$P$9,ET$9,0))</f>
        <v>4.3954959453478351E-4</v>
      </c>
      <c r="EU141" s="84">
        <f ca="1">MAX(0, SUMPRODUCT($EN141:$ER141,OFFSET(DNN!$Q$9:$U$9,EU$9,0)) + OFFSET(DNN!$P$9,EU$9,0))</f>
        <v>0</v>
      </c>
      <c r="EV141" s="84">
        <f ca="1">MAX(0, SUMPRODUCT($EN141:$ER141,OFFSET(DNN!$Q$9:$U$9,EV$9,0)) + OFFSET(DNN!$P$9,EV$9,0))</f>
        <v>1.2810123361902579E-3</v>
      </c>
      <c r="EW141" s="84">
        <f ca="1">MAX(0, SUMPRODUCT($EN141:$ER141,OFFSET(DNN!$Q$9:$U$9,EW$9,0)) + OFFSET(DNN!$P$9,EW$9,0))</f>
        <v>7.8382123007882457E-4</v>
      </c>
      <c r="EX141" s="85">
        <f ca="1">MAX(0, SUMPRODUCT($EN141:$ER141,OFFSET(DNN!$Q$9:$U$9,EX$9,0)) + OFFSET(DNN!$P$9,EX$9,0))</f>
        <v>0</v>
      </c>
      <c r="EZ141" s="111">
        <f ca="1">SUMPRODUCT($ET141:$EX141,OFFSET(DNN!$Y$9:$AC$9,EZ$9,0)) + OFFSET(DNN!$X$9,EZ$9,0)</f>
        <v>0.43031618918982212</v>
      </c>
      <c r="FA141" s="97">
        <f ca="1">SUMPRODUCT($ET141:$EX141,OFFSET(DNN!$Y$9:$AC$9,FA$9,0)) + OFFSET(DNN!$X$9,FA$9,0)</f>
        <v>-1.2643439935754107E-5</v>
      </c>
      <c r="FB141" s="97">
        <f ca="1">SUMPRODUCT($ET141:$EX141,OFFSET(DNN!$Y$9:$AC$9,FB$9,0)) + OFFSET(DNN!$X$9,FB$9,0)</f>
        <v>1.5239793458415756E-2</v>
      </c>
      <c r="FC141" s="97">
        <f ca="1">SUMPRODUCT($ET141:$EX141,OFFSET(DNN!$Y$9:$AC$9,FC$9,0)) + OFFSET(DNN!$X$9,FC$9,0)</f>
        <v>-8.8749521084055777E-4</v>
      </c>
      <c r="FD141" s="97">
        <f ca="1">SUMPRODUCT($ET141:$EX141,OFFSET(DNN!$Y$9:$AC$9,FD$9,0)) + OFFSET(DNN!$X$9,FD$9,0)</f>
        <v>-4.235816470721872E-4</v>
      </c>
      <c r="FE141" s="97">
        <f ca="1">SUMPRODUCT($ET141:$EX141,OFFSET(DNN!$Y$9:$AC$9,FE$9,0)) + OFFSET(DNN!$X$9,FE$9,0)</f>
        <v>-1.574182761064886E-5</v>
      </c>
      <c r="FF141" s="97">
        <f ca="1">SUMPRODUCT($ET141:$EX141,OFFSET(DNN!$Y$9:$AC$9,FF$9,0)) + OFFSET(DNN!$X$9,FF$9,0)</f>
        <v>-1.3491460223194656E-3</v>
      </c>
      <c r="FG141" s="97">
        <f ca="1">SUMPRODUCT($ET141:$EX141,OFFSET(DNN!$Y$9:$AC$9,FG$9,0)) + OFFSET(DNN!$X$9,FG$9,0)</f>
        <v>-6.2604808096248285E-2</v>
      </c>
      <c r="FH141" s="97">
        <f ca="1">SUMPRODUCT($ET141:$EX141,OFFSET(DNN!$Y$9:$AC$9,FH$9,0)) + OFFSET(DNN!$X$9,FH$9,0)</f>
        <v>8.6810016937029894E-4</v>
      </c>
      <c r="FI141" s="108">
        <f ca="1">SUMPRODUCT($ET141:$EX141,OFFSET(DNN!$Y$9:$AC$9,FI$9,0)) + OFFSET(DNN!$X$9,FI$9,0)</f>
        <v>-1.3182687612562751</v>
      </c>
      <c r="FJ141" s="98">
        <f ca="1">SUMPRODUCT($ET141:$EX141,OFFSET(DNN!$Y$9:$AC$9,FJ$9,0)) + OFFSET(DNN!$X$9,FJ$9,0)</f>
        <v>-2.2535161745939301E-5</v>
      </c>
      <c r="FL141" s="415">
        <f t="shared" ca="1" si="335"/>
        <v>0.43031618918982212</v>
      </c>
      <c r="FM141" s="130">
        <f t="shared" ca="1" si="336"/>
        <v>1</v>
      </c>
      <c r="FN141" s="131">
        <f t="shared" ca="1" si="337"/>
        <v>0.65029522127322903</v>
      </c>
      <c r="FO141" s="131">
        <f t="shared" ca="1" si="338"/>
        <v>0.66028983545318687</v>
      </c>
      <c r="FP141" s="131">
        <f t="shared" ca="1" si="339"/>
        <v>0.64972655813153501</v>
      </c>
      <c r="FQ141" s="131">
        <f t="shared" ca="1" si="340"/>
        <v>0.65002804502111444</v>
      </c>
      <c r="FR141" s="131">
        <f t="shared" ca="1" si="341"/>
        <v>0.65029320640965171</v>
      </c>
      <c r="FS141" s="131">
        <f t="shared" ca="1" si="342"/>
        <v>0.64942668056342145</v>
      </c>
      <c r="FT141" s="131">
        <f t="shared" ca="1" si="343"/>
        <v>0.61083952513994022</v>
      </c>
      <c r="FU141" s="132">
        <f t="shared" ca="1" si="344"/>
        <v>0.6508682169276182</v>
      </c>
      <c r="FV141" s="131">
        <f t="shared" ca="1" si="345"/>
        <v>0.17402001625314881</v>
      </c>
      <c r="FW141" s="83">
        <f t="shared" ca="1" si="346"/>
        <v>-2.2535161742124597E-5</v>
      </c>
    </row>
    <row r="142" spans="1:179">
      <c r="A142" s="19">
        <f t="shared" si="240"/>
        <v>132</v>
      </c>
      <c r="B142" s="1">
        <f t="shared" ca="1" si="347"/>
        <v>0</v>
      </c>
      <c r="C142" s="20">
        <f t="shared" ca="1" si="348"/>
        <v>132</v>
      </c>
      <c r="D142" s="19" t="str">
        <f t="shared" ca="1" si="349"/>
        <v>〇×〇×〇×--〇</v>
      </c>
      <c r="E142" s="7">
        <f t="shared" ca="1" si="317"/>
        <v>9</v>
      </c>
      <c r="F142" s="7">
        <f t="shared" ca="1" si="318"/>
        <v>1</v>
      </c>
      <c r="G142" s="1" t="str">
        <f t="shared" ca="1" si="250"/>
        <v>〇×〇×〇×--〇</v>
      </c>
      <c r="H142" s="20" t="b">
        <f t="shared" ca="1" si="251"/>
        <v>1</v>
      </c>
      <c r="I142" s="22">
        <f t="shared" ca="1" si="350"/>
        <v>-1</v>
      </c>
      <c r="J142" s="1" t="b">
        <f ca="1">(1&lt;COUNTIF(D$10:D142,D142))</f>
        <v>1</v>
      </c>
      <c r="K142" s="1" t="b">
        <f t="shared" ca="1" si="252"/>
        <v>1</v>
      </c>
      <c r="L142" s="7">
        <f ca="1">MATCH(TRUE,K142:K$1048576,FALSE)-1</f>
        <v>0</v>
      </c>
      <c r="M142" s="24" t="str">
        <f t="shared" ca="1" si="253"/>
        <v>〇×〇×〇×--〇_9</v>
      </c>
      <c r="N142" s="25">
        <f t="shared" ca="1" si="319"/>
        <v>-2.2535161742124597E-5</v>
      </c>
      <c r="O142" s="26">
        <f t="shared" ca="1" si="320"/>
        <v>-1</v>
      </c>
      <c r="P142" s="27">
        <f t="shared" ca="1" si="321"/>
        <v>-1</v>
      </c>
      <c r="R142" s="41" t="str">
        <f ca="1">VLOOKUP(S142,cvt!$B$2:$C$4,2,FALSE)&amp;VLOOKUP(T142,cvt!$B$2:$C$4,2,FALSE)&amp;VLOOKUP(U142,cvt!$B$2:$C$4,2,FALSE)
&amp;VLOOKUP(V142,cvt!$B$2:$C$4,2,FALSE)&amp;VLOOKUP(W142,cvt!$B$2:$C$4,2,FALSE)&amp;VLOOKUP(X142,cvt!$B$2:$C$4,2,FALSE)
&amp;VLOOKUP(Y142,cvt!$B$2:$C$4,2,FALSE)&amp;VLOOKUP(Z142,cvt!$B$2:$C$4,2,FALSE)&amp;VLOOKUP(AA142,cvt!$B$2:$C$4,2,FALSE)</f>
        <v>〇×〇×〇×--〇</v>
      </c>
      <c r="S142" s="7">
        <f ca="1">VLOOKUP(MID($D142,S$9+1,1), cvt!$A$2:$B$4,2, FALSE)</f>
        <v>1</v>
      </c>
      <c r="T142" s="7">
        <f ca="1">VLOOKUP(MID($D142,T$9+1,1), cvt!$A$2:$B$4,2, FALSE)</f>
        <v>-1</v>
      </c>
      <c r="U142" s="7">
        <f ca="1">VLOOKUP(MID($D142,U$9+1,1), cvt!$A$2:$B$4,2, FALSE)</f>
        <v>1</v>
      </c>
      <c r="V142" s="17">
        <f ca="1">VLOOKUP(MID($D142,V$9+1,1), cvt!$A$2:$B$4,2, FALSE)</f>
        <v>-1</v>
      </c>
      <c r="W142" s="7">
        <f ca="1">VLOOKUP(MID($D142,W$9+1,1), cvt!$A$2:$B$4,2, FALSE)</f>
        <v>1</v>
      </c>
      <c r="X142" s="18">
        <f ca="1">VLOOKUP(MID($D142,X$9+1,1), cvt!$A$2:$B$4,2, FALSE)</f>
        <v>-1</v>
      </c>
      <c r="Y142" s="7">
        <f ca="1">VLOOKUP(MID($D142,Y$9+1,1), cvt!$A$2:$B$4,2, FALSE)</f>
        <v>0</v>
      </c>
      <c r="Z142" s="7">
        <f ca="1">VLOOKUP(MID($D142,Z$9+1,1), cvt!$A$2:$B$4,2, FALSE)</f>
        <v>0</v>
      </c>
      <c r="AA142" s="42">
        <f ca="1">VLOOKUP(MID($D142,AA$9+1,1), cvt!$A$2:$B$4,2, FALSE)</f>
        <v>1</v>
      </c>
      <c r="AB142" s="7">
        <f t="shared" ca="1" si="322"/>
        <v>1</v>
      </c>
      <c r="AC142" s="50" t="b">
        <f t="shared" ca="1" si="323"/>
        <v>1</v>
      </c>
      <c r="AE142" s="19" t="str">
        <f ca="1">VLOOKUP(AF142,cvt!$B$2:$C$4,2,FALSE)&amp;VLOOKUP(AG142,cvt!$B$2:$C$4,2,FALSE)&amp;VLOOKUP(AH142,cvt!$B$2:$C$4,2,FALSE)
&amp;VLOOKUP(AI142,cvt!$B$2:$C$4,2,FALSE)&amp;VLOOKUP(AJ142,cvt!$B$2:$C$4,2,FALSE)&amp;VLOOKUP(AK142,cvt!$B$2:$C$4,2,FALSE)
&amp;VLOOKUP(AL142,cvt!$B$2:$C$4,2,FALSE)&amp;VLOOKUP(AM142,cvt!$B$2:$C$4,2,FALSE)&amp;VLOOKUP(AN142,cvt!$B$2:$C$4,2,FALSE)</f>
        <v>〇×〇×〇×--〇</v>
      </c>
      <c r="AF142" s="17">
        <f t="shared" ca="1" si="254"/>
        <v>1</v>
      </c>
      <c r="AG142" s="7">
        <f t="shared" ca="1" si="255"/>
        <v>-1</v>
      </c>
      <c r="AH142" s="7">
        <f t="shared" ca="1" si="256"/>
        <v>1</v>
      </c>
      <c r="AI142" s="17">
        <f t="shared" ca="1" si="257"/>
        <v>-1</v>
      </c>
      <c r="AJ142" s="7">
        <f t="shared" ca="1" si="258"/>
        <v>1</v>
      </c>
      <c r="AK142" s="18">
        <f t="shared" ca="1" si="259"/>
        <v>-1</v>
      </c>
      <c r="AL142" s="7">
        <f t="shared" ca="1" si="260"/>
        <v>0</v>
      </c>
      <c r="AM142" s="7">
        <f t="shared" ca="1" si="261"/>
        <v>0</v>
      </c>
      <c r="AN142" s="18">
        <f t="shared" ca="1" si="262"/>
        <v>1</v>
      </c>
      <c r="AO142" s="7">
        <f t="shared" ca="1" si="324"/>
        <v>1</v>
      </c>
      <c r="AP142" s="50" t="b">
        <f t="shared" ca="1" si="263"/>
        <v>1</v>
      </c>
      <c r="AS142" s="22">
        <f t="shared" ca="1" si="325"/>
        <v>0</v>
      </c>
      <c r="AT142" s="7">
        <f t="shared" ca="1" si="264"/>
        <v>0</v>
      </c>
      <c r="AU142" s="7">
        <f t="shared" ca="1" si="265"/>
        <v>0</v>
      </c>
      <c r="AV142" s="7">
        <f t="shared" ca="1" si="266"/>
        <v>0</v>
      </c>
      <c r="AW142" s="7">
        <f t="shared" ca="1" si="267"/>
        <v>0</v>
      </c>
      <c r="AX142" s="7">
        <f t="shared" ca="1" si="268"/>
        <v>0</v>
      </c>
      <c r="AY142" s="7">
        <f t="shared" ca="1" si="269"/>
        <v>0</v>
      </c>
      <c r="AZ142" s="7">
        <f t="shared" ca="1" si="270"/>
        <v>0</v>
      </c>
      <c r="BA142" s="18">
        <f t="shared" ca="1" si="271"/>
        <v>0</v>
      </c>
      <c r="BB142" s="295">
        <f t="shared" ca="1" si="326"/>
        <v>1</v>
      </c>
      <c r="BD142" s="132"/>
      <c r="BE142" s="297">
        <f t="shared" ca="1" si="327"/>
        <v>1</v>
      </c>
      <c r="BF142" s="298">
        <f t="shared" ca="1" si="272"/>
        <v>0.65029522127322903</v>
      </c>
      <c r="BG142" s="298">
        <f t="shared" ca="1" si="273"/>
        <v>0.66028983545318687</v>
      </c>
      <c r="BH142" s="318">
        <f t="shared" ca="1" si="274"/>
        <v>0.64972655813153501</v>
      </c>
      <c r="BI142" s="298">
        <f t="shared" ca="1" si="275"/>
        <v>0.65002804502111444</v>
      </c>
      <c r="BJ142" s="299">
        <f t="shared" ca="1" si="276"/>
        <v>0.65029320640965171</v>
      </c>
      <c r="BK142" s="298">
        <f t="shared" ca="1" si="277"/>
        <v>0.64942668056342145</v>
      </c>
      <c r="BL142" s="298">
        <f t="shared" ca="1" si="278"/>
        <v>0.61083952513994022</v>
      </c>
      <c r="BM142" s="299">
        <f t="shared" ca="1" si="279"/>
        <v>0.6508682169276182</v>
      </c>
      <c r="BN142" s="295">
        <f t="shared" ca="1" si="280"/>
        <v>0.17402001625314881</v>
      </c>
      <c r="BO142" s="248">
        <f t="shared" ca="1" si="328"/>
        <v>-2.2535161742124597E-5</v>
      </c>
      <c r="BQ142" s="304">
        <f t="shared" ca="1" si="329"/>
        <v>0.42412001625314877</v>
      </c>
      <c r="BR142" s="297">
        <f t="shared" ca="1" si="330"/>
        <v>0</v>
      </c>
      <c r="BS142" s="298">
        <f t="shared" ca="1" si="281"/>
        <v>0</v>
      </c>
      <c r="BT142" s="298">
        <f t="shared" ca="1" si="282"/>
        <v>0</v>
      </c>
      <c r="BU142" s="318">
        <f t="shared" ca="1" si="283"/>
        <v>0</v>
      </c>
      <c r="BV142" s="298">
        <f t="shared" ca="1" si="284"/>
        <v>0</v>
      </c>
      <c r="BW142" s="299">
        <f t="shared" ca="1" si="285"/>
        <v>0</v>
      </c>
      <c r="BX142" s="298">
        <f t="shared" ca="1" si="286"/>
        <v>0</v>
      </c>
      <c r="BY142" s="298">
        <f t="shared" ca="1" si="287"/>
        <v>0</v>
      </c>
      <c r="BZ142" s="298">
        <f t="shared" ca="1" si="288"/>
        <v>0</v>
      </c>
      <c r="CA142" s="315">
        <f t="shared" ca="1" si="289"/>
        <v>0.42412001625314877</v>
      </c>
      <c r="CC142" s="52"/>
      <c r="CD142" s="306">
        <f t="shared" ca="1" si="331"/>
        <v>0</v>
      </c>
      <c r="CE142" s="15">
        <f t="shared" ca="1" si="290"/>
        <v>0</v>
      </c>
      <c r="CF142" s="15">
        <f t="shared" ca="1" si="291"/>
        <v>0</v>
      </c>
      <c r="CG142" s="286">
        <f t="shared" ca="1" si="292"/>
        <v>0</v>
      </c>
      <c r="CH142" s="15">
        <f t="shared" ca="1" si="293"/>
        <v>0</v>
      </c>
      <c r="CI142" s="288">
        <f t="shared" ca="1" si="294"/>
        <v>0</v>
      </c>
      <c r="CJ142" s="15">
        <f t="shared" ca="1" si="295"/>
        <v>0</v>
      </c>
      <c r="CK142" s="15">
        <f t="shared" ca="1" si="296"/>
        <v>0</v>
      </c>
      <c r="CL142" s="15">
        <f t="shared" ca="1" si="297"/>
        <v>0</v>
      </c>
      <c r="CM142" s="313">
        <f t="shared" ca="1" si="298"/>
        <v>1</v>
      </c>
      <c r="CO142" s="320">
        <f t="shared" ca="1" si="332"/>
        <v>131</v>
      </c>
      <c r="CP142" s="22">
        <f ca="1">COUNTIFS($C$10:$C141,"&lt;"&amp;$C142,$M$10:$M141,$D142&amp;"_"&amp;CP$9)</f>
        <v>0</v>
      </c>
      <c r="CQ142" s="7">
        <f ca="1">COUNTIFS($C$10:$C141,"&lt;"&amp;$C142,$M$10:$M141,$D142&amp;"_"&amp;CQ$9)</f>
        <v>0</v>
      </c>
      <c r="CR142" s="7">
        <f ca="1">COUNTIFS($C$10:$C141,"&lt;"&amp;$C142,$M$10:$M141,$D142&amp;"_"&amp;CR$9)</f>
        <v>0</v>
      </c>
      <c r="CS142" s="17">
        <f ca="1">COUNTIFS($C$10:$C141,"&lt;"&amp;$C142,$M$10:$M141,$D142&amp;"_"&amp;CS$9)</f>
        <v>0</v>
      </c>
      <c r="CT142" s="7">
        <f ca="1">COUNTIFS($C$10:$C141,"&lt;"&amp;$C142,$M$10:$M141,$D142&amp;"_"&amp;CT$9)</f>
        <v>0</v>
      </c>
      <c r="CU142" s="18">
        <f ca="1">COUNTIFS($C$10:$C141,"&lt;"&amp;$C142,$M$10:$M141,$D142&amp;"_"&amp;CU$9)</f>
        <v>0</v>
      </c>
      <c r="CV142" s="7">
        <f ca="1">COUNTIFS($C$10:$C141,"&lt;"&amp;$C142,$M$10:$M141,$D142&amp;"_"&amp;CV$9)</f>
        <v>0</v>
      </c>
      <c r="CW142" s="7">
        <f ca="1">COUNTIFS($C$10:$C141,"&lt;"&amp;$C142,$M$10:$M141,$D142&amp;"_"&amp;CW$9)</f>
        <v>0</v>
      </c>
      <c r="CX142" s="7">
        <f ca="1">COUNTIFS($C$10:$C141,"&lt;"&amp;$C142,$M$10:$M141,$D142&amp;"_"&amp;CX$9)</f>
        <v>0</v>
      </c>
      <c r="CY142" s="221">
        <f ca="1">COUNTIFS($C$10:$C141,"&lt;"&amp;$C142,$M$10:$M141,$D142&amp;"_"&amp;CY$9)</f>
        <v>131</v>
      </c>
      <c r="DA142" s="20"/>
      <c r="DB142" s="308">
        <f ca="1">IF(CP142=0,0,SUMIFS($P$10:$P141, $C$10:$C141,"&lt;"&amp;$C142, $M$10:$M141,$D142&amp;"_"&amp;DB$9)/CP142)</f>
        <v>0</v>
      </c>
      <c r="DC142" s="263">
        <f ca="1">IF(CQ142=0,0,SUMIFS($P$10:$P141, $C$10:$C141,"&lt;"&amp;$C142, $M$10:$M141,$D142&amp;"_"&amp;DC$9)/CQ142)</f>
        <v>0</v>
      </c>
      <c r="DD142" s="263">
        <f ca="1">IF(CR142=0,0,SUMIFS($P$10:$P141, $C$10:$C141,"&lt;"&amp;$C142, $M$10:$M141,$D142&amp;"_"&amp;DD$9)/CR142)</f>
        <v>0</v>
      </c>
      <c r="DE142" s="262">
        <f ca="1">IF(CS142=0,0,SUMIFS($P$10:$P141, $C$10:$C141,"&lt;"&amp;$C142, $M$10:$M141,$D142&amp;"_"&amp;DE$9)/CS142)</f>
        <v>0</v>
      </c>
      <c r="DF142" s="263">
        <f ca="1">IF(CT142=0,0,SUMIFS($P$10:$P141, $C$10:$C141,"&lt;"&amp;$C142, $M$10:$M141,$D142&amp;"_"&amp;DF$9)/CT142)</f>
        <v>0</v>
      </c>
      <c r="DG142" s="310">
        <f ca="1">IF(CU142=0,0,SUMIFS($P$10:$P141, $C$10:$C141,"&lt;"&amp;$C142, $M$10:$M141,$D142&amp;"_"&amp;DG$9)/CU142)</f>
        <v>0</v>
      </c>
      <c r="DH142" s="263">
        <f ca="1">IF(CV142=0,0,SUMIFS($P$10:$P141, $C$10:$C141,"&lt;"&amp;$C142, $M$10:$M141,$D142&amp;"_"&amp;DH$9)/CV142)</f>
        <v>0</v>
      </c>
      <c r="DI142" s="263">
        <f ca="1">IF(CW142=0,0,SUMIFS($P$10:$P141, $C$10:$C141,"&lt;"&amp;$C142, $M$10:$M141,$D142&amp;"_"&amp;DI$9)/CW142)</f>
        <v>0</v>
      </c>
      <c r="DJ142" s="264">
        <f ca="1">IF(CX142=0,0,SUMIFS($P$10:$P141, $C$10:$C141,"&lt;"&amp;$C142, $M$10:$M141,$D142&amp;"_"&amp;DJ$9)/CX142)</f>
        <v>0</v>
      </c>
      <c r="DK142" s="264">
        <f ca="1">IF(CY142=0,0,SUMIFS($P$10:$P141, $C$10:$C141,"&lt;"&amp;$C142, $M$10:$M141,$D142&amp;"_"&amp;DK$9)/CY142)</f>
        <v>-1</v>
      </c>
      <c r="DM142" s="104"/>
      <c r="DN142" s="306">
        <f t="shared" ca="1" si="333"/>
        <v>-9999</v>
      </c>
      <c r="DO142" s="15">
        <f t="shared" ca="1" si="299"/>
        <v>-9999</v>
      </c>
      <c r="DP142" s="15">
        <f t="shared" ca="1" si="300"/>
        <v>-9999</v>
      </c>
      <c r="DQ142" s="15">
        <f t="shared" ca="1" si="301"/>
        <v>-9999</v>
      </c>
      <c r="DR142" s="15">
        <f t="shared" ca="1" si="302"/>
        <v>-9999</v>
      </c>
      <c r="DS142" s="15">
        <f t="shared" ca="1" si="303"/>
        <v>-9999</v>
      </c>
      <c r="DT142" s="15">
        <f t="shared" ca="1" si="304"/>
        <v>-9999</v>
      </c>
      <c r="DU142" s="15">
        <f t="shared" ca="1" si="305"/>
        <v>-9999</v>
      </c>
      <c r="DV142" s="52">
        <f t="shared" ca="1" si="306"/>
        <v>-9999</v>
      </c>
      <c r="DW142" s="313">
        <f t="shared" ca="1" si="307"/>
        <v>-0.91329149134651821</v>
      </c>
      <c r="DX142" s="52"/>
      <c r="DY142" s="402">
        <f t="shared" ca="1" si="334"/>
        <v>9</v>
      </c>
      <c r="ED142" s="19">
        <f t="shared" ca="1" si="308"/>
        <v>-1</v>
      </c>
      <c r="EE142" s="1">
        <f t="shared" ca="1" si="309"/>
        <v>1</v>
      </c>
      <c r="EF142" s="1">
        <f t="shared" ca="1" si="310"/>
        <v>-1</v>
      </c>
      <c r="EG142" s="2">
        <f t="shared" ca="1" si="311"/>
        <v>1</v>
      </c>
      <c r="EH142" s="1">
        <f t="shared" ca="1" si="312"/>
        <v>-1</v>
      </c>
      <c r="EI142" s="3">
        <f t="shared" ca="1" si="313"/>
        <v>1</v>
      </c>
      <c r="EJ142" s="1">
        <f t="shared" ca="1" si="314"/>
        <v>0</v>
      </c>
      <c r="EK142" s="1">
        <f t="shared" ca="1" si="315"/>
        <v>0</v>
      </c>
      <c r="EL142" s="20">
        <f t="shared" ca="1" si="316"/>
        <v>-1</v>
      </c>
      <c r="EN142" s="86">
        <f ca="1">MAX(0, SUMPRODUCT($ED142:$EL142,OFFSET(DNN!$E$9:$M$9,EN$9,0)) + OFFSET(DNN!$D$9,EN$9,0))</f>
        <v>0</v>
      </c>
      <c r="EO142" s="84">
        <f ca="1">MAX(0, SUMPRODUCT($ED142:$EL142,OFFSET(DNN!$E$9:$M$9,EO$9,0)) + OFFSET(DNN!$D$9,EO$9,0))</f>
        <v>7.2346022384755949E-3</v>
      </c>
      <c r="EP142" s="84">
        <f ca="1">MAX(0, SUMPRODUCT($ED142:$EL142,OFFSET(DNN!$E$9:$M$9,EP$9,0)) + OFFSET(DNN!$D$9,EP$9,0))</f>
        <v>3.6951849750035152E-3</v>
      </c>
      <c r="EQ142" s="84">
        <f ca="1">MAX(0, SUMPRODUCT($ED142:$EL142,OFFSET(DNN!$E$9:$M$9,EQ$9,0)) + OFFSET(DNN!$D$9,EQ$9,0))</f>
        <v>0</v>
      </c>
      <c r="ER142" s="85">
        <f ca="1">MAX(0, SUMPRODUCT($ED142:$EL142,OFFSET(DNN!$E$9:$M$9,ER$9,0)) + OFFSET(DNN!$D$9,ER$9,0))</f>
        <v>0</v>
      </c>
      <c r="ET142" s="86">
        <f ca="1">MAX(0, SUMPRODUCT($EN142:$ER142,OFFSET(DNN!$Q$9:$U$9,ET$9,0)) + OFFSET(DNN!$P$9,ET$9,0))</f>
        <v>4.3954959453478351E-4</v>
      </c>
      <c r="EU142" s="84">
        <f ca="1">MAX(0, SUMPRODUCT($EN142:$ER142,OFFSET(DNN!$Q$9:$U$9,EU$9,0)) + OFFSET(DNN!$P$9,EU$9,0))</f>
        <v>0</v>
      </c>
      <c r="EV142" s="84">
        <f ca="1">MAX(0, SUMPRODUCT($EN142:$ER142,OFFSET(DNN!$Q$9:$U$9,EV$9,0)) + OFFSET(DNN!$P$9,EV$9,0))</f>
        <v>1.2810123361902579E-3</v>
      </c>
      <c r="EW142" s="84">
        <f ca="1">MAX(0, SUMPRODUCT($EN142:$ER142,OFFSET(DNN!$Q$9:$U$9,EW$9,0)) + OFFSET(DNN!$P$9,EW$9,0))</f>
        <v>7.8382123007882457E-4</v>
      </c>
      <c r="EX142" s="85">
        <f ca="1">MAX(0, SUMPRODUCT($EN142:$ER142,OFFSET(DNN!$Q$9:$U$9,EX$9,0)) + OFFSET(DNN!$P$9,EX$9,0))</f>
        <v>0</v>
      </c>
      <c r="EZ142" s="111">
        <f ca="1">SUMPRODUCT($ET142:$EX142,OFFSET(DNN!$Y$9:$AC$9,EZ$9,0)) + OFFSET(DNN!$X$9,EZ$9,0)</f>
        <v>0.43031618918982212</v>
      </c>
      <c r="FA142" s="97">
        <f ca="1">SUMPRODUCT($ET142:$EX142,OFFSET(DNN!$Y$9:$AC$9,FA$9,0)) + OFFSET(DNN!$X$9,FA$9,0)</f>
        <v>-1.2643439935754107E-5</v>
      </c>
      <c r="FB142" s="97">
        <f ca="1">SUMPRODUCT($ET142:$EX142,OFFSET(DNN!$Y$9:$AC$9,FB$9,0)) + OFFSET(DNN!$X$9,FB$9,0)</f>
        <v>1.5239793458415756E-2</v>
      </c>
      <c r="FC142" s="97">
        <f ca="1">SUMPRODUCT($ET142:$EX142,OFFSET(DNN!$Y$9:$AC$9,FC$9,0)) + OFFSET(DNN!$X$9,FC$9,0)</f>
        <v>-8.8749521084055777E-4</v>
      </c>
      <c r="FD142" s="97">
        <f ca="1">SUMPRODUCT($ET142:$EX142,OFFSET(DNN!$Y$9:$AC$9,FD$9,0)) + OFFSET(DNN!$X$9,FD$9,0)</f>
        <v>-4.235816470721872E-4</v>
      </c>
      <c r="FE142" s="97">
        <f ca="1">SUMPRODUCT($ET142:$EX142,OFFSET(DNN!$Y$9:$AC$9,FE$9,0)) + OFFSET(DNN!$X$9,FE$9,0)</f>
        <v>-1.574182761064886E-5</v>
      </c>
      <c r="FF142" s="97">
        <f ca="1">SUMPRODUCT($ET142:$EX142,OFFSET(DNN!$Y$9:$AC$9,FF$9,0)) + OFFSET(DNN!$X$9,FF$9,0)</f>
        <v>-1.3491460223194656E-3</v>
      </c>
      <c r="FG142" s="97">
        <f ca="1">SUMPRODUCT($ET142:$EX142,OFFSET(DNN!$Y$9:$AC$9,FG$9,0)) + OFFSET(DNN!$X$9,FG$9,0)</f>
        <v>-6.2604808096248285E-2</v>
      </c>
      <c r="FH142" s="97">
        <f ca="1">SUMPRODUCT($ET142:$EX142,OFFSET(DNN!$Y$9:$AC$9,FH$9,0)) + OFFSET(DNN!$X$9,FH$9,0)</f>
        <v>8.6810016937029894E-4</v>
      </c>
      <c r="FI142" s="108">
        <f ca="1">SUMPRODUCT($ET142:$EX142,OFFSET(DNN!$Y$9:$AC$9,FI$9,0)) + OFFSET(DNN!$X$9,FI$9,0)</f>
        <v>-1.3182687612562751</v>
      </c>
      <c r="FJ142" s="98">
        <f ca="1">SUMPRODUCT($ET142:$EX142,OFFSET(DNN!$Y$9:$AC$9,FJ$9,0)) + OFFSET(DNN!$X$9,FJ$9,0)</f>
        <v>-2.2535161745939301E-5</v>
      </c>
      <c r="FL142" s="415">
        <f t="shared" ca="1" si="335"/>
        <v>0.43031618918982212</v>
      </c>
      <c r="FM142" s="130">
        <f t="shared" ca="1" si="336"/>
        <v>1</v>
      </c>
      <c r="FN142" s="131">
        <f t="shared" ca="1" si="337"/>
        <v>0.65029522127322903</v>
      </c>
      <c r="FO142" s="131">
        <f t="shared" ca="1" si="338"/>
        <v>0.66028983545318687</v>
      </c>
      <c r="FP142" s="131">
        <f t="shared" ca="1" si="339"/>
        <v>0.64972655813153501</v>
      </c>
      <c r="FQ142" s="131">
        <f t="shared" ca="1" si="340"/>
        <v>0.65002804502111444</v>
      </c>
      <c r="FR142" s="131">
        <f t="shared" ca="1" si="341"/>
        <v>0.65029320640965171</v>
      </c>
      <c r="FS142" s="131">
        <f t="shared" ca="1" si="342"/>
        <v>0.64942668056342145</v>
      </c>
      <c r="FT142" s="131">
        <f t="shared" ca="1" si="343"/>
        <v>0.61083952513994022</v>
      </c>
      <c r="FU142" s="132">
        <f t="shared" ca="1" si="344"/>
        <v>0.6508682169276182</v>
      </c>
      <c r="FV142" s="131">
        <f t="shared" ca="1" si="345"/>
        <v>0.17402001625314881</v>
      </c>
      <c r="FW142" s="83">
        <f t="shared" ca="1" si="346"/>
        <v>-2.2535161742124597E-5</v>
      </c>
    </row>
    <row r="143" spans="1:179">
      <c r="A143" s="19">
        <f t="shared" si="240"/>
        <v>133</v>
      </c>
      <c r="B143" s="1">
        <f t="shared" ca="1" si="347"/>
        <v>0</v>
      </c>
      <c r="C143" s="20">
        <f t="shared" ca="1" si="348"/>
        <v>133</v>
      </c>
      <c r="D143" s="19" t="str">
        <f t="shared" ca="1" si="349"/>
        <v>〇×〇×〇×--〇</v>
      </c>
      <c r="E143" s="7">
        <f t="shared" ca="1" si="317"/>
        <v>9</v>
      </c>
      <c r="F143" s="7">
        <f t="shared" ca="1" si="318"/>
        <v>1</v>
      </c>
      <c r="G143" s="1" t="str">
        <f t="shared" ca="1" si="250"/>
        <v>〇×〇×〇×--〇</v>
      </c>
      <c r="H143" s="20" t="b">
        <f t="shared" ca="1" si="251"/>
        <v>1</v>
      </c>
      <c r="I143" s="22">
        <f t="shared" ca="1" si="350"/>
        <v>-1</v>
      </c>
      <c r="J143" s="1" t="b">
        <f ca="1">(1&lt;COUNTIF(D$10:D143,D143))</f>
        <v>1</v>
      </c>
      <c r="K143" s="1" t="b">
        <f t="shared" ca="1" si="252"/>
        <v>1</v>
      </c>
      <c r="L143" s="7">
        <f ca="1">MATCH(TRUE,K143:K$1048576,FALSE)-1</f>
        <v>0</v>
      </c>
      <c r="M143" s="24" t="str">
        <f t="shared" ca="1" si="253"/>
        <v>〇×〇×〇×--〇_9</v>
      </c>
      <c r="N143" s="25">
        <f t="shared" ca="1" si="319"/>
        <v>-2.2535161742124597E-5</v>
      </c>
      <c r="O143" s="26">
        <f t="shared" ca="1" si="320"/>
        <v>-1</v>
      </c>
      <c r="P143" s="27">
        <f t="shared" ca="1" si="321"/>
        <v>-1</v>
      </c>
      <c r="R143" s="41" t="str">
        <f ca="1">VLOOKUP(S143,cvt!$B$2:$C$4,2,FALSE)&amp;VLOOKUP(T143,cvt!$B$2:$C$4,2,FALSE)&amp;VLOOKUP(U143,cvt!$B$2:$C$4,2,FALSE)
&amp;VLOOKUP(V143,cvt!$B$2:$C$4,2,FALSE)&amp;VLOOKUP(W143,cvt!$B$2:$C$4,2,FALSE)&amp;VLOOKUP(X143,cvt!$B$2:$C$4,2,FALSE)
&amp;VLOOKUP(Y143,cvt!$B$2:$C$4,2,FALSE)&amp;VLOOKUP(Z143,cvt!$B$2:$C$4,2,FALSE)&amp;VLOOKUP(AA143,cvt!$B$2:$C$4,2,FALSE)</f>
        <v>〇×〇×〇×--〇</v>
      </c>
      <c r="S143" s="7">
        <f ca="1">VLOOKUP(MID($D143,S$9+1,1), cvt!$A$2:$B$4,2, FALSE)</f>
        <v>1</v>
      </c>
      <c r="T143" s="7">
        <f ca="1">VLOOKUP(MID($D143,T$9+1,1), cvt!$A$2:$B$4,2, FALSE)</f>
        <v>-1</v>
      </c>
      <c r="U143" s="7">
        <f ca="1">VLOOKUP(MID($D143,U$9+1,1), cvt!$A$2:$B$4,2, FALSE)</f>
        <v>1</v>
      </c>
      <c r="V143" s="17">
        <f ca="1">VLOOKUP(MID($D143,V$9+1,1), cvt!$A$2:$B$4,2, FALSE)</f>
        <v>-1</v>
      </c>
      <c r="W143" s="7">
        <f ca="1">VLOOKUP(MID($D143,W$9+1,1), cvt!$A$2:$B$4,2, FALSE)</f>
        <v>1</v>
      </c>
      <c r="X143" s="18">
        <f ca="1">VLOOKUP(MID($D143,X$9+1,1), cvt!$A$2:$B$4,2, FALSE)</f>
        <v>-1</v>
      </c>
      <c r="Y143" s="7">
        <f ca="1">VLOOKUP(MID($D143,Y$9+1,1), cvt!$A$2:$B$4,2, FALSE)</f>
        <v>0</v>
      </c>
      <c r="Z143" s="7">
        <f ca="1">VLOOKUP(MID($D143,Z$9+1,1), cvt!$A$2:$B$4,2, FALSE)</f>
        <v>0</v>
      </c>
      <c r="AA143" s="42">
        <f ca="1">VLOOKUP(MID($D143,AA$9+1,1), cvt!$A$2:$B$4,2, FALSE)</f>
        <v>1</v>
      </c>
      <c r="AB143" s="7">
        <f t="shared" ca="1" si="322"/>
        <v>1</v>
      </c>
      <c r="AC143" s="50" t="b">
        <f t="shared" ca="1" si="323"/>
        <v>1</v>
      </c>
      <c r="AE143" s="19" t="str">
        <f ca="1">VLOOKUP(AF143,cvt!$B$2:$C$4,2,FALSE)&amp;VLOOKUP(AG143,cvt!$B$2:$C$4,2,FALSE)&amp;VLOOKUP(AH143,cvt!$B$2:$C$4,2,FALSE)
&amp;VLOOKUP(AI143,cvt!$B$2:$C$4,2,FALSE)&amp;VLOOKUP(AJ143,cvt!$B$2:$C$4,2,FALSE)&amp;VLOOKUP(AK143,cvt!$B$2:$C$4,2,FALSE)
&amp;VLOOKUP(AL143,cvt!$B$2:$C$4,2,FALSE)&amp;VLOOKUP(AM143,cvt!$B$2:$C$4,2,FALSE)&amp;VLOOKUP(AN143,cvt!$B$2:$C$4,2,FALSE)</f>
        <v>〇×〇×〇×--〇</v>
      </c>
      <c r="AF143" s="17">
        <f t="shared" ca="1" si="254"/>
        <v>1</v>
      </c>
      <c r="AG143" s="7">
        <f t="shared" ca="1" si="255"/>
        <v>-1</v>
      </c>
      <c r="AH143" s="7">
        <f t="shared" ca="1" si="256"/>
        <v>1</v>
      </c>
      <c r="AI143" s="17">
        <f t="shared" ca="1" si="257"/>
        <v>-1</v>
      </c>
      <c r="AJ143" s="7">
        <f t="shared" ca="1" si="258"/>
        <v>1</v>
      </c>
      <c r="AK143" s="18">
        <f t="shared" ca="1" si="259"/>
        <v>-1</v>
      </c>
      <c r="AL143" s="7">
        <f t="shared" ca="1" si="260"/>
        <v>0</v>
      </c>
      <c r="AM143" s="7">
        <f t="shared" ca="1" si="261"/>
        <v>0</v>
      </c>
      <c r="AN143" s="18">
        <f t="shared" ca="1" si="262"/>
        <v>1</v>
      </c>
      <c r="AO143" s="7">
        <f t="shared" ca="1" si="324"/>
        <v>1</v>
      </c>
      <c r="AP143" s="50" t="b">
        <f t="shared" ca="1" si="263"/>
        <v>1</v>
      </c>
      <c r="AS143" s="22">
        <f t="shared" ca="1" si="325"/>
        <v>0</v>
      </c>
      <c r="AT143" s="7">
        <f t="shared" ca="1" si="264"/>
        <v>0</v>
      </c>
      <c r="AU143" s="7">
        <f t="shared" ca="1" si="265"/>
        <v>0</v>
      </c>
      <c r="AV143" s="7">
        <f t="shared" ca="1" si="266"/>
        <v>0</v>
      </c>
      <c r="AW143" s="7">
        <f t="shared" ca="1" si="267"/>
        <v>0</v>
      </c>
      <c r="AX143" s="7">
        <f t="shared" ca="1" si="268"/>
        <v>0</v>
      </c>
      <c r="AY143" s="7">
        <f t="shared" ca="1" si="269"/>
        <v>0</v>
      </c>
      <c r="AZ143" s="7">
        <f t="shared" ca="1" si="270"/>
        <v>0</v>
      </c>
      <c r="BA143" s="18">
        <f t="shared" ca="1" si="271"/>
        <v>0</v>
      </c>
      <c r="BB143" s="295">
        <f t="shared" ca="1" si="326"/>
        <v>1</v>
      </c>
      <c r="BD143" s="132"/>
      <c r="BE143" s="297">
        <f t="shared" ca="1" si="327"/>
        <v>1</v>
      </c>
      <c r="BF143" s="298">
        <f t="shared" ca="1" si="272"/>
        <v>0.65029522127322903</v>
      </c>
      <c r="BG143" s="298">
        <f t="shared" ca="1" si="273"/>
        <v>0.66028983545318687</v>
      </c>
      <c r="BH143" s="318">
        <f t="shared" ca="1" si="274"/>
        <v>0.64972655813153501</v>
      </c>
      <c r="BI143" s="298">
        <f t="shared" ca="1" si="275"/>
        <v>0.65002804502111444</v>
      </c>
      <c r="BJ143" s="299">
        <f t="shared" ca="1" si="276"/>
        <v>0.65029320640965171</v>
      </c>
      <c r="BK143" s="298">
        <f t="shared" ca="1" si="277"/>
        <v>0.64942668056342145</v>
      </c>
      <c r="BL143" s="298">
        <f t="shared" ca="1" si="278"/>
        <v>0.61083952513994022</v>
      </c>
      <c r="BM143" s="299">
        <f t="shared" ca="1" si="279"/>
        <v>0.6508682169276182</v>
      </c>
      <c r="BN143" s="295">
        <f t="shared" ca="1" si="280"/>
        <v>0.17402001625314881</v>
      </c>
      <c r="BO143" s="248">
        <f t="shared" ca="1" si="328"/>
        <v>-2.2535161742124597E-5</v>
      </c>
      <c r="BQ143" s="304">
        <f t="shared" ca="1" si="329"/>
        <v>0.1741200162531488</v>
      </c>
      <c r="BR143" s="297">
        <f t="shared" ca="1" si="330"/>
        <v>0</v>
      </c>
      <c r="BS143" s="298">
        <f t="shared" ca="1" si="281"/>
        <v>0</v>
      </c>
      <c r="BT143" s="298">
        <f t="shared" ca="1" si="282"/>
        <v>0</v>
      </c>
      <c r="BU143" s="318">
        <f t="shared" ca="1" si="283"/>
        <v>0</v>
      </c>
      <c r="BV143" s="298">
        <f t="shared" ca="1" si="284"/>
        <v>0</v>
      </c>
      <c r="BW143" s="299">
        <f t="shared" ca="1" si="285"/>
        <v>0</v>
      </c>
      <c r="BX143" s="298">
        <f t="shared" ca="1" si="286"/>
        <v>0</v>
      </c>
      <c r="BY143" s="298">
        <f t="shared" ca="1" si="287"/>
        <v>0</v>
      </c>
      <c r="BZ143" s="298">
        <f t="shared" ca="1" si="288"/>
        <v>0</v>
      </c>
      <c r="CA143" s="315">
        <f t="shared" ca="1" si="289"/>
        <v>0.1741200162531488</v>
      </c>
      <c r="CC143" s="52"/>
      <c r="CD143" s="306">
        <f t="shared" ca="1" si="331"/>
        <v>0</v>
      </c>
      <c r="CE143" s="15">
        <f t="shared" ca="1" si="290"/>
        <v>0</v>
      </c>
      <c r="CF143" s="15">
        <f t="shared" ca="1" si="291"/>
        <v>0</v>
      </c>
      <c r="CG143" s="286">
        <f t="shared" ca="1" si="292"/>
        <v>0</v>
      </c>
      <c r="CH143" s="15">
        <f t="shared" ca="1" si="293"/>
        <v>0</v>
      </c>
      <c r="CI143" s="288">
        <f t="shared" ca="1" si="294"/>
        <v>0</v>
      </c>
      <c r="CJ143" s="15">
        <f t="shared" ca="1" si="295"/>
        <v>0</v>
      </c>
      <c r="CK143" s="15">
        <f t="shared" ca="1" si="296"/>
        <v>0</v>
      </c>
      <c r="CL143" s="15">
        <f t="shared" ca="1" si="297"/>
        <v>0</v>
      </c>
      <c r="CM143" s="313">
        <f t="shared" ca="1" si="298"/>
        <v>1</v>
      </c>
      <c r="CO143" s="320">
        <f t="shared" ca="1" si="332"/>
        <v>132</v>
      </c>
      <c r="CP143" s="22">
        <f ca="1">COUNTIFS($C$10:$C142,"&lt;"&amp;$C143,$M$10:$M142,$D143&amp;"_"&amp;CP$9)</f>
        <v>0</v>
      </c>
      <c r="CQ143" s="7">
        <f ca="1">COUNTIFS($C$10:$C142,"&lt;"&amp;$C143,$M$10:$M142,$D143&amp;"_"&amp;CQ$9)</f>
        <v>0</v>
      </c>
      <c r="CR143" s="7">
        <f ca="1">COUNTIFS($C$10:$C142,"&lt;"&amp;$C143,$M$10:$M142,$D143&amp;"_"&amp;CR$9)</f>
        <v>0</v>
      </c>
      <c r="CS143" s="17">
        <f ca="1">COUNTIFS($C$10:$C142,"&lt;"&amp;$C143,$M$10:$M142,$D143&amp;"_"&amp;CS$9)</f>
        <v>0</v>
      </c>
      <c r="CT143" s="7">
        <f ca="1">COUNTIFS($C$10:$C142,"&lt;"&amp;$C143,$M$10:$M142,$D143&amp;"_"&amp;CT$9)</f>
        <v>0</v>
      </c>
      <c r="CU143" s="18">
        <f ca="1">COUNTIFS($C$10:$C142,"&lt;"&amp;$C143,$M$10:$M142,$D143&amp;"_"&amp;CU$9)</f>
        <v>0</v>
      </c>
      <c r="CV143" s="7">
        <f ca="1">COUNTIFS($C$10:$C142,"&lt;"&amp;$C143,$M$10:$M142,$D143&amp;"_"&amp;CV$9)</f>
        <v>0</v>
      </c>
      <c r="CW143" s="7">
        <f ca="1">COUNTIFS($C$10:$C142,"&lt;"&amp;$C143,$M$10:$M142,$D143&amp;"_"&amp;CW$9)</f>
        <v>0</v>
      </c>
      <c r="CX143" s="7">
        <f ca="1">COUNTIFS($C$10:$C142,"&lt;"&amp;$C143,$M$10:$M142,$D143&amp;"_"&amp;CX$9)</f>
        <v>0</v>
      </c>
      <c r="CY143" s="221">
        <f ca="1">COUNTIFS($C$10:$C142,"&lt;"&amp;$C143,$M$10:$M142,$D143&amp;"_"&amp;CY$9)</f>
        <v>132</v>
      </c>
      <c r="DA143" s="20"/>
      <c r="DB143" s="308">
        <f ca="1">IF(CP143=0,0,SUMIFS($P$10:$P142, $C$10:$C142,"&lt;"&amp;$C143, $M$10:$M142,$D143&amp;"_"&amp;DB$9)/CP143)</f>
        <v>0</v>
      </c>
      <c r="DC143" s="263">
        <f ca="1">IF(CQ143=0,0,SUMIFS($P$10:$P142, $C$10:$C142,"&lt;"&amp;$C143, $M$10:$M142,$D143&amp;"_"&amp;DC$9)/CQ143)</f>
        <v>0</v>
      </c>
      <c r="DD143" s="263">
        <f ca="1">IF(CR143=0,0,SUMIFS($P$10:$P142, $C$10:$C142,"&lt;"&amp;$C143, $M$10:$M142,$D143&amp;"_"&amp;DD$9)/CR143)</f>
        <v>0</v>
      </c>
      <c r="DE143" s="262">
        <f ca="1">IF(CS143=0,0,SUMIFS($P$10:$P142, $C$10:$C142,"&lt;"&amp;$C143, $M$10:$M142,$D143&amp;"_"&amp;DE$9)/CS143)</f>
        <v>0</v>
      </c>
      <c r="DF143" s="263">
        <f ca="1">IF(CT143=0,0,SUMIFS($P$10:$P142, $C$10:$C142,"&lt;"&amp;$C143, $M$10:$M142,$D143&amp;"_"&amp;DF$9)/CT143)</f>
        <v>0</v>
      </c>
      <c r="DG143" s="310">
        <f ca="1">IF(CU143=0,0,SUMIFS($P$10:$P142, $C$10:$C142,"&lt;"&amp;$C143, $M$10:$M142,$D143&amp;"_"&amp;DG$9)/CU143)</f>
        <v>0</v>
      </c>
      <c r="DH143" s="263">
        <f ca="1">IF(CV143=0,0,SUMIFS($P$10:$P142, $C$10:$C142,"&lt;"&amp;$C143, $M$10:$M142,$D143&amp;"_"&amp;DH$9)/CV143)</f>
        <v>0</v>
      </c>
      <c r="DI143" s="263">
        <f ca="1">IF(CW143=0,0,SUMIFS($P$10:$P142, $C$10:$C142,"&lt;"&amp;$C143, $M$10:$M142,$D143&amp;"_"&amp;DI$9)/CW143)</f>
        <v>0</v>
      </c>
      <c r="DJ143" s="264">
        <f ca="1">IF(CX143=0,0,SUMIFS($P$10:$P142, $C$10:$C142,"&lt;"&amp;$C143, $M$10:$M142,$D143&amp;"_"&amp;DJ$9)/CX143)</f>
        <v>0</v>
      </c>
      <c r="DK143" s="264">
        <f ca="1">IF(CY143=0,0,SUMIFS($P$10:$P142, $C$10:$C142,"&lt;"&amp;$C143, $M$10:$M142,$D143&amp;"_"&amp;DK$9)/CY143)</f>
        <v>-1</v>
      </c>
      <c r="DM143" s="104"/>
      <c r="DN143" s="306">
        <f t="shared" ca="1" si="333"/>
        <v>-9999</v>
      </c>
      <c r="DO143" s="15">
        <f t="shared" ca="1" si="299"/>
        <v>-9999</v>
      </c>
      <c r="DP143" s="15">
        <f t="shared" ca="1" si="300"/>
        <v>-9999</v>
      </c>
      <c r="DQ143" s="15">
        <f t="shared" ca="1" si="301"/>
        <v>-9999</v>
      </c>
      <c r="DR143" s="15">
        <f t="shared" ca="1" si="302"/>
        <v>-9999</v>
      </c>
      <c r="DS143" s="15">
        <f t="shared" ca="1" si="303"/>
        <v>-9999</v>
      </c>
      <c r="DT143" s="15">
        <f t="shared" ca="1" si="304"/>
        <v>-9999</v>
      </c>
      <c r="DU143" s="15">
        <f t="shared" ca="1" si="305"/>
        <v>-9999</v>
      </c>
      <c r="DV143" s="52">
        <f t="shared" ca="1" si="306"/>
        <v>-9999</v>
      </c>
      <c r="DW143" s="313">
        <f t="shared" ca="1" si="307"/>
        <v>-0.91361559930017999</v>
      </c>
      <c r="DX143" s="52"/>
      <c r="DY143" s="402">
        <f t="shared" ca="1" si="334"/>
        <v>9</v>
      </c>
      <c r="ED143" s="19">
        <f t="shared" ca="1" si="308"/>
        <v>-1</v>
      </c>
      <c r="EE143" s="1">
        <f t="shared" ca="1" si="309"/>
        <v>1</v>
      </c>
      <c r="EF143" s="1">
        <f t="shared" ca="1" si="310"/>
        <v>-1</v>
      </c>
      <c r="EG143" s="2">
        <f t="shared" ca="1" si="311"/>
        <v>1</v>
      </c>
      <c r="EH143" s="1">
        <f t="shared" ca="1" si="312"/>
        <v>-1</v>
      </c>
      <c r="EI143" s="3">
        <f t="shared" ca="1" si="313"/>
        <v>1</v>
      </c>
      <c r="EJ143" s="1">
        <f t="shared" ca="1" si="314"/>
        <v>0</v>
      </c>
      <c r="EK143" s="1">
        <f t="shared" ca="1" si="315"/>
        <v>0</v>
      </c>
      <c r="EL143" s="20">
        <f t="shared" ca="1" si="316"/>
        <v>-1</v>
      </c>
      <c r="EN143" s="86">
        <f ca="1">MAX(0, SUMPRODUCT($ED143:$EL143,OFFSET(DNN!$E$9:$M$9,EN$9,0)) + OFFSET(DNN!$D$9,EN$9,0))</f>
        <v>0</v>
      </c>
      <c r="EO143" s="84">
        <f ca="1">MAX(0, SUMPRODUCT($ED143:$EL143,OFFSET(DNN!$E$9:$M$9,EO$9,0)) + OFFSET(DNN!$D$9,EO$9,0))</f>
        <v>7.2346022384755949E-3</v>
      </c>
      <c r="EP143" s="84">
        <f ca="1">MAX(0, SUMPRODUCT($ED143:$EL143,OFFSET(DNN!$E$9:$M$9,EP$9,0)) + OFFSET(DNN!$D$9,EP$9,0))</f>
        <v>3.6951849750035152E-3</v>
      </c>
      <c r="EQ143" s="84">
        <f ca="1">MAX(0, SUMPRODUCT($ED143:$EL143,OFFSET(DNN!$E$9:$M$9,EQ$9,0)) + OFFSET(DNN!$D$9,EQ$9,0))</f>
        <v>0</v>
      </c>
      <c r="ER143" s="85">
        <f ca="1">MAX(0, SUMPRODUCT($ED143:$EL143,OFFSET(DNN!$E$9:$M$9,ER$9,0)) + OFFSET(DNN!$D$9,ER$9,0))</f>
        <v>0</v>
      </c>
      <c r="ET143" s="86">
        <f ca="1">MAX(0, SUMPRODUCT($EN143:$ER143,OFFSET(DNN!$Q$9:$U$9,ET$9,0)) + OFFSET(DNN!$P$9,ET$9,0))</f>
        <v>4.3954959453478351E-4</v>
      </c>
      <c r="EU143" s="84">
        <f ca="1">MAX(0, SUMPRODUCT($EN143:$ER143,OFFSET(DNN!$Q$9:$U$9,EU$9,0)) + OFFSET(DNN!$P$9,EU$9,0))</f>
        <v>0</v>
      </c>
      <c r="EV143" s="84">
        <f ca="1">MAX(0, SUMPRODUCT($EN143:$ER143,OFFSET(DNN!$Q$9:$U$9,EV$9,0)) + OFFSET(DNN!$P$9,EV$9,0))</f>
        <v>1.2810123361902579E-3</v>
      </c>
      <c r="EW143" s="84">
        <f ca="1">MAX(0, SUMPRODUCT($EN143:$ER143,OFFSET(DNN!$Q$9:$U$9,EW$9,0)) + OFFSET(DNN!$P$9,EW$9,0))</f>
        <v>7.8382123007882457E-4</v>
      </c>
      <c r="EX143" s="85">
        <f ca="1">MAX(0, SUMPRODUCT($EN143:$ER143,OFFSET(DNN!$Q$9:$U$9,EX$9,0)) + OFFSET(DNN!$P$9,EX$9,0))</f>
        <v>0</v>
      </c>
      <c r="EZ143" s="111">
        <f ca="1">SUMPRODUCT($ET143:$EX143,OFFSET(DNN!$Y$9:$AC$9,EZ$9,0)) + OFFSET(DNN!$X$9,EZ$9,0)</f>
        <v>0.43031618918982212</v>
      </c>
      <c r="FA143" s="97">
        <f ca="1">SUMPRODUCT($ET143:$EX143,OFFSET(DNN!$Y$9:$AC$9,FA$9,0)) + OFFSET(DNN!$X$9,FA$9,0)</f>
        <v>-1.2643439935754107E-5</v>
      </c>
      <c r="FB143" s="97">
        <f ca="1">SUMPRODUCT($ET143:$EX143,OFFSET(DNN!$Y$9:$AC$9,FB$9,0)) + OFFSET(DNN!$X$9,FB$9,0)</f>
        <v>1.5239793458415756E-2</v>
      </c>
      <c r="FC143" s="97">
        <f ca="1">SUMPRODUCT($ET143:$EX143,OFFSET(DNN!$Y$9:$AC$9,FC$9,0)) + OFFSET(DNN!$X$9,FC$9,0)</f>
        <v>-8.8749521084055777E-4</v>
      </c>
      <c r="FD143" s="97">
        <f ca="1">SUMPRODUCT($ET143:$EX143,OFFSET(DNN!$Y$9:$AC$9,FD$9,0)) + OFFSET(DNN!$X$9,FD$9,0)</f>
        <v>-4.235816470721872E-4</v>
      </c>
      <c r="FE143" s="97">
        <f ca="1">SUMPRODUCT($ET143:$EX143,OFFSET(DNN!$Y$9:$AC$9,FE$9,0)) + OFFSET(DNN!$X$9,FE$9,0)</f>
        <v>-1.574182761064886E-5</v>
      </c>
      <c r="FF143" s="97">
        <f ca="1">SUMPRODUCT($ET143:$EX143,OFFSET(DNN!$Y$9:$AC$9,FF$9,0)) + OFFSET(DNN!$X$9,FF$9,0)</f>
        <v>-1.3491460223194656E-3</v>
      </c>
      <c r="FG143" s="97">
        <f ca="1">SUMPRODUCT($ET143:$EX143,OFFSET(DNN!$Y$9:$AC$9,FG$9,0)) + OFFSET(DNN!$X$9,FG$9,0)</f>
        <v>-6.2604808096248285E-2</v>
      </c>
      <c r="FH143" s="97">
        <f ca="1">SUMPRODUCT($ET143:$EX143,OFFSET(DNN!$Y$9:$AC$9,FH$9,0)) + OFFSET(DNN!$X$9,FH$9,0)</f>
        <v>8.6810016937029894E-4</v>
      </c>
      <c r="FI143" s="108">
        <f ca="1">SUMPRODUCT($ET143:$EX143,OFFSET(DNN!$Y$9:$AC$9,FI$9,0)) + OFFSET(DNN!$X$9,FI$9,0)</f>
        <v>-1.3182687612562751</v>
      </c>
      <c r="FJ143" s="98">
        <f ca="1">SUMPRODUCT($ET143:$EX143,OFFSET(DNN!$Y$9:$AC$9,FJ$9,0)) + OFFSET(DNN!$X$9,FJ$9,0)</f>
        <v>-2.2535161745939301E-5</v>
      </c>
      <c r="FL143" s="415">
        <f t="shared" ca="1" si="335"/>
        <v>0.43031618918982212</v>
      </c>
      <c r="FM143" s="130">
        <f t="shared" ca="1" si="336"/>
        <v>1</v>
      </c>
      <c r="FN143" s="131">
        <f t="shared" ca="1" si="337"/>
        <v>0.65029522127322903</v>
      </c>
      <c r="FO143" s="131">
        <f t="shared" ca="1" si="338"/>
        <v>0.66028983545318687</v>
      </c>
      <c r="FP143" s="131">
        <f t="shared" ca="1" si="339"/>
        <v>0.64972655813153501</v>
      </c>
      <c r="FQ143" s="131">
        <f t="shared" ca="1" si="340"/>
        <v>0.65002804502111444</v>
      </c>
      <c r="FR143" s="131">
        <f t="shared" ca="1" si="341"/>
        <v>0.65029320640965171</v>
      </c>
      <c r="FS143" s="131">
        <f t="shared" ca="1" si="342"/>
        <v>0.64942668056342145</v>
      </c>
      <c r="FT143" s="131">
        <f t="shared" ca="1" si="343"/>
        <v>0.61083952513994022</v>
      </c>
      <c r="FU143" s="132">
        <f t="shared" ca="1" si="344"/>
        <v>0.6508682169276182</v>
      </c>
      <c r="FV143" s="131">
        <f t="shared" ca="1" si="345"/>
        <v>0.17402001625314881</v>
      </c>
      <c r="FW143" s="83">
        <f t="shared" ca="1" si="346"/>
        <v>-2.2535161742124597E-5</v>
      </c>
    </row>
    <row r="144" spans="1:179">
      <c r="A144" s="19">
        <f t="shared" si="240"/>
        <v>134</v>
      </c>
      <c r="B144" s="1">
        <f t="shared" ca="1" si="347"/>
        <v>0</v>
      </c>
      <c r="C144" s="20">
        <f t="shared" ca="1" si="348"/>
        <v>134</v>
      </c>
      <c r="D144" s="19" t="str">
        <f t="shared" ca="1" si="349"/>
        <v>〇×〇×〇×--〇</v>
      </c>
      <c r="E144" s="7">
        <f t="shared" ca="1" si="317"/>
        <v>9</v>
      </c>
      <c r="F144" s="7">
        <f t="shared" ca="1" si="318"/>
        <v>1</v>
      </c>
      <c r="G144" s="1" t="str">
        <f t="shared" ca="1" si="250"/>
        <v>〇×〇×〇×--〇</v>
      </c>
      <c r="H144" s="20" t="b">
        <f t="shared" ca="1" si="251"/>
        <v>1</v>
      </c>
      <c r="I144" s="22">
        <f t="shared" ca="1" si="350"/>
        <v>-1</v>
      </c>
      <c r="J144" s="1" t="b">
        <f ca="1">(1&lt;COUNTIF(D$10:D144,D144))</f>
        <v>1</v>
      </c>
      <c r="K144" s="1" t="b">
        <f t="shared" ca="1" si="252"/>
        <v>1</v>
      </c>
      <c r="L144" s="7">
        <f ca="1">MATCH(TRUE,K144:K$1048576,FALSE)-1</f>
        <v>0</v>
      </c>
      <c r="M144" s="24" t="str">
        <f t="shared" ca="1" si="253"/>
        <v>〇×〇×〇×--〇_9</v>
      </c>
      <c r="N144" s="25">
        <f t="shared" ca="1" si="319"/>
        <v>-2.2535161742124597E-5</v>
      </c>
      <c r="O144" s="26">
        <f t="shared" ca="1" si="320"/>
        <v>-1</v>
      </c>
      <c r="P144" s="27">
        <f t="shared" ca="1" si="321"/>
        <v>-1</v>
      </c>
      <c r="R144" s="41" t="str">
        <f ca="1">VLOOKUP(S144,cvt!$B$2:$C$4,2,FALSE)&amp;VLOOKUP(T144,cvt!$B$2:$C$4,2,FALSE)&amp;VLOOKUP(U144,cvt!$B$2:$C$4,2,FALSE)
&amp;VLOOKUP(V144,cvt!$B$2:$C$4,2,FALSE)&amp;VLOOKUP(W144,cvt!$B$2:$C$4,2,FALSE)&amp;VLOOKUP(X144,cvt!$B$2:$C$4,2,FALSE)
&amp;VLOOKUP(Y144,cvt!$B$2:$C$4,2,FALSE)&amp;VLOOKUP(Z144,cvt!$B$2:$C$4,2,FALSE)&amp;VLOOKUP(AA144,cvt!$B$2:$C$4,2,FALSE)</f>
        <v>〇×〇×〇×--〇</v>
      </c>
      <c r="S144" s="7">
        <f ca="1">VLOOKUP(MID($D144,S$9+1,1), cvt!$A$2:$B$4,2, FALSE)</f>
        <v>1</v>
      </c>
      <c r="T144" s="7">
        <f ca="1">VLOOKUP(MID($D144,T$9+1,1), cvt!$A$2:$B$4,2, FALSE)</f>
        <v>-1</v>
      </c>
      <c r="U144" s="7">
        <f ca="1">VLOOKUP(MID($D144,U$9+1,1), cvt!$A$2:$B$4,2, FALSE)</f>
        <v>1</v>
      </c>
      <c r="V144" s="17">
        <f ca="1">VLOOKUP(MID($D144,V$9+1,1), cvt!$A$2:$B$4,2, FALSE)</f>
        <v>-1</v>
      </c>
      <c r="W144" s="7">
        <f ca="1">VLOOKUP(MID($D144,W$9+1,1), cvt!$A$2:$B$4,2, FALSE)</f>
        <v>1</v>
      </c>
      <c r="X144" s="18">
        <f ca="1">VLOOKUP(MID($D144,X$9+1,1), cvt!$A$2:$B$4,2, FALSE)</f>
        <v>-1</v>
      </c>
      <c r="Y144" s="7">
        <f ca="1">VLOOKUP(MID($D144,Y$9+1,1), cvt!$A$2:$B$4,2, FALSE)</f>
        <v>0</v>
      </c>
      <c r="Z144" s="7">
        <f ca="1">VLOOKUP(MID($D144,Z$9+1,1), cvt!$A$2:$B$4,2, FALSE)</f>
        <v>0</v>
      </c>
      <c r="AA144" s="42">
        <f ca="1">VLOOKUP(MID($D144,AA$9+1,1), cvt!$A$2:$B$4,2, FALSE)</f>
        <v>1</v>
      </c>
      <c r="AB144" s="7">
        <f t="shared" ca="1" si="322"/>
        <v>1</v>
      </c>
      <c r="AC144" s="50" t="b">
        <f t="shared" ca="1" si="323"/>
        <v>1</v>
      </c>
      <c r="AE144" s="19" t="str">
        <f ca="1">VLOOKUP(AF144,cvt!$B$2:$C$4,2,FALSE)&amp;VLOOKUP(AG144,cvt!$B$2:$C$4,2,FALSE)&amp;VLOOKUP(AH144,cvt!$B$2:$C$4,2,FALSE)
&amp;VLOOKUP(AI144,cvt!$B$2:$C$4,2,FALSE)&amp;VLOOKUP(AJ144,cvt!$B$2:$C$4,2,FALSE)&amp;VLOOKUP(AK144,cvt!$B$2:$C$4,2,FALSE)
&amp;VLOOKUP(AL144,cvt!$B$2:$C$4,2,FALSE)&amp;VLOOKUP(AM144,cvt!$B$2:$C$4,2,FALSE)&amp;VLOOKUP(AN144,cvt!$B$2:$C$4,2,FALSE)</f>
        <v>〇×〇×〇×--〇</v>
      </c>
      <c r="AF144" s="17">
        <f t="shared" ca="1" si="254"/>
        <v>1</v>
      </c>
      <c r="AG144" s="7">
        <f t="shared" ca="1" si="255"/>
        <v>-1</v>
      </c>
      <c r="AH144" s="7">
        <f t="shared" ca="1" si="256"/>
        <v>1</v>
      </c>
      <c r="AI144" s="17">
        <f t="shared" ca="1" si="257"/>
        <v>-1</v>
      </c>
      <c r="AJ144" s="7">
        <f t="shared" ca="1" si="258"/>
        <v>1</v>
      </c>
      <c r="AK144" s="18">
        <f t="shared" ca="1" si="259"/>
        <v>-1</v>
      </c>
      <c r="AL144" s="7">
        <f t="shared" ca="1" si="260"/>
        <v>0</v>
      </c>
      <c r="AM144" s="7">
        <f t="shared" ca="1" si="261"/>
        <v>0</v>
      </c>
      <c r="AN144" s="18">
        <f t="shared" ca="1" si="262"/>
        <v>1</v>
      </c>
      <c r="AO144" s="7">
        <f t="shared" ca="1" si="324"/>
        <v>1</v>
      </c>
      <c r="AP144" s="50" t="b">
        <f t="shared" ca="1" si="263"/>
        <v>1</v>
      </c>
      <c r="AS144" s="22">
        <f t="shared" ca="1" si="325"/>
        <v>0</v>
      </c>
      <c r="AT144" s="7">
        <f t="shared" ca="1" si="264"/>
        <v>0</v>
      </c>
      <c r="AU144" s="7">
        <f t="shared" ca="1" si="265"/>
        <v>0</v>
      </c>
      <c r="AV144" s="7">
        <f t="shared" ca="1" si="266"/>
        <v>0</v>
      </c>
      <c r="AW144" s="7">
        <f t="shared" ca="1" si="267"/>
        <v>0</v>
      </c>
      <c r="AX144" s="7">
        <f t="shared" ca="1" si="268"/>
        <v>0</v>
      </c>
      <c r="AY144" s="7">
        <f t="shared" ca="1" si="269"/>
        <v>0</v>
      </c>
      <c r="AZ144" s="7">
        <f t="shared" ca="1" si="270"/>
        <v>0</v>
      </c>
      <c r="BA144" s="18">
        <f t="shared" ca="1" si="271"/>
        <v>0</v>
      </c>
      <c r="BB144" s="295">
        <f t="shared" ca="1" si="326"/>
        <v>1</v>
      </c>
      <c r="BD144" s="132"/>
      <c r="BE144" s="297">
        <f t="shared" ca="1" si="327"/>
        <v>1</v>
      </c>
      <c r="BF144" s="298">
        <f t="shared" ca="1" si="272"/>
        <v>0.65029522127322903</v>
      </c>
      <c r="BG144" s="298">
        <f t="shared" ca="1" si="273"/>
        <v>0.66028983545318687</v>
      </c>
      <c r="BH144" s="318">
        <f t="shared" ca="1" si="274"/>
        <v>0.64972655813153501</v>
      </c>
      <c r="BI144" s="298">
        <f t="shared" ca="1" si="275"/>
        <v>0.65002804502111444</v>
      </c>
      <c r="BJ144" s="299">
        <f t="shared" ca="1" si="276"/>
        <v>0.65029320640965171</v>
      </c>
      <c r="BK144" s="298">
        <f t="shared" ca="1" si="277"/>
        <v>0.64942668056342145</v>
      </c>
      <c r="BL144" s="298">
        <f t="shared" ca="1" si="278"/>
        <v>0.61083952513994022</v>
      </c>
      <c r="BM144" s="299">
        <f t="shared" ca="1" si="279"/>
        <v>0.6508682169276182</v>
      </c>
      <c r="BN144" s="295">
        <f t="shared" ca="1" si="280"/>
        <v>0.17402001625314881</v>
      </c>
      <c r="BO144" s="248">
        <f t="shared" ca="1" si="328"/>
        <v>-2.2535161742124597E-5</v>
      </c>
      <c r="BQ144" s="304">
        <f t="shared" ca="1" si="329"/>
        <v>0.1741200162531488</v>
      </c>
      <c r="BR144" s="297">
        <f t="shared" ca="1" si="330"/>
        <v>0</v>
      </c>
      <c r="BS144" s="298">
        <f t="shared" ca="1" si="281"/>
        <v>0</v>
      </c>
      <c r="BT144" s="298">
        <f t="shared" ca="1" si="282"/>
        <v>0</v>
      </c>
      <c r="BU144" s="318">
        <f t="shared" ca="1" si="283"/>
        <v>0</v>
      </c>
      <c r="BV144" s="298">
        <f t="shared" ca="1" si="284"/>
        <v>0</v>
      </c>
      <c r="BW144" s="299">
        <f t="shared" ca="1" si="285"/>
        <v>0</v>
      </c>
      <c r="BX144" s="298">
        <f t="shared" ca="1" si="286"/>
        <v>0</v>
      </c>
      <c r="BY144" s="298">
        <f t="shared" ca="1" si="287"/>
        <v>0</v>
      </c>
      <c r="BZ144" s="298">
        <f t="shared" ca="1" si="288"/>
        <v>0</v>
      </c>
      <c r="CA144" s="315">
        <f t="shared" ca="1" si="289"/>
        <v>0.1741200162531488</v>
      </c>
      <c r="CC144" s="52"/>
      <c r="CD144" s="306">
        <f t="shared" ca="1" si="331"/>
        <v>0</v>
      </c>
      <c r="CE144" s="15">
        <f t="shared" ca="1" si="290"/>
        <v>0</v>
      </c>
      <c r="CF144" s="15">
        <f t="shared" ca="1" si="291"/>
        <v>0</v>
      </c>
      <c r="CG144" s="286">
        <f t="shared" ca="1" si="292"/>
        <v>0</v>
      </c>
      <c r="CH144" s="15">
        <f t="shared" ca="1" si="293"/>
        <v>0</v>
      </c>
      <c r="CI144" s="288">
        <f t="shared" ca="1" si="294"/>
        <v>0</v>
      </c>
      <c r="CJ144" s="15">
        <f t="shared" ca="1" si="295"/>
        <v>0</v>
      </c>
      <c r="CK144" s="15">
        <f t="shared" ca="1" si="296"/>
        <v>0</v>
      </c>
      <c r="CL144" s="15">
        <f t="shared" ca="1" si="297"/>
        <v>0</v>
      </c>
      <c r="CM144" s="313">
        <f t="shared" ca="1" si="298"/>
        <v>1</v>
      </c>
      <c r="CO144" s="320">
        <f t="shared" ca="1" si="332"/>
        <v>133</v>
      </c>
      <c r="CP144" s="22">
        <f ca="1">COUNTIFS($C$10:$C143,"&lt;"&amp;$C144,$M$10:$M143,$D144&amp;"_"&amp;CP$9)</f>
        <v>0</v>
      </c>
      <c r="CQ144" s="7">
        <f ca="1">COUNTIFS($C$10:$C143,"&lt;"&amp;$C144,$M$10:$M143,$D144&amp;"_"&amp;CQ$9)</f>
        <v>0</v>
      </c>
      <c r="CR144" s="7">
        <f ca="1">COUNTIFS($C$10:$C143,"&lt;"&amp;$C144,$M$10:$M143,$D144&amp;"_"&amp;CR$9)</f>
        <v>0</v>
      </c>
      <c r="CS144" s="17">
        <f ca="1">COUNTIFS($C$10:$C143,"&lt;"&amp;$C144,$M$10:$M143,$D144&amp;"_"&amp;CS$9)</f>
        <v>0</v>
      </c>
      <c r="CT144" s="7">
        <f ca="1">COUNTIFS($C$10:$C143,"&lt;"&amp;$C144,$M$10:$M143,$D144&amp;"_"&amp;CT$9)</f>
        <v>0</v>
      </c>
      <c r="CU144" s="18">
        <f ca="1">COUNTIFS($C$10:$C143,"&lt;"&amp;$C144,$M$10:$M143,$D144&amp;"_"&amp;CU$9)</f>
        <v>0</v>
      </c>
      <c r="CV144" s="7">
        <f ca="1">COUNTIFS($C$10:$C143,"&lt;"&amp;$C144,$M$10:$M143,$D144&amp;"_"&amp;CV$9)</f>
        <v>0</v>
      </c>
      <c r="CW144" s="7">
        <f ca="1">COUNTIFS($C$10:$C143,"&lt;"&amp;$C144,$M$10:$M143,$D144&amp;"_"&amp;CW$9)</f>
        <v>0</v>
      </c>
      <c r="CX144" s="7">
        <f ca="1">COUNTIFS($C$10:$C143,"&lt;"&amp;$C144,$M$10:$M143,$D144&amp;"_"&amp;CX$9)</f>
        <v>0</v>
      </c>
      <c r="CY144" s="221">
        <f ca="1">COUNTIFS($C$10:$C143,"&lt;"&amp;$C144,$M$10:$M143,$D144&amp;"_"&amp;CY$9)</f>
        <v>133</v>
      </c>
      <c r="DA144" s="20"/>
      <c r="DB144" s="308">
        <f ca="1">IF(CP144=0,0,SUMIFS($P$10:$P143, $C$10:$C143,"&lt;"&amp;$C144, $M$10:$M143,$D144&amp;"_"&amp;DB$9)/CP144)</f>
        <v>0</v>
      </c>
      <c r="DC144" s="263">
        <f ca="1">IF(CQ144=0,0,SUMIFS($P$10:$P143, $C$10:$C143,"&lt;"&amp;$C144, $M$10:$M143,$D144&amp;"_"&amp;DC$9)/CQ144)</f>
        <v>0</v>
      </c>
      <c r="DD144" s="263">
        <f ca="1">IF(CR144=0,0,SUMIFS($P$10:$P143, $C$10:$C143,"&lt;"&amp;$C144, $M$10:$M143,$D144&amp;"_"&amp;DD$9)/CR144)</f>
        <v>0</v>
      </c>
      <c r="DE144" s="262">
        <f ca="1">IF(CS144=0,0,SUMIFS($P$10:$P143, $C$10:$C143,"&lt;"&amp;$C144, $M$10:$M143,$D144&amp;"_"&amp;DE$9)/CS144)</f>
        <v>0</v>
      </c>
      <c r="DF144" s="263">
        <f ca="1">IF(CT144=0,0,SUMIFS($P$10:$P143, $C$10:$C143,"&lt;"&amp;$C144, $M$10:$M143,$D144&amp;"_"&amp;DF$9)/CT144)</f>
        <v>0</v>
      </c>
      <c r="DG144" s="310">
        <f ca="1">IF(CU144=0,0,SUMIFS($P$10:$P143, $C$10:$C143,"&lt;"&amp;$C144, $M$10:$M143,$D144&amp;"_"&amp;DG$9)/CU144)</f>
        <v>0</v>
      </c>
      <c r="DH144" s="263">
        <f ca="1">IF(CV144=0,0,SUMIFS($P$10:$P143, $C$10:$C143,"&lt;"&amp;$C144, $M$10:$M143,$D144&amp;"_"&amp;DH$9)/CV144)</f>
        <v>0</v>
      </c>
      <c r="DI144" s="263">
        <f ca="1">IF(CW144=0,0,SUMIFS($P$10:$P143, $C$10:$C143,"&lt;"&amp;$C144, $M$10:$M143,$D144&amp;"_"&amp;DI$9)/CW144)</f>
        <v>0</v>
      </c>
      <c r="DJ144" s="264">
        <f ca="1">IF(CX144=0,0,SUMIFS($P$10:$P143, $C$10:$C143,"&lt;"&amp;$C144, $M$10:$M143,$D144&amp;"_"&amp;DJ$9)/CX144)</f>
        <v>0</v>
      </c>
      <c r="DK144" s="264">
        <f ca="1">IF(CY144=0,0,SUMIFS($P$10:$P143, $C$10:$C143,"&lt;"&amp;$C144, $M$10:$M143,$D144&amp;"_"&amp;DK$9)/CY144)</f>
        <v>-1</v>
      </c>
      <c r="DM144" s="104"/>
      <c r="DN144" s="306">
        <f t="shared" ca="1" si="333"/>
        <v>-9999</v>
      </c>
      <c r="DO144" s="15">
        <f t="shared" ca="1" si="299"/>
        <v>-9999</v>
      </c>
      <c r="DP144" s="15">
        <f t="shared" ca="1" si="300"/>
        <v>-9999</v>
      </c>
      <c r="DQ144" s="15">
        <f t="shared" ca="1" si="301"/>
        <v>-9999</v>
      </c>
      <c r="DR144" s="15">
        <f t="shared" ca="1" si="302"/>
        <v>-9999</v>
      </c>
      <c r="DS144" s="15">
        <f t="shared" ca="1" si="303"/>
        <v>-9999</v>
      </c>
      <c r="DT144" s="15">
        <f t="shared" ca="1" si="304"/>
        <v>-9999</v>
      </c>
      <c r="DU144" s="15">
        <f t="shared" ca="1" si="305"/>
        <v>-9999</v>
      </c>
      <c r="DV144" s="52">
        <f t="shared" ca="1" si="306"/>
        <v>-9999</v>
      </c>
      <c r="DW144" s="313">
        <f t="shared" ca="1" si="307"/>
        <v>-0.91393610003977022</v>
      </c>
      <c r="DX144" s="52"/>
      <c r="DY144" s="402">
        <f t="shared" ca="1" si="334"/>
        <v>9</v>
      </c>
      <c r="ED144" s="19">
        <f t="shared" ca="1" si="308"/>
        <v>-1</v>
      </c>
      <c r="EE144" s="1">
        <f t="shared" ca="1" si="309"/>
        <v>1</v>
      </c>
      <c r="EF144" s="1">
        <f t="shared" ca="1" si="310"/>
        <v>-1</v>
      </c>
      <c r="EG144" s="2">
        <f t="shared" ca="1" si="311"/>
        <v>1</v>
      </c>
      <c r="EH144" s="1">
        <f t="shared" ca="1" si="312"/>
        <v>-1</v>
      </c>
      <c r="EI144" s="3">
        <f t="shared" ca="1" si="313"/>
        <v>1</v>
      </c>
      <c r="EJ144" s="1">
        <f t="shared" ca="1" si="314"/>
        <v>0</v>
      </c>
      <c r="EK144" s="1">
        <f t="shared" ca="1" si="315"/>
        <v>0</v>
      </c>
      <c r="EL144" s="20">
        <f t="shared" ca="1" si="316"/>
        <v>-1</v>
      </c>
      <c r="EN144" s="86">
        <f ca="1">MAX(0, SUMPRODUCT($ED144:$EL144,OFFSET(DNN!$E$9:$M$9,EN$9,0)) + OFFSET(DNN!$D$9,EN$9,0))</f>
        <v>0</v>
      </c>
      <c r="EO144" s="84">
        <f ca="1">MAX(0, SUMPRODUCT($ED144:$EL144,OFFSET(DNN!$E$9:$M$9,EO$9,0)) + OFFSET(DNN!$D$9,EO$9,0))</f>
        <v>7.2346022384755949E-3</v>
      </c>
      <c r="EP144" s="84">
        <f ca="1">MAX(0, SUMPRODUCT($ED144:$EL144,OFFSET(DNN!$E$9:$M$9,EP$9,0)) + OFFSET(DNN!$D$9,EP$9,0))</f>
        <v>3.6951849750035152E-3</v>
      </c>
      <c r="EQ144" s="84">
        <f ca="1">MAX(0, SUMPRODUCT($ED144:$EL144,OFFSET(DNN!$E$9:$M$9,EQ$9,0)) + OFFSET(DNN!$D$9,EQ$9,0))</f>
        <v>0</v>
      </c>
      <c r="ER144" s="85">
        <f ca="1">MAX(0, SUMPRODUCT($ED144:$EL144,OFFSET(DNN!$E$9:$M$9,ER$9,0)) + OFFSET(DNN!$D$9,ER$9,0))</f>
        <v>0</v>
      </c>
      <c r="ET144" s="86">
        <f ca="1">MAX(0, SUMPRODUCT($EN144:$ER144,OFFSET(DNN!$Q$9:$U$9,ET$9,0)) + OFFSET(DNN!$P$9,ET$9,0))</f>
        <v>4.3954959453478351E-4</v>
      </c>
      <c r="EU144" s="84">
        <f ca="1">MAX(0, SUMPRODUCT($EN144:$ER144,OFFSET(DNN!$Q$9:$U$9,EU$9,0)) + OFFSET(DNN!$P$9,EU$9,0))</f>
        <v>0</v>
      </c>
      <c r="EV144" s="84">
        <f ca="1">MAX(0, SUMPRODUCT($EN144:$ER144,OFFSET(DNN!$Q$9:$U$9,EV$9,0)) + OFFSET(DNN!$P$9,EV$9,0))</f>
        <v>1.2810123361902579E-3</v>
      </c>
      <c r="EW144" s="84">
        <f ca="1">MAX(0, SUMPRODUCT($EN144:$ER144,OFFSET(DNN!$Q$9:$U$9,EW$9,0)) + OFFSET(DNN!$P$9,EW$9,0))</f>
        <v>7.8382123007882457E-4</v>
      </c>
      <c r="EX144" s="85">
        <f ca="1">MAX(0, SUMPRODUCT($EN144:$ER144,OFFSET(DNN!$Q$9:$U$9,EX$9,0)) + OFFSET(DNN!$P$9,EX$9,0))</f>
        <v>0</v>
      </c>
      <c r="EZ144" s="111">
        <f ca="1">SUMPRODUCT($ET144:$EX144,OFFSET(DNN!$Y$9:$AC$9,EZ$9,0)) + OFFSET(DNN!$X$9,EZ$9,0)</f>
        <v>0.43031618918982212</v>
      </c>
      <c r="FA144" s="97">
        <f ca="1">SUMPRODUCT($ET144:$EX144,OFFSET(DNN!$Y$9:$AC$9,FA$9,0)) + OFFSET(DNN!$X$9,FA$9,0)</f>
        <v>-1.2643439935754107E-5</v>
      </c>
      <c r="FB144" s="97">
        <f ca="1">SUMPRODUCT($ET144:$EX144,OFFSET(DNN!$Y$9:$AC$9,FB$9,0)) + OFFSET(DNN!$X$9,FB$9,0)</f>
        <v>1.5239793458415756E-2</v>
      </c>
      <c r="FC144" s="97">
        <f ca="1">SUMPRODUCT($ET144:$EX144,OFFSET(DNN!$Y$9:$AC$9,FC$9,0)) + OFFSET(DNN!$X$9,FC$9,0)</f>
        <v>-8.8749521084055777E-4</v>
      </c>
      <c r="FD144" s="97">
        <f ca="1">SUMPRODUCT($ET144:$EX144,OFFSET(DNN!$Y$9:$AC$9,FD$9,0)) + OFFSET(DNN!$X$9,FD$9,0)</f>
        <v>-4.235816470721872E-4</v>
      </c>
      <c r="FE144" s="97">
        <f ca="1">SUMPRODUCT($ET144:$EX144,OFFSET(DNN!$Y$9:$AC$9,FE$9,0)) + OFFSET(DNN!$X$9,FE$9,0)</f>
        <v>-1.574182761064886E-5</v>
      </c>
      <c r="FF144" s="97">
        <f ca="1">SUMPRODUCT($ET144:$EX144,OFFSET(DNN!$Y$9:$AC$9,FF$9,0)) + OFFSET(DNN!$X$9,FF$9,0)</f>
        <v>-1.3491460223194656E-3</v>
      </c>
      <c r="FG144" s="97">
        <f ca="1">SUMPRODUCT($ET144:$EX144,OFFSET(DNN!$Y$9:$AC$9,FG$9,0)) + OFFSET(DNN!$X$9,FG$9,0)</f>
        <v>-6.2604808096248285E-2</v>
      </c>
      <c r="FH144" s="97">
        <f ca="1">SUMPRODUCT($ET144:$EX144,OFFSET(DNN!$Y$9:$AC$9,FH$9,0)) + OFFSET(DNN!$X$9,FH$9,0)</f>
        <v>8.6810016937029894E-4</v>
      </c>
      <c r="FI144" s="108">
        <f ca="1">SUMPRODUCT($ET144:$EX144,OFFSET(DNN!$Y$9:$AC$9,FI$9,0)) + OFFSET(DNN!$X$9,FI$9,0)</f>
        <v>-1.3182687612562751</v>
      </c>
      <c r="FJ144" s="98">
        <f ca="1">SUMPRODUCT($ET144:$EX144,OFFSET(DNN!$Y$9:$AC$9,FJ$9,0)) + OFFSET(DNN!$X$9,FJ$9,0)</f>
        <v>-2.2535161745939301E-5</v>
      </c>
      <c r="FL144" s="415">
        <f t="shared" ca="1" si="335"/>
        <v>0.43031618918982212</v>
      </c>
      <c r="FM144" s="130">
        <f t="shared" ca="1" si="336"/>
        <v>1</v>
      </c>
      <c r="FN144" s="131">
        <f t="shared" ca="1" si="337"/>
        <v>0.65029522127322903</v>
      </c>
      <c r="FO144" s="131">
        <f t="shared" ca="1" si="338"/>
        <v>0.66028983545318687</v>
      </c>
      <c r="FP144" s="131">
        <f t="shared" ca="1" si="339"/>
        <v>0.64972655813153501</v>
      </c>
      <c r="FQ144" s="131">
        <f t="shared" ca="1" si="340"/>
        <v>0.65002804502111444</v>
      </c>
      <c r="FR144" s="131">
        <f t="shared" ca="1" si="341"/>
        <v>0.65029320640965171</v>
      </c>
      <c r="FS144" s="131">
        <f t="shared" ca="1" si="342"/>
        <v>0.64942668056342145</v>
      </c>
      <c r="FT144" s="131">
        <f t="shared" ca="1" si="343"/>
        <v>0.61083952513994022</v>
      </c>
      <c r="FU144" s="132">
        <f t="shared" ca="1" si="344"/>
        <v>0.6508682169276182</v>
      </c>
      <c r="FV144" s="131">
        <f t="shared" ca="1" si="345"/>
        <v>0.17402001625314881</v>
      </c>
      <c r="FW144" s="83">
        <f t="shared" ca="1" si="346"/>
        <v>-2.2535161742124597E-5</v>
      </c>
    </row>
    <row r="145" spans="1:179" ht="18" thickBot="1">
      <c r="A145" s="21">
        <f t="shared" si="240"/>
        <v>135</v>
      </c>
      <c r="B145" s="94">
        <f t="shared" ca="1" si="347"/>
        <v>0</v>
      </c>
      <c r="C145" s="95">
        <f t="shared" ca="1" si="348"/>
        <v>135</v>
      </c>
      <c r="D145" s="19" t="str">
        <f t="shared" ca="1" si="349"/>
        <v>〇×〇×〇×--〇</v>
      </c>
      <c r="E145" s="7">
        <f t="shared" ca="1" si="317"/>
        <v>9</v>
      </c>
      <c r="F145" s="7">
        <f t="shared" ca="1" si="318"/>
        <v>1</v>
      </c>
      <c r="G145" s="1" t="str">
        <f t="shared" ca="1" si="250"/>
        <v>〇×〇×〇×--〇</v>
      </c>
      <c r="H145" s="20" t="b">
        <f t="shared" ca="1" si="251"/>
        <v>1</v>
      </c>
      <c r="I145" s="22">
        <f t="shared" ca="1" si="350"/>
        <v>-1</v>
      </c>
      <c r="J145" s="1" t="b">
        <f ca="1">(1&lt;COUNTIF(D$10:D145,D145))</f>
        <v>1</v>
      </c>
      <c r="K145" s="1" t="b">
        <f t="shared" ca="1" si="252"/>
        <v>1</v>
      </c>
      <c r="L145" s="7">
        <f ca="1">MATCH(TRUE,K145:K$1048576,FALSE)-1</f>
        <v>0</v>
      </c>
      <c r="M145" s="24" t="str">
        <f t="shared" ca="1" si="253"/>
        <v>〇×〇×〇×--〇_9</v>
      </c>
      <c r="N145" s="28">
        <f t="shared" ca="1" si="319"/>
        <v>-2.2535161742124597E-5</v>
      </c>
      <c r="O145" s="29">
        <f t="shared" ca="1" si="320"/>
        <v>-1</v>
      </c>
      <c r="P145" s="30">
        <f t="shared" ca="1" si="321"/>
        <v>-1</v>
      </c>
      <c r="R145" s="43" t="str">
        <f ca="1">VLOOKUP(S145,cvt!$B$2:$C$4,2,FALSE)&amp;VLOOKUP(T145,cvt!$B$2:$C$4,2,FALSE)&amp;VLOOKUP(U145,cvt!$B$2:$C$4,2,FALSE)
&amp;VLOOKUP(V145,cvt!$B$2:$C$4,2,FALSE)&amp;VLOOKUP(W145,cvt!$B$2:$C$4,2,FALSE)&amp;VLOOKUP(X145,cvt!$B$2:$C$4,2,FALSE)
&amp;VLOOKUP(Y145,cvt!$B$2:$C$4,2,FALSE)&amp;VLOOKUP(Z145,cvt!$B$2:$C$4,2,FALSE)&amp;VLOOKUP(AA145,cvt!$B$2:$C$4,2,FALSE)</f>
        <v>〇×〇×〇×--〇</v>
      </c>
      <c r="S145" s="23">
        <f ca="1">VLOOKUP(MID($D145,S$9+1,1), cvt!$A$2:$B$4,2, FALSE)</f>
        <v>1</v>
      </c>
      <c r="T145" s="23">
        <f ca="1">VLOOKUP(MID($D145,T$9+1,1), cvt!$A$2:$B$4,2, FALSE)</f>
        <v>-1</v>
      </c>
      <c r="U145" s="23">
        <f ca="1">VLOOKUP(MID($D145,U$9+1,1), cvt!$A$2:$B$4,2, FALSE)</f>
        <v>1</v>
      </c>
      <c r="V145" s="44">
        <f ca="1">VLOOKUP(MID($D145,V$9+1,1), cvt!$A$2:$B$4,2, FALSE)</f>
        <v>-1</v>
      </c>
      <c r="W145" s="23">
        <f ca="1">VLOOKUP(MID($D145,W$9+1,1), cvt!$A$2:$B$4,2, FALSE)</f>
        <v>1</v>
      </c>
      <c r="X145" s="45">
        <f ca="1">VLOOKUP(MID($D145,X$9+1,1), cvt!$A$2:$B$4,2, FALSE)</f>
        <v>-1</v>
      </c>
      <c r="Y145" s="23">
        <f ca="1">VLOOKUP(MID($D145,Y$9+1,1), cvt!$A$2:$B$4,2, FALSE)</f>
        <v>0</v>
      </c>
      <c r="Z145" s="23">
        <f ca="1">VLOOKUP(MID($D145,Z$9+1,1), cvt!$A$2:$B$4,2, FALSE)</f>
        <v>0</v>
      </c>
      <c r="AA145" s="46">
        <f ca="1">VLOOKUP(MID($D145,AA$9+1,1), cvt!$A$2:$B$4,2, FALSE)</f>
        <v>1</v>
      </c>
      <c r="AB145" s="23">
        <f t="shared" ca="1" si="322"/>
        <v>1</v>
      </c>
      <c r="AC145" s="51" t="b">
        <f t="shared" ca="1" si="323"/>
        <v>1</v>
      </c>
      <c r="AE145" s="21" t="str">
        <f ca="1">VLOOKUP(AF145,cvt!$B$2:$C$4,2,FALSE)&amp;VLOOKUP(AG145,cvt!$B$2:$C$4,2,FALSE)&amp;VLOOKUP(AH145,cvt!$B$2:$C$4,2,FALSE)
&amp;VLOOKUP(AI145,cvt!$B$2:$C$4,2,FALSE)&amp;VLOOKUP(AJ145,cvt!$B$2:$C$4,2,FALSE)&amp;VLOOKUP(AK145,cvt!$B$2:$C$4,2,FALSE)
&amp;VLOOKUP(AL145,cvt!$B$2:$C$4,2,FALSE)&amp;VLOOKUP(AM145,cvt!$B$2:$C$4,2,FALSE)&amp;VLOOKUP(AN145,cvt!$B$2:$C$4,2,FALSE)</f>
        <v>〇×〇×〇×--〇</v>
      </c>
      <c r="AF145" s="44">
        <f t="shared" ca="1" si="254"/>
        <v>1</v>
      </c>
      <c r="AG145" s="23">
        <f t="shared" ca="1" si="255"/>
        <v>-1</v>
      </c>
      <c r="AH145" s="23">
        <f t="shared" ca="1" si="256"/>
        <v>1</v>
      </c>
      <c r="AI145" s="44">
        <f t="shared" ca="1" si="257"/>
        <v>-1</v>
      </c>
      <c r="AJ145" s="23">
        <f t="shared" ca="1" si="258"/>
        <v>1</v>
      </c>
      <c r="AK145" s="45">
        <f t="shared" ca="1" si="259"/>
        <v>-1</v>
      </c>
      <c r="AL145" s="23">
        <f t="shared" ca="1" si="260"/>
        <v>0</v>
      </c>
      <c r="AM145" s="23">
        <f t="shared" ca="1" si="261"/>
        <v>0</v>
      </c>
      <c r="AN145" s="45">
        <f t="shared" ca="1" si="262"/>
        <v>1</v>
      </c>
      <c r="AO145" s="23">
        <f t="shared" ca="1" si="324"/>
        <v>1</v>
      </c>
      <c r="AP145" s="51" t="b">
        <f t="shared" ca="1" si="263"/>
        <v>1</v>
      </c>
      <c r="AS145" s="234">
        <f t="shared" ca="1" si="325"/>
        <v>0</v>
      </c>
      <c r="AT145" s="23">
        <f t="shared" ca="1" si="264"/>
        <v>0</v>
      </c>
      <c r="AU145" s="23">
        <f t="shared" ca="1" si="265"/>
        <v>0</v>
      </c>
      <c r="AV145" s="23">
        <f t="shared" ca="1" si="266"/>
        <v>0</v>
      </c>
      <c r="AW145" s="23">
        <f t="shared" ca="1" si="267"/>
        <v>0</v>
      </c>
      <c r="AX145" s="23">
        <f t="shared" ca="1" si="268"/>
        <v>0</v>
      </c>
      <c r="AY145" s="23">
        <f t="shared" ca="1" si="269"/>
        <v>0</v>
      </c>
      <c r="AZ145" s="23">
        <f t="shared" ca="1" si="270"/>
        <v>0</v>
      </c>
      <c r="BA145" s="45">
        <f t="shared" ca="1" si="271"/>
        <v>0</v>
      </c>
      <c r="BB145" s="296">
        <f t="shared" ca="1" si="326"/>
        <v>1</v>
      </c>
      <c r="BD145" s="132"/>
      <c r="BE145" s="300">
        <f t="shared" ca="1" si="327"/>
        <v>1</v>
      </c>
      <c r="BF145" s="301">
        <f t="shared" ca="1" si="272"/>
        <v>0.65029522127322903</v>
      </c>
      <c r="BG145" s="301">
        <f t="shared" ca="1" si="273"/>
        <v>0.66028983545318687</v>
      </c>
      <c r="BH145" s="319">
        <f t="shared" ca="1" si="274"/>
        <v>0.64972655813153501</v>
      </c>
      <c r="BI145" s="301">
        <f t="shared" ca="1" si="275"/>
        <v>0.65002804502111444</v>
      </c>
      <c r="BJ145" s="302">
        <f t="shared" ca="1" si="276"/>
        <v>0.65029320640965171</v>
      </c>
      <c r="BK145" s="301">
        <f t="shared" ca="1" si="277"/>
        <v>0.64942668056342145</v>
      </c>
      <c r="BL145" s="301">
        <f t="shared" ca="1" si="278"/>
        <v>0.61083952513994022</v>
      </c>
      <c r="BM145" s="302">
        <f t="shared" ca="1" si="279"/>
        <v>0.6508682169276182</v>
      </c>
      <c r="BN145" s="296">
        <f t="shared" ca="1" si="280"/>
        <v>0.17402001625314881</v>
      </c>
      <c r="BO145" s="249">
        <f t="shared" ca="1" si="328"/>
        <v>-2.2535161742124597E-5</v>
      </c>
      <c r="BQ145" s="305">
        <f t="shared" ca="1" si="329"/>
        <v>0.1741200162531488</v>
      </c>
      <c r="BR145" s="300">
        <f t="shared" ca="1" si="330"/>
        <v>0</v>
      </c>
      <c r="BS145" s="301">
        <f t="shared" ca="1" si="281"/>
        <v>0</v>
      </c>
      <c r="BT145" s="301">
        <f t="shared" ca="1" si="282"/>
        <v>0</v>
      </c>
      <c r="BU145" s="319">
        <f t="shared" ca="1" si="283"/>
        <v>0</v>
      </c>
      <c r="BV145" s="301">
        <f t="shared" ca="1" si="284"/>
        <v>0</v>
      </c>
      <c r="BW145" s="302">
        <f t="shared" ca="1" si="285"/>
        <v>0</v>
      </c>
      <c r="BX145" s="301">
        <f t="shared" ca="1" si="286"/>
        <v>0</v>
      </c>
      <c r="BY145" s="301">
        <f t="shared" ca="1" si="287"/>
        <v>0</v>
      </c>
      <c r="BZ145" s="301">
        <f t="shared" ca="1" si="288"/>
        <v>0</v>
      </c>
      <c r="CA145" s="316">
        <f t="shared" ca="1" si="289"/>
        <v>0.1741200162531488</v>
      </c>
      <c r="CC145" s="52"/>
      <c r="CD145" s="307">
        <f t="shared" ca="1" si="331"/>
        <v>0</v>
      </c>
      <c r="CE145" s="53">
        <f t="shared" ca="1" si="290"/>
        <v>0</v>
      </c>
      <c r="CF145" s="53">
        <f t="shared" ca="1" si="291"/>
        <v>0</v>
      </c>
      <c r="CG145" s="287">
        <f t="shared" ca="1" si="292"/>
        <v>0</v>
      </c>
      <c r="CH145" s="53">
        <f t="shared" ca="1" si="293"/>
        <v>0</v>
      </c>
      <c r="CI145" s="289">
        <f t="shared" ca="1" si="294"/>
        <v>0</v>
      </c>
      <c r="CJ145" s="53">
        <f t="shared" ca="1" si="295"/>
        <v>0</v>
      </c>
      <c r="CK145" s="53">
        <f t="shared" ca="1" si="296"/>
        <v>0</v>
      </c>
      <c r="CL145" s="53">
        <f t="shared" ca="1" si="297"/>
        <v>0</v>
      </c>
      <c r="CM145" s="314">
        <f t="shared" ca="1" si="298"/>
        <v>1</v>
      </c>
      <c r="CO145" s="87">
        <f t="shared" ca="1" si="332"/>
        <v>134</v>
      </c>
      <c r="CP145" s="234">
        <f ca="1">COUNTIFS($C$10:$C144,"&lt;"&amp;$C145,$M$10:$M144,$D145&amp;"_"&amp;CP$9)</f>
        <v>0</v>
      </c>
      <c r="CQ145" s="23">
        <f ca="1">COUNTIFS($C$10:$C144,"&lt;"&amp;$C145,$M$10:$M144,$D145&amp;"_"&amp;CQ$9)</f>
        <v>0</v>
      </c>
      <c r="CR145" s="23">
        <f ca="1">COUNTIFS($C$10:$C144,"&lt;"&amp;$C145,$M$10:$M144,$D145&amp;"_"&amp;CR$9)</f>
        <v>0</v>
      </c>
      <c r="CS145" s="44">
        <f ca="1">COUNTIFS($C$10:$C144,"&lt;"&amp;$C145,$M$10:$M144,$D145&amp;"_"&amp;CS$9)</f>
        <v>0</v>
      </c>
      <c r="CT145" s="23">
        <f ca="1">COUNTIFS($C$10:$C144,"&lt;"&amp;$C145,$M$10:$M144,$D145&amp;"_"&amp;CT$9)</f>
        <v>0</v>
      </c>
      <c r="CU145" s="45">
        <f ca="1">COUNTIFS($C$10:$C144,"&lt;"&amp;$C145,$M$10:$M144,$D145&amp;"_"&amp;CU$9)</f>
        <v>0</v>
      </c>
      <c r="CV145" s="23">
        <f ca="1">COUNTIFS($C$10:$C144,"&lt;"&amp;$C145,$M$10:$M144,$D145&amp;"_"&amp;CV$9)</f>
        <v>0</v>
      </c>
      <c r="CW145" s="23">
        <f ca="1">COUNTIFS($C$10:$C144,"&lt;"&amp;$C145,$M$10:$M144,$D145&amp;"_"&amp;CW$9)</f>
        <v>0</v>
      </c>
      <c r="CX145" s="23">
        <f ca="1">COUNTIFS($C$10:$C144,"&lt;"&amp;$C145,$M$10:$M144,$D145&amp;"_"&amp;CX$9)</f>
        <v>0</v>
      </c>
      <c r="CY145" s="237">
        <f ca="1">COUNTIFS($C$10:$C144,"&lt;"&amp;$C145,$M$10:$M144,$D145&amp;"_"&amp;CY$9)</f>
        <v>134</v>
      </c>
      <c r="DA145" s="20"/>
      <c r="DB145" s="309">
        <f ca="1">IF(CP145=0,0,SUMIFS($P$10:$P144, $C$10:$C144,"&lt;"&amp;$C145, $M$10:$M144,$D145&amp;"_"&amp;DB$9)/CP145)</f>
        <v>0</v>
      </c>
      <c r="DC145" s="266">
        <f ca="1">IF(CQ145=0,0,SUMIFS($P$10:$P144, $C$10:$C144,"&lt;"&amp;$C145, $M$10:$M144,$D145&amp;"_"&amp;DC$9)/CQ145)</f>
        <v>0</v>
      </c>
      <c r="DD145" s="266">
        <f ca="1">IF(CR145=0,0,SUMIFS($P$10:$P144, $C$10:$C144,"&lt;"&amp;$C145, $M$10:$M144,$D145&amp;"_"&amp;DD$9)/CR145)</f>
        <v>0</v>
      </c>
      <c r="DE145" s="265">
        <f ca="1">IF(CS145=0,0,SUMIFS($P$10:$P144, $C$10:$C144,"&lt;"&amp;$C145, $M$10:$M144,$D145&amp;"_"&amp;DE$9)/CS145)</f>
        <v>0</v>
      </c>
      <c r="DF145" s="266">
        <f ca="1">IF(CT145=0,0,SUMIFS($P$10:$P144, $C$10:$C144,"&lt;"&amp;$C145, $M$10:$M144,$D145&amp;"_"&amp;DF$9)/CT145)</f>
        <v>0</v>
      </c>
      <c r="DG145" s="311">
        <f ca="1">IF(CU145=0,0,SUMIFS($P$10:$P144, $C$10:$C144,"&lt;"&amp;$C145, $M$10:$M144,$D145&amp;"_"&amp;DG$9)/CU145)</f>
        <v>0</v>
      </c>
      <c r="DH145" s="266">
        <f ca="1">IF(CV145=0,0,SUMIFS($P$10:$P144, $C$10:$C144,"&lt;"&amp;$C145, $M$10:$M144,$D145&amp;"_"&amp;DH$9)/CV145)</f>
        <v>0</v>
      </c>
      <c r="DI145" s="266">
        <f ca="1">IF(CW145=0,0,SUMIFS($P$10:$P144, $C$10:$C144,"&lt;"&amp;$C145, $M$10:$M144,$D145&amp;"_"&amp;DI$9)/CW145)</f>
        <v>0</v>
      </c>
      <c r="DJ145" s="267">
        <f ca="1">IF(CX145=0,0,SUMIFS($P$10:$P144, $C$10:$C144,"&lt;"&amp;$C145, $M$10:$M144,$D145&amp;"_"&amp;DJ$9)/CX145)</f>
        <v>0</v>
      </c>
      <c r="DK145" s="267">
        <f ca="1">IF(CY145=0,0,SUMIFS($P$10:$P144, $C$10:$C144,"&lt;"&amp;$C145, $M$10:$M144,$D145&amp;"_"&amp;DK$9)/CY145)</f>
        <v>-1</v>
      </c>
      <c r="DM145" s="104"/>
      <c r="DN145" s="307">
        <f t="shared" ca="1" si="333"/>
        <v>-9999</v>
      </c>
      <c r="DO145" s="53">
        <f t="shared" ca="1" si="299"/>
        <v>-9999</v>
      </c>
      <c r="DP145" s="53">
        <f t="shared" ca="1" si="300"/>
        <v>-9999</v>
      </c>
      <c r="DQ145" s="53">
        <f t="shared" ca="1" si="301"/>
        <v>-9999</v>
      </c>
      <c r="DR145" s="53">
        <f t="shared" ca="1" si="302"/>
        <v>-9999</v>
      </c>
      <c r="DS145" s="53">
        <f t="shared" ca="1" si="303"/>
        <v>-9999</v>
      </c>
      <c r="DT145" s="53">
        <f t="shared" ca="1" si="304"/>
        <v>-9999</v>
      </c>
      <c r="DU145" s="53">
        <f t="shared" ca="1" si="305"/>
        <v>-9999</v>
      </c>
      <c r="DV145" s="251">
        <f t="shared" ca="1" si="306"/>
        <v>-9999</v>
      </c>
      <c r="DW145" s="314">
        <f t="shared" ca="1" si="307"/>
        <v>-0.91425305997933171</v>
      </c>
      <c r="DX145" s="251"/>
      <c r="DY145" s="403">
        <f t="shared" ca="1" si="334"/>
        <v>9</v>
      </c>
      <c r="ED145" s="21">
        <f t="shared" ca="1" si="308"/>
        <v>-1</v>
      </c>
      <c r="EE145" s="94">
        <f t="shared" ca="1" si="309"/>
        <v>1</v>
      </c>
      <c r="EF145" s="94">
        <f t="shared" ca="1" si="310"/>
        <v>-1</v>
      </c>
      <c r="EG145" s="344">
        <f t="shared" ca="1" si="311"/>
        <v>1</v>
      </c>
      <c r="EH145" s="94">
        <f t="shared" ca="1" si="312"/>
        <v>-1</v>
      </c>
      <c r="EI145" s="345">
        <f t="shared" ca="1" si="313"/>
        <v>1</v>
      </c>
      <c r="EJ145" s="94">
        <f t="shared" ca="1" si="314"/>
        <v>0</v>
      </c>
      <c r="EK145" s="94">
        <f t="shared" ca="1" si="315"/>
        <v>0</v>
      </c>
      <c r="EL145" s="95">
        <f t="shared" ca="1" si="316"/>
        <v>-1</v>
      </c>
      <c r="EN145" s="91">
        <f ca="1">MAX(0, SUMPRODUCT($ED145:$EL145,OFFSET(DNN!$E$9:$M$9,EN$9,0)) + OFFSET(DNN!$D$9,EN$9,0))</f>
        <v>0</v>
      </c>
      <c r="EO145" s="89">
        <f ca="1">MAX(0, SUMPRODUCT($ED145:$EL145,OFFSET(DNN!$E$9:$M$9,EO$9,0)) + OFFSET(DNN!$D$9,EO$9,0))</f>
        <v>7.2346022384755949E-3</v>
      </c>
      <c r="EP145" s="89">
        <f ca="1">MAX(0, SUMPRODUCT($ED145:$EL145,OFFSET(DNN!$E$9:$M$9,EP$9,0)) + OFFSET(DNN!$D$9,EP$9,0))</f>
        <v>3.6951849750035152E-3</v>
      </c>
      <c r="EQ145" s="89">
        <f ca="1">MAX(0, SUMPRODUCT($ED145:$EL145,OFFSET(DNN!$E$9:$M$9,EQ$9,0)) + OFFSET(DNN!$D$9,EQ$9,0))</f>
        <v>0</v>
      </c>
      <c r="ER145" s="90">
        <f ca="1">MAX(0, SUMPRODUCT($ED145:$EL145,OFFSET(DNN!$E$9:$M$9,ER$9,0)) + OFFSET(DNN!$D$9,ER$9,0))</f>
        <v>0</v>
      </c>
      <c r="ET145" s="91">
        <f ca="1">MAX(0, SUMPRODUCT($EN145:$ER145,OFFSET(DNN!$Q$9:$U$9,ET$9,0)) + OFFSET(DNN!$P$9,ET$9,0))</f>
        <v>4.3954959453478351E-4</v>
      </c>
      <c r="EU145" s="89">
        <f ca="1">MAX(0, SUMPRODUCT($EN145:$ER145,OFFSET(DNN!$Q$9:$U$9,EU$9,0)) + OFFSET(DNN!$P$9,EU$9,0))</f>
        <v>0</v>
      </c>
      <c r="EV145" s="89">
        <f ca="1">MAX(0, SUMPRODUCT($EN145:$ER145,OFFSET(DNN!$Q$9:$U$9,EV$9,0)) + OFFSET(DNN!$P$9,EV$9,0))</f>
        <v>1.2810123361902579E-3</v>
      </c>
      <c r="EW145" s="89">
        <f ca="1">MAX(0, SUMPRODUCT($EN145:$ER145,OFFSET(DNN!$Q$9:$U$9,EW$9,0)) + OFFSET(DNN!$P$9,EW$9,0))</f>
        <v>7.8382123007882457E-4</v>
      </c>
      <c r="EX145" s="90">
        <f ca="1">MAX(0, SUMPRODUCT($EN145:$ER145,OFFSET(DNN!$Q$9:$U$9,EX$9,0)) + OFFSET(DNN!$P$9,EX$9,0))</f>
        <v>0</v>
      </c>
      <c r="EZ145" s="112">
        <f ca="1">SUMPRODUCT($ET145:$EX145,OFFSET(DNN!$Y$9:$AC$9,EZ$9,0)) + OFFSET(DNN!$X$9,EZ$9,0)</f>
        <v>0.43031618918982212</v>
      </c>
      <c r="FA145" s="99">
        <f ca="1">SUMPRODUCT($ET145:$EX145,OFFSET(DNN!$Y$9:$AC$9,FA$9,0)) + OFFSET(DNN!$X$9,FA$9,0)</f>
        <v>-1.2643439935754107E-5</v>
      </c>
      <c r="FB145" s="99">
        <f ca="1">SUMPRODUCT($ET145:$EX145,OFFSET(DNN!$Y$9:$AC$9,FB$9,0)) + OFFSET(DNN!$X$9,FB$9,0)</f>
        <v>1.5239793458415756E-2</v>
      </c>
      <c r="FC145" s="99">
        <f ca="1">SUMPRODUCT($ET145:$EX145,OFFSET(DNN!$Y$9:$AC$9,FC$9,0)) + OFFSET(DNN!$X$9,FC$9,0)</f>
        <v>-8.8749521084055777E-4</v>
      </c>
      <c r="FD145" s="99">
        <f ca="1">SUMPRODUCT($ET145:$EX145,OFFSET(DNN!$Y$9:$AC$9,FD$9,0)) + OFFSET(DNN!$X$9,FD$9,0)</f>
        <v>-4.235816470721872E-4</v>
      </c>
      <c r="FE145" s="99">
        <f ca="1">SUMPRODUCT($ET145:$EX145,OFFSET(DNN!$Y$9:$AC$9,FE$9,0)) + OFFSET(DNN!$X$9,FE$9,0)</f>
        <v>-1.574182761064886E-5</v>
      </c>
      <c r="FF145" s="99">
        <f ca="1">SUMPRODUCT($ET145:$EX145,OFFSET(DNN!$Y$9:$AC$9,FF$9,0)) + OFFSET(DNN!$X$9,FF$9,0)</f>
        <v>-1.3491460223194656E-3</v>
      </c>
      <c r="FG145" s="99">
        <f ca="1">SUMPRODUCT($ET145:$EX145,OFFSET(DNN!$Y$9:$AC$9,FG$9,0)) + OFFSET(DNN!$X$9,FG$9,0)</f>
        <v>-6.2604808096248285E-2</v>
      </c>
      <c r="FH145" s="99">
        <f ca="1">SUMPRODUCT($ET145:$EX145,OFFSET(DNN!$Y$9:$AC$9,FH$9,0)) + OFFSET(DNN!$X$9,FH$9,0)</f>
        <v>8.6810016937029894E-4</v>
      </c>
      <c r="FI145" s="109">
        <f ca="1">SUMPRODUCT($ET145:$EX145,OFFSET(DNN!$Y$9:$AC$9,FI$9,0)) + OFFSET(DNN!$X$9,FI$9,0)</f>
        <v>-1.3182687612562751</v>
      </c>
      <c r="FJ145" s="100">
        <f ca="1">SUMPRODUCT($ET145:$EX145,OFFSET(DNN!$Y$9:$AC$9,FJ$9,0)) + OFFSET(DNN!$X$9,FJ$9,0)</f>
        <v>-2.2535161745939301E-5</v>
      </c>
      <c r="FL145" s="416">
        <f t="shared" ca="1" si="335"/>
        <v>0.43031618918982212</v>
      </c>
      <c r="FM145" s="133">
        <f t="shared" ca="1" si="336"/>
        <v>1</v>
      </c>
      <c r="FN145" s="134">
        <f t="shared" ca="1" si="337"/>
        <v>0.65029522127322903</v>
      </c>
      <c r="FO145" s="134">
        <f t="shared" ca="1" si="338"/>
        <v>0.66028983545318687</v>
      </c>
      <c r="FP145" s="134">
        <f t="shared" ca="1" si="339"/>
        <v>0.64972655813153501</v>
      </c>
      <c r="FQ145" s="134">
        <f t="shared" ca="1" si="340"/>
        <v>0.65002804502111444</v>
      </c>
      <c r="FR145" s="134">
        <f t="shared" ca="1" si="341"/>
        <v>0.65029320640965171</v>
      </c>
      <c r="FS145" s="134">
        <f t="shared" ca="1" si="342"/>
        <v>0.64942668056342145</v>
      </c>
      <c r="FT145" s="134">
        <f t="shared" ca="1" si="343"/>
        <v>0.61083952513994022</v>
      </c>
      <c r="FU145" s="135">
        <f t="shared" ca="1" si="344"/>
        <v>0.6508682169276182</v>
      </c>
      <c r="FV145" s="134">
        <f t="shared" ca="1" si="345"/>
        <v>0.17402001625314881</v>
      </c>
      <c r="FW145" s="88">
        <f t="shared" ca="1" si="346"/>
        <v>-2.2535161742124597E-5</v>
      </c>
    </row>
  </sheetData>
  <phoneticPr fontId="2"/>
  <conditionalFormatting sqref="DB11:DK145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C10:CM145">
    <cfRule type="colorScale" priority="3">
      <colorScale>
        <cfvo type="min"/>
        <cfvo type="max"/>
        <color rgb="FFFCFCFF"/>
        <color rgb="FFF8696B"/>
      </colorScale>
    </cfRule>
  </conditionalFormatting>
  <conditionalFormatting sqref="DM10:DX145">
    <cfRule type="colorScale" priority="2">
      <colorScale>
        <cfvo type="num" val="-1"/>
        <cfvo type="max"/>
        <color rgb="FFFCFCFF"/>
        <color rgb="FF00B0F0"/>
      </colorScale>
    </cfRule>
  </conditionalFormatting>
  <conditionalFormatting sqref="ED10:EL145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08F91-5AB2-403A-AC59-5043D51E8FD5}">
  <sheetPr codeName="Sheet5">
    <tabColor theme="6" tint="-0.499984740745262"/>
  </sheetPr>
  <dimension ref="A1:Z260"/>
  <sheetViews>
    <sheetView workbookViewId="0">
      <pane ySplit="5" topLeftCell="A30" activePane="bottomLeft" state="frozen"/>
      <selection pane="bottomLeft" activeCell="R43" sqref="R43"/>
    </sheetView>
  </sheetViews>
  <sheetFormatPr defaultColWidth="9" defaultRowHeight="17.649999999999999"/>
  <cols>
    <col min="1" max="1" width="4.6875" style="125" customWidth="1"/>
    <col min="2" max="2" width="5.5" style="123" bestFit="1" customWidth="1"/>
    <col min="3" max="3" width="7.3125" style="24" bestFit="1" customWidth="1"/>
    <col min="4" max="5" width="9" style="1"/>
    <col min="6" max="6" width="9" style="221"/>
    <col min="7" max="7" width="2.8125" style="19" bestFit="1" customWidth="1"/>
    <col min="8" max="14" width="2.8125" style="1" bestFit="1" customWidth="1"/>
    <col min="15" max="15" width="2.8125" style="20" bestFit="1" customWidth="1"/>
    <col min="16" max="16" width="2" style="19" bestFit="1" customWidth="1"/>
    <col min="17" max="23" width="2" style="1" bestFit="1" customWidth="1"/>
    <col min="24" max="24" width="2" style="3" bestFit="1" customWidth="1"/>
    <col min="25" max="25" width="2" style="215" bestFit="1" customWidth="1"/>
    <col min="26" max="26" width="5.6875" style="42" bestFit="1" customWidth="1"/>
    <col min="27" max="16384" width="9" style="1"/>
  </cols>
  <sheetData>
    <row r="1" spans="1:26" s="228" customFormat="1" ht="26.25" thickBot="1">
      <c r="A1" s="227" t="s">
        <v>69</v>
      </c>
      <c r="F1" s="229"/>
      <c r="Z1" s="229"/>
    </row>
    <row r="2" spans="1:26" ht="18" thickBot="1">
      <c r="A2" s="224"/>
      <c r="B2" s="24"/>
      <c r="F2" s="32"/>
      <c r="G2" s="1"/>
      <c r="O2" s="1"/>
      <c r="P2" s="1"/>
      <c r="X2" s="1"/>
      <c r="Y2" s="1"/>
      <c r="Z2" s="7"/>
    </row>
    <row r="3" spans="1:26" ht="19.5" thickBot="1">
      <c r="A3" s="225"/>
      <c r="B3" s="226"/>
      <c r="C3" s="226"/>
      <c r="D3" s="94"/>
      <c r="E3" s="95"/>
      <c r="F3" s="110" t="s">
        <v>121</v>
      </c>
      <c r="G3" s="409" t="s">
        <v>108</v>
      </c>
      <c r="H3" s="410"/>
      <c r="I3" s="410"/>
      <c r="J3" s="410"/>
      <c r="K3" s="410"/>
      <c r="L3" s="410"/>
      <c r="M3" s="410"/>
      <c r="N3" s="410"/>
      <c r="O3" s="411"/>
      <c r="P3" s="409" t="s">
        <v>2</v>
      </c>
      <c r="Q3" s="410"/>
      <c r="R3" s="410"/>
      <c r="S3" s="410"/>
      <c r="T3" s="410"/>
      <c r="U3" s="410"/>
      <c r="V3" s="410"/>
      <c r="W3" s="410"/>
      <c r="X3" s="410"/>
      <c r="Y3" s="410"/>
      <c r="Z3" s="223" t="s">
        <v>122</v>
      </c>
    </row>
    <row r="4" spans="1:26" s="76" customFormat="1" ht="18" thickBot="1">
      <c r="A4" s="121" t="s">
        <v>46</v>
      </c>
      <c r="B4" s="121" t="s">
        <v>45</v>
      </c>
      <c r="C4" s="407" t="s">
        <v>117</v>
      </c>
      <c r="D4" s="120" t="s">
        <v>44</v>
      </c>
      <c r="E4" s="119" t="s">
        <v>68</v>
      </c>
      <c r="F4" s="214" t="s">
        <v>119</v>
      </c>
      <c r="G4" s="212">
        <v>0</v>
      </c>
      <c r="H4" s="119">
        <f>G4+1</f>
        <v>1</v>
      </c>
      <c r="I4" s="119">
        <f t="shared" ref="I4:O4" si="0">H4+1</f>
        <v>2</v>
      </c>
      <c r="J4" s="119">
        <f t="shared" si="0"/>
        <v>3</v>
      </c>
      <c r="K4" s="119">
        <f t="shared" si="0"/>
        <v>4</v>
      </c>
      <c r="L4" s="119">
        <f t="shared" si="0"/>
        <v>5</v>
      </c>
      <c r="M4" s="119">
        <f t="shared" si="0"/>
        <v>6</v>
      </c>
      <c r="N4" s="119">
        <f t="shared" si="0"/>
        <v>7</v>
      </c>
      <c r="O4" s="213">
        <f t="shared" si="0"/>
        <v>8</v>
      </c>
      <c r="P4" s="212">
        <v>0</v>
      </c>
      <c r="Q4" s="119">
        <f>P4+1</f>
        <v>1</v>
      </c>
      <c r="R4" s="119">
        <f t="shared" ref="R4:Y4" si="1">Q4+1</f>
        <v>2</v>
      </c>
      <c r="S4" s="119">
        <f t="shared" si="1"/>
        <v>3</v>
      </c>
      <c r="T4" s="119">
        <f t="shared" si="1"/>
        <v>4</v>
      </c>
      <c r="U4" s="119">
        <f t="shared" si="1"/>
        <v>5</v>
      </c>
      <c r="V4" s="119">
        <f t="shared" si="1"/>
        <v>6</v>
      </c>
      <c r="W4" s="119">
        <f t="shared" si="1"/>
        <v>7</v>
      </c>
      <c r="X4" s="222">
        <f t="shared" si="1"/>
        <v>8</v>
      </c>
      <c r="Y4" s="382">
        <f t="shared" si="1"/>
        <v>9</v>
      </c>
      <c r="Z4" s="110" t="s">
        <v>104</v>
      </c>
    </row>
    <row r="5" spans="1:26">
      <c r="A5" s="124">
        <v>0</v>
      </c>
      <c r="B5" s="122">
        <f>RANK(C5,$C$5:$C$260)-1</f>
        <v>97</v>
      </c>
      <c r="C5" s="399">
        <f>IF(F5="","",D5)</f>
        <v>0.60691960644025655</v>
      </c>
      <c r="D5" s="84">
        <v>0.60691960644025655</v>
      </c>
      <c r="E5" s="298">
        <v>1</v>
      </c>
      <c r="F5" s="315">
        <v>1</v>
      </c>
      <c r="G5" s="379">
        <v>0</v>
      </c>
      <c r="H5" s="380">
        <v>0</v>
      </c>
      <c r="I5" s="380">
        <v>-1</v>
      </c>
      <c r="J5" s="380">
        <v>0</v>
      </c>
      <c r="K5" s="380">
        <v>0</v>
      </c>
      <c r="L5" s="380">
        <v>0</v>
      </c>
      <c r="M5" s="380">
        <v>0</v>
      </c>
      <c r="N5" s="380">
        <v>1</v>
      </c>
      <c r="O5" s="303">
        <v>0</v>
      </c>
      <c r="P5" s="19">
        <v>0.15217391304347827</v>
      </c>
      <c r="Q5" s="1">
        <v>0.10869565217391304</v>
      </c>
      <c r="R5" s="1">
        <v>0</v>
      </c>
      <c r="S5" s="1">
        <v>0.17391304347826086</v>
      </c>
      <c r="T5" s="1">
        <v>0.19565217391304349</v>
      </c>
      <c r="U5" s="1">
        <v>0.10869565217391304</v>
      </c>
      <c r="V5" s="1">
        <v>0.13043478260869565</v>
      </c>
      <c r="W5" s="1">
        <v>0</v>
      </c>
      <c r="X5" s="3">
        <v>0.13043478260869565</v>
      </c>
      <c r="Y5" s="2">
        <v>0</v>
      </c>
      <c r="Z5" s="315">
        <f>F5*E5</f>
        <v>1</v>
      </c>
    </row>
    <row r="6" spans="1:26">
      <c r="A6" s="124">
        <f>A5+1</f>
        <v>1</v>
      </c>
      <c r="B6" s="122">
        <f t="shared" ref="B6:B69" si="2">RANK(C6,$C$5:$C$260)-1</f>
        <v>162</v>
      </c>
      <c r="C6" s="399">
        <f t="shared" ref="C6:C69" si="3">IF(F6="","",D6)</f>
        <v>0.36026580032572841</v>
      </c>
      <c r="D6" s="84">
        <v>0.36026580032572841</v>
      </c>
      <c r="E6" s="298">
        <v>-1</v>
      </c>
      <c r="F6" s="315">
        <v>1</v>
      </c>
      <c r="G6" s="379">
        <v>0</v>
      </c>
      <c r="H6" s="380">
        <v>0</v>
      </c>
      <c r="I6" s="380">
        <v>1</v>
      </c>
      <c r="J6" s="380">
        <v>0</v>
      </c>
      <c r="K6" s="380">
        <v>0</v>
      </c>
      <c r="L6" s="380">
        <v>0</v>
      </c>
      <c r="M6" s="380">
        <v>0</v>
      </c>
      <c r="N6" s="380">
        <v>-1</v>
      </c>
      <c r="O6" s="303">
        <v>-1</v>
      </c>
      <c r="P6" s="19">
        <v>0.14893617021276595</v>
      </c>
      <c r="Q6" s="1">
        <v>0.14893617021276595</v>
      </c>
      <c r="R6" s="1">
        <v>0</v>
      </c>
      <c r="S6" s="1">
        <v>0.10638297872340426</v>
      </c>
      <c r="T6" s="1">
        <v>0.14893617021276595</v>
      </c>
      <c r="U6" s="1">
        <v>0.10638297872340426</v>
      </c>
      <c r="V6" s="1">
        <v>0.34042553191489361</v>
      </c>
      <c r="W6" s="1">
        <v>0</v>
      </c>
      <c r="X6" s="3">
        <v>0</v>
      </c>
      <c r="Y6" s="2">
        <v>0</v>
      </c>
      <c r="Z6" s="315">
        <f>F6*E6</f>
        <v>-1</v>
      </c>
    </row>
    <row r="7" spans="1:26">
      <c r="A7" s="124">
        <f t="shared" ref="A7:A70" si="4">A6+1</f>
        <v>2</v>
      </c>
      <c r="B7" s="122">
        <f t="shared" si="2"/>
        <v>103</v>
      </c>
      <c r="C7" s="399">
        <f t="shared" si="3"/>
        <v>0.58817269435007069</v>
      </c>
      <c r="D7" s="84">
        <v>0.58817269435007069</v>
      </c>
      <c r="E7" s="298">
        <v>1</v>
      </c>
      <c r="F7" s="315">
        <v>1</v>
      </c>
      <c r="G7" s="379">
        <v>0</v>
      </c>
      <c r="H7" s="380">
        <v>0</v>
      </c>
      <c r="I7" s="380">
        <v>-1</v>
      </c>
      <c r="J7" s="380">
        <v>0</v>
      </c>
      <c r="K7" s="380">
        <v>-1</v>
      </c>
      <c r="L7" s="380">
        <v>0</v>
      </c>
      <c r="M7" s="380">
        <v>0</v>
      </c>
      <c r="N7" s="380">
        <v>1</v>
      </c>
      <c r="O7" s="303">
        <v>1</v>
      </c>
      <c r="P7" s="19">
        <v>1.6393442622950821E-2</v>
      </c>
      <c r="Q7" s="1">
        <v>1.6393442622950821E-2</v>
      </c>
      <c r="R7" s="1">
        <v>0</v>
      </c>
      <c r="S7" s="1">
        <v>1.6393442622950821E-2</v>
      </c>
      <c r="T7" s="1">
        <v>0</v>
      </c>
      <c r="U7" s="1">
        <v>1.6393442622950821E-2</v>
      </c>
      <c r="V7" s="1">
        <v>0.93442622950819676</v>
      </c>
      <c r="W7" s="1">
        <v>0</v>
      </c>
      <c r="X7" s="3">
        <v>0</v>
      </c>
      <c r="Y7" s="2">
        <v>0</v>
      </c>
      <c r="Z7" s="315">
        <f t="shared" ref="Z7:Z69" si="5">F7*E7</f>
        <v>1</v>
      </c>
    </row>
    <row r="8" spans="1:26">
      <c r="A8" s="124">
        <f t="shared" si="4"/>
        <v>3</v>
      </c>
      <c r="B8" s="122">
        <f t="shared" si="2"/>
        <v>73</v>
      </c>
      <c r="C8" s="399">
        <f t="shared" si="3"/>
        <v>0.69910632048720733</v>
      </c>
      <c r="D8" s="84">
        <v>0.69910632048720733</v>
      </c>
      <c r="E8" s="298">
        <v>1</v>
      </c>
      <c r="F8" s="315">
        <v>1</v>
      </c>
      <c r="G8" s="379">
        <v>0</v>
      </c>
      <c r="H8" s="380">
        <v>0</v>
      </c>
      <c r="I8" s="380">
        <v>0</v>
      </c>
      <c r="J8" s="380">
        <v>0</v>
      </c>
      <c r="K8" s="380">
        <v>0</v>
      </c>
      <c r="L8" s="380">
        <v>0</v>
      </c>
      <c r="M8" s="380">
        <v>0</v>
      </c>
      <c r="N8" s="380">
        <v>0</v>
      </c>
      <c r="O8" s="303">
        <v>0</v>
      </c>
      <c r="P8" s="19">
        <v>8.5106382978723402E-2</v>
      </c>
      <c r="Q8" s="1">
        <v>0.10638297872340426</v>
      </c>
      <c r="R8" s="1">
        <v>0.21276595744680851</v>
      </c>
      <c r="S8" s="1">
        <v>0.21276595744680851</v>
      </c>
      <c r="T8" s="1">
        <v>2.1276595744680851E-2</v>
      </c>
      <c r="U8" s="1">
        <v>0.10638297872340426</v>
      </c>
      <c r="V8" s="1">
        <v>6.3829787234042548E-2</v>
      </c>
      <c r="W8" s="1">
        <v>0.10638297872340426</v>
      </c>
      <c r="X8" s="3">
        <v>8.5106382978723402E-2</v>
      </c>
      <c r="Y8" s="2">
        <v>0</v>
      </c>
      <c r="Z8" s="315">
        <f t="shared" si="5"/>
        <v>1</v>
      </c>
    </row>
    <row r="9" spans="1:26">
      <c r="A9" s="124">
        <f t="shared" si="4"/>
        <v>4</v>
      </c>
      <c r="B9" s="122">
        <f t="shared" si="2"/>
        <v>56</v>
      </c>
      <c r="C9" s="399">
        <f t="shared" si="3"/>
        <v>0.76812209289648525</v>
      </c>
      <c r="D9" s="84">
        <v>0.76812209289648525</v>
      </c>
      <c r="E9" s="298">
        <v>-1</v>
      </c>
      <c r="F9" s="315">
        <v>1</v>
      </c>
      <c r="G9" s="379">
        <v>0</v>
      </c>
      <c r="H9" s="380">
        <v>-1</v>
      </c>
      <c r="I9" s="380">
        <v>0</v>
      </c>
      <c r="J9" s="380">
        <v>0</v>
      </c>
      <c r="K9" s="380">
        <v>0</v>
      </c>
      <c r="L9" s="380">
        <v>0</v>
      </c>
      <c r="M9" s="380">
        <v>0</v>
      </c>
      <c r="N9" s="380">
        <v>0</v>
      </c>
      <c r="O9" s="303">
        <v>0</v>
      </c>
      <c r="P9" s="19">
        <v>0.10638297872340426</v>
      </c>
      <c r="Q9" s="1">
        <v>0</v>
      </c>
      <c r="R9" s="1">
        <v>0.1702127659574468</v>
      </c>
      <c r="S9" s="1">
        <v>0.1276595744680851</v>
      </c>
      <c r="T9" s="1">
        <v>8.5106382978723402E-2</v>
      </c>
      <c r="U9" s="1">
        <v>0.10638297872340426</v>
      </c>
      <c r="V9" s="1">
        <v>0.10638297872340426</v>
      </c>
      <c r="W9" s="1">
        <v>0.10638297872340426</v>
      </c>
      <c r="X9" s="3">
        <v>0.19148936170212766</v>
      </c>
      <c r="Y9" s="2">
        <v>0</v>
      </c>
      <c r="Z9" s="315">
        <f t="shared" si="5"/>
        <v>-1</v>
      </c>
    </row>
    <row r="10" spans="1:26">
      <c r="A10" s="124">
        <f t="shared" si="4"/>
        <v>5</v>
      </c>
      <c r="B10" s="122">
        <f t="shared" si="2"/>
        <v>176</v>
      </c>
      <c r="C10" s="399">
        <f t="shared" si="3"/>
        <v>0.29444694164602114</v>
      </c>
      <c r="D10" s="84">
        <v>0.29444694164602114</v>
      </c>
      <c r="E10" s="298">
        <v>1</v>
      </c>
      <c r="F10" s="315">
        <v>1</v>
      </c>
      <c r="G10" s="379">
        <v>0</v>
      </c>
      <c r="H10" s="380">
        <v>1</v>
      </c>
      <c r="I10" s="380">
        <v>0</v>
      </c>
      <c r="J10" s="380">
        <v>0</v>
      </c>
      <c r="K10" s="380">
        <v>0</v>
      </c>
      <c r="L10" s="380">
        <v>-1</v>
      </c>
      <c r="M10" s="380">
        <v>0</v>
      </c>
      <c r="N10" s="380">
        <v>0</v>
      </c>
      <c r="O10" s="303">
        <v>0</v>
      </c>
      <c r="P10" s="19">
        <v>7.8947368421052627E-2</v>
      </c>
      <c r="Q10" s="1">
        <v>0</v>
      </c>
      <c r="R10" s="1">
        <v>0.57894736842105265</v>
      </c>
      <c r="S10" s="1">
        <v>7.8947368421052627E-2</v>
      </c>
      <c r="T10" s="1">
        <v>5.2631578947368418E-2</v>
      </c>
      <c r="U10" s="1">
        <v>0</v>
      </c>
      <c r="V10" s="1">
        <v>5.2631578947368418E-2</v>
      </c>
      <c r="W10" s="1">
        <v>7.8947368421052627E-2</v>
      </c>
      <c r="X10" s="3">
        <v>7.8947368421052627E-2</v>
      </c>
      <c r="Y10" s="2">
        <v>0</v>
      </c>
      <c r="Z10" s="315">
        <f t="shared" si="5"/>
        <v>1</v>
      </c>
    </row>
    <row r="11" spans="1:26">
      <c r="A11" s="124">
        <f t="shared" si="4"/>
        <v>6</v>
      </c>
      <c r="B11" s="122">
        <f t="shared" si="2"/>
        <v>108</v>
      </c>
      <c r="C11" s="399">
        <f t="shared" si="3"/>
        <v>0.57367348083221525</v>
      </c>
      <c r="D11" s="84">
        <v>0.57367348083221525</v>
      </c>
      <c r="E11" s="298">
        <v>-1</v>
      </c>
      <c r="F11" s="315">
        <v>1</v>
      </c>
      <c r="G11" s="379">
        <v>0</v>
      </c>
      <c r="H11" s="380">
        <v>-1</v>
      </c>
      <c r="I11" s="380">
        <v>-1</v>
      </c>
      <c r="J11" s="380">
        <v>0</v>
      </c>
      <c r="K11" s="380">
        <v>0</v>
      </c>
      <c r="L11" s="380">
        <v>1</v>
      </c>
      <c r="M11" s="380">
        <v>0</v>
      </c>
      <c r="N11" s="380">
        <v>0</v>
      </c>
      <c r="O11" s="303">
        <v>0</v>
      </c>
      <c r="P11" s="19">
        <v>0.86111111111111116</v>
      </c>
      <c r="Q11" s="1">
        <v>0</v>
      </c>
      <c r="R11" s="1">
        <v>0</v>
      </c>
      <c r="S11" s="1">
        <v>2.7777777777777776E-2</v>
      </c>
      <c r="T11" s="1">
        <v>2.7777777777777776E-2</v>
      </c>
      <c r="U11" s="1">
        <v>0</v>
      </c>
      <c r="V11" s="1">
        <v>2.7777777777777776E-2</v>
      </c>
      <c r="W11" s="1">
        <v>2.7777777777777776E-2</v>
      </c>
      <c r="X11" s="3">
        <v>2.7777777777777776E-2</v>
      </c>
      <c r="Y11" s="2">
        <v>0</v>
      </c>
      <c r="Z11" s="315">
        <f t="shared" si="5"/>
        <v>-1</v>
      </c>
    </row>
    <row r="12" spans="1:26">
      <c r="A12" s="124">
        <f t="shared" si="4"/>
        <v>7</v>
      </c>
      <c r="B12" s="122">
        <f t="shared" si="2"/>
        <v>55</v>
      </c>
      <c r="C12" s="399">
        <f t="shared" si="3"/>
        <v>0.77058505191620064</v>
      </c>
      <c r="D12" s="84">
        <v>0.77058505191620064</v>
      </c>
      <c r="E12" s="298">
        <v>1</v>
      </c>
      <c r="F12" s="315">
        <v>1</v>
      </c>
      <c r="G12" s="379">
        <v>0</v>
      </c>
      <c r="H12" s="380">
        <v>1</v>
      </c>
      <c r="I12" s="380">
        <v>1</v>
      </c>
      <c r="J12" s="380">
        <v>0</v>
      </c>
      <c r="K12" s="380">
        <v>-1</v>
      </c>
      <c r="L12" s="380">
        <v>-1</v>
      </c>
      <c r="M12" s="380">
        <v>0</v>
      </c>
      <c r="N12" s="380">
        <v>0</v>
      </c>
      <c r="O12" s="303">
        <v>0</v>
      </c>
      <c r="P12" s="19">
        <v>0.93442622950819676</v>
      </c>
      <c r="Q12" s="1">
        <v>0</v>
      </c>
      <c r="R12" s="1">
        <v>0</v>
      </c>
      <c r="S12" s="1">
        <v>1.6393442622950821E-2</v>
      </c>
      <c r="T12" s="1">
        <v>0</v>
      </c>
      <c r="U12" s="1">
        <v>0</v>
      </c>
      <c r="V12" s="1">
        <v>1.6393442622950821E-2</v>
      </c>
      <c r="W12" s="1">
        <v>1.6393442622950821E-2</v>
      </c>
      <c r="X12" s="3">
        <v>1.6393442622950821E-2</v>
      </c>
      <c r="Y12" s="2">
        <v>0</v>
      </c>
      <c r="Z12" s="315">
        <f t="shared" si="5"/>
        <v>1</v>
      </c>
    </row>
    <row r="13" spans="1:26">
      <c r="A13" s="124">
        <f t="shared" si="4"/>
        <v>8</v>
      </c>
      <c r="B13" s="122">
        <f t="shared" si="2"/>
        <v>45</v>
      </c>
      <c r="C13" s="399">
        <f t="shared" si="3"/>
        <v>0.80697042312054534</v>
      </c>
      <c r="D13" s="84">
        <v>0.80697042312054534</v>
      </c>
      <c r="E13" s="298">
        <v>1</v>
      </c>
      <c r="F13" s="315">
        <v>0</v>
      </c>
      <c r="G13" s="379">
        <v>0</v>
      </c>
      <c r="H13" s="380">
        <v>0</v>
      </c>
      <c r="I13" s="380">
        <v>0</v>
      </c>
      <c r="J13" s="380">
        <v>0</v>
      </c>
      <c r="K13" s="380">
        <v>0</v>
      </c>
      <c r="L13" s="380">
        <v>0</v>
      </c>
      <c r="M13" s="380">
        <v>0</v>
      </c>
      <c r="N13" s="380">
        <v>0</v>
      </c>
      <c r="O13" s="303">
        <v>0</v>
      </c>
      <c r="P13" s="19">
        <v>0.10638297872340426</v>
      </c>
      <c r="Q13" s="1">
        <v>8.5106382978723402E-2</v>
      </c>
      <c r="R13" s="1">
        <v>0.23404255319148937</v>
      </c>
      <c r="S13" s="1">
        <v>0.1276595744680851</v>
      </c>
      <c r="T13" s="1">
        <v>8.5106382978723402E-2</v>
      </c>
      <c r="U13" s="1">
        <v>0.10638297872340426</v>
      </c>
      <c r="V13" s="1">
        <v>8.5106382978723402E-2</v>
      </c>
      <c r="W13" s="1">
        <v>8.5106382978723402E-2</v>
      </c>
      <c r="X13" s="3">
        <v>8.5106382978723402E-2</v>
      </c>
      <c r="Y13" s="2">
        <v>0</v>
      </c>
      <c r="Z13" s="315">
        <f t="shared" si="5"/>
        <v>0</v>
      </c>
    </row>
    <row r="14" spans="1:26">
      <c r="A14" s="124">
        <f t="shared" si="4"/>
        <v>9</v>
      </c>
      <c r="B14" s="122">
        <f>RANK(C14,$C$5:$C$260)-1</f>
        <v>238</v>
      </c>
      <c r="C14" s="399">
        <f t="shared" si="3"/>
        <v>7.5055673598416028E-2</v>
      </c>
      <c r="D14" s="84">
        <v>7.5055673598416028E-2</v>
      </c>
      <c r="E14" s="298">
        <v>-1</v>
      </c>
      <c r="F14" s="315">
        <v>0</v>
      </c>
      <c r="G14" s="379">
        <v>0</v>
      </c>
      <c r="H14" s="380">
        <v>0</v>
      </c>
      <c r="I14" s="380">
        <v>0</v>
      </c>
      <c r="J14" s="380">
        <v>0</v>
      </c>
      <c r="K14" s="380">
        <v>0</v>
      </c>
      <c r="L14" s="380">
        <v>0</v>
      </c>
      <c r="M14" s="380">
        <v>0</v>
      </c>
      <c r="N14" s="380">
        <v>-1</v>
      </c>
      <c r="O14" s="303">
        <v>0</v>
      </c>
      <c r="P14" s="19">
        <v>0.10638297872340426</v>
      </c>
      <c r="Q14" s="1">
        <v>0.10638297872340426</v>
      </c>
      <c r="R14" s="1">
        <v>0.1276595744680851</v>
      </c>
      <c r="S14" s="1">
        <v>0.1276595744680851</v>
      </c>
      <c r="T14" s="1">
        <v>0.10638297872340426</v>
      </c>
      <c r="U14" s="1">
        <v>0.19148936170212766</v>
      </c>
      <c r="V14" s="1">
        <v>0.10638297872340426</v>
      </c>
      <c r="W14" s="1">
        <v>0</v>
      </c>
      <c r="X14" s="3">
        <v>0.1276595744680851</v>
      </c>
      <c r="Y14" s="2">
        <v>0</v>
      </c>
      <c r="Z14" s="315">
        <f t="shared" si="5"/>
        <v>0</v>
      </c>
    </row>
    <row r="15" spans="1:26">
      <c r="A15" s="124">
        <f t="shared" si="4"/>
        <v>10</v>
      </c>
      <c r="B15" s="122">
        <f t="shared" si="2"/>
        <v>250</v>
      </c>
      <c r="C15" s="399">
        <f t="shared" si="3"/>
        <v>3.0260663023771506E-2</v>
      </c>
      <c r="D15" s="84">
        <v>3.0260663023771506E-2</v>
      </c>
      <c r="E15" s="298">
        <v>1</v>
      </c>
      <c r="F15" s="315">
        <v>0</v>
      </c>
      <c r="G15" s="379">
        <v>0</v>
      </c>
      <c r="H15" s="380">
        <v>0</v>
      </c>
      <c r="I15" s="380">
        <v>0</v>
      </c>
      <c r="J15" s="380">
        <v>0</v>
      </c>
      <c r="K15" s="380">
        <v>0</v>
      </c>
      <c r="L15" s="380">
        <v>0</v>
      </c>
      <c r="M15" s="380">
        <v>-1</v>
      </c>
      <c r="N15" s="380">
        <v>1</v>
      </c>
      <c r="O15" s="303">
        <v>0</v>
      </c>
      <c r="P15" s="19">
        <v>0.10869565217391304</v>
      </c>
      <c r="Q15" s="1">
        <v>0.13043478260869565</v>
      </c>
      <c r="R15" s="1">
        <v>0.17391304347826086</v>
      </c>
      <c r="S15" s="1">
        <v>0.13043478260869565</v>
      </c>
      <c r="T15" s="1">
        <v>0.19565217391304349</v>
      </c>
      <c r="U15" s="1">
        <v>0.13043478260869565</v>
      </c>
      <c r="V15" s="1">
        <v>0</v>
      </c>
      <c r="W15" s="1">
        <v>0</v>
      </c>
      <c r="X15" s="3">
        <v>0.13043478260869565</v>
      </c>
      <c r="Y15" s="2">
        <v>0</v>
      </c>
      <c r="Z15" s="315">
        <f t="shared" si="5"/>
        <v>0</v>
      </c>
    </row>
    <row r="16" spans="1:26">
      <c r="A16" s="124">
        <f t="shared" si="4"/>
        <v>11</v>
      </c>
      <c r="B16" s="122">
        <f t="shared" si="2"/>
        <v>192</v>
      </c>
      <c r="C16" s="399">
        <f t="shared" si="3"/>
        <v>0.23921141864396855</v>
      </c>
      <c r="D16" s="84">
        <v>0.23921141864396855</v>
      </c>
      <c r="E16" s="298">
        <v>-1</v>
      </c>
      <c r="F16" s="315">
        <v>0</v>
      </c>
      <c r="G16" s="379">
        <v>0</v>
      </c>
      <c r="H16" s="380">
        <v>0</v>
      </c>
      <c r="I16" s="380">
        <v>0</v>
      </c>
      <c r="J16" s="380">
        <v>-1</v>
      </c>
      <c r="K16" s="380">
        <v>0</v>
      </c>
      <c r="L16" s="380">
        <v>0</v>
      </c>
      <c r="M16" s="380">
        <v>1</v>
      </c>
      <c r="N16" s="380">
        <v>-1</v>
      </c>
      <c r="O16" s="303">
        <v>0</v>
      </c>
      <c r="P16" s="19">
        <v>0.16279069767441862</v>
      </c>
      <c r="Q16" s="1">
        <v>0.16279069767441862</v>
      </c>
      <c r="R16" s="1">
        <v>0.18604651162790697</v>
      </c>
      <c r="S16" s="1">
        <v>0</v>
      </c>
      <c r="T16" s="1">
        <v>0.16279069767441862</v>
      </c>
      <c r="U16" s="1">
        <v>0.16279069767441862</v>
      </c>
      <c r="V16" s="1">
        <v>0</v>
      </c>
      <c r="W16" s="1">
        <v>0</v>
      </c>
      <c r="X16" s="3">
        <v>0.16279069767441862</v>
      </c>
      <c r="Y16" s="2">
        <v>0</v>
      </c>
      <c r="Z16" s="315">
        <f t="shared" si="5"/>
        <v>0</v>
      </c>
    </row>
    <row r="17" spans="1:26">
      <c r="A17" s="124">
        <f t="shared" si="4"/>
        <v>12</v>
      </c>
      <c r="B17" s="122">
        <f t="shared" si="2"/>
        <v>69</v>
      </c>
      <c r="C17" s="399">
        <f t="shared" si="3"/>
        <v>0.70787995889366251</v>
      </c>
      <c r="D17" s="84">
        <v>0.70787995889366251</v>
      </c>
      <c r="E17" s="298">
        <v>1</v>
      </c>
      <c r="F17" s="315">
        <v>0</v>
      </c>
      <c r="G17" s="379">
        <v>0</v>
      </c>
      <c r="H17" s="380">
        <v>0</v>
      </c>
      <c r="I17" s="380">
        <v>0</v>
      </c>
      <c r="J17" s="380">
        <v>1</v>
      </c>
      <c r="K17" s="380">
        <v>0</v>
      </c>
      <c r="L17" s="380">
        <v>-1</v>
      </c>
      <c r="M17" s="380">
        <v>-1</v>
      </c>
      <c r="N17" s="380">
        <v>1</v>
      </c>
      <c r="O17" s="303">
        <v>0</v>
      </c>
      <c r="P17" s="19">
        <v>0.15</v>
      </c>
      <c r="Q17" s="1">
        <v>0.15</v>
      </c>
      <c r="R17" s="1">
        <v>0.15</v>
      </c>
      <c r="S17" s="1">
        <v>0</v>
      </c>
      <c r="T17" s="1">
        <v>0.4</v>
      </c>
      <c r="U17" s="1">
        <v>0</v>
      </c>
      <c r="V17" s="1">
        <v>0</v>
      </c>
      <c r="W17" s="1">
        <v>0</v>
      </c>
      <c r="X17" s="3">
        <v>0.15</v>
      </c>
      <c r="Y17" s="2">
        <v>0</v>
      </c>
      <c r="Z17" s="315">
        <f t="shared" si="5"/>
        <v>0</v>
      </c>
    </row>
    <row r="18" spans="1:26">
      <c r="A18" s="124">
        <f t="shared" si="4"/>
        <v>13</v>
      </c>
      <c r="B18" s="122">
        <f t="shared" si="2"/>
        <v>234</v>
      </c>
      <c r="C18" s="399">
        <f t="shared" si="3"/>
        <v>8.5750308337413594E-2</v>
      </c>
      <c r="D18" s="84">
        <v>8.5750308337413594E-2</v>
      </c>
      <c r="E18" s="298">
        <v>-1</v>
      </c>
      <c r="F18" s="315">
        <v>0</v>
      </c>
      <c r="G18" s="379">
        <v>0</v>
      </c>
      <c r="H18" s="380">
        <v>0</v>
      </c>
      <c r="I18" s="380">
        <v>0</v>
      </c>
      <c r="J18" s="380">
        <v>-1</v>
      </c>
      <c r="K18" s="380">
        <v>-1</v>
      </c>
      <c r="L18" s="380">
        <v>1</v>
      </c>
      <c r="M18" s="380">
        <v>1</v>
      </c>
      <c r="N18" s="380">
        <v>-1</v>
      </c>
      <c r="O18" s="303">
        <v>0</v>
      </c>
      <c r="P18" s="19">
        <v>2.564102564102564E-2</v>
      </c>
      <c r="Q18" s="1">
        <v>0.71794871794871795</v>
      </c>
      <c r="R18" s="1">
        <v>0.12820512820512819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3">
        <v>0.12820512820512819</v>
      </c>
      <c r="Y18" s="2">
        <v>0</v>
      </c>
      <c r="Z18" s="315">
        <f t="shared" si="5"/>
        <v>0</v>
      </c>
    </row>
    <row r="19" spans="1:26">
      <c r="A19" s="124">
        <f t="shared" si="4"/>
        <v>14</v>
      </c>
      <c r="B19" s="122">
        <f t="shared" si="2"/>
        <v>93</v>
      </c>
      <c r="C19" s="399">
        <f t="shared" si="3"/>
        <v>0.62774016464966109</v>
      </c>
      <c r="D19" s="84">
        <v>0.62774016464966109</v>
      </c>
      <c r="E19" s="298">
        <v>1</v>
      </c>
      <c r="F19" s="315">
        <v>0</v>
      </c>
      <c r="G19" s="379">
        <v>0</v>
      </c>
      <c r="H19" s="380">
        <v>-1</v>
      </c>
      <c r="I19" s="380">
        <v>0</v>
      </c>
      <c r="J19" s="380">
        <v>1</v>
      </c>
      <c r="K19" s="380">
        <v>1</v>
      </c>
      <c r="L19" s="380">
        <v>-1</v>
      </c>
      <c r="M19" s="380">
        <v>-1</v>
      </c>
      <c r="N19" s="380">
        <v>1</v>
      </c>
      <c r="O19" s="303">
        <v>0</v>
      </c>
      <c r="P19" s="19">
        <v>0.37777777777777777</v>
      </c>
      <c r="Q19" s="1">
        <v>0</v>
      </c>
      <c r="R19" s="1">
        <v>0.26666666666666666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3">
        <v>0.35555555555555557</v>
      </c>
      <c r="Y19" s="2">
        <v>0</v>
      </c>
      <c r="Z19" s="315">
        <f t="shared" si="5"/>
        <v>0</v>
      </c>
    </row>
    <row r="20" spans="1:26">
      <c r="A20" s="124">
        <f t="shared" si="4"/>
        <v>15</v>
      </c>
      <c r="B20" s="122">
        <f t="shared" si="2"/>
        <v>190</v>
      </c>
      <c r="C20" s="399">
        <f t="shared" si="3"/>
        <v>0.25105175024814586</v>
      </c>
      <c r="D20" s="84">
        <v>0.25105175024814586</v>
      </c>
      <c r="E20" s="298">
        <v>-1</v>
      </c>
      <c r="F20" s="315">
        <v>0</v>
      </c>
      <c r="G20" s="379">
        <v>-1</v>
      </c>
      <c r="H20" s="380">
        <v>1</v>
      </c>
      <c r="I20" s="380">
        <v>0</v>
      </c>
      <c r="J20" s="380">
        <v>-1</v>
      </c>
      <c r="K20" s="380">
        <v>-1</v>
      </c>
      <c r="L20" s="380">
        <v>1</v>
      </c>
      <c r="M20" s="380">
        <v>1</v>
      </c>
      <c r="N20" s="380">
        <v>-1</v>
      </c>
      <c r="O20" s="303">
        <v>0</v>
      </c>
      <c r="P20" s="19">
        <v>0</v>
      </c>
      <c r="Q20" s="1">
        <v>0</v>
      </c>
      <c r="R20" s="1">
        <v>5.9701492537313432E-2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3">
        <v>0.94029850746268662</v>
      </c>
      <c r="Y20" s="2">
        <v>0</v>
      </c>
      <c r="Z20" s="315">
        <f t="shared" si="5"/>
        <v>0</v>
      </c>
    </row>
    <row r="21" spans="1:26">
      <c r="A21" s="124">
        <f t="shared" si="4"/>
        <v>16</v>
      </c>
      <c r="B21" s="122">
        <f t="shared" si="2"/>
        <v>120</v>
      </c>
      <c r="C21" s="399">
        <f t="shared" si="3"/>
        <v>0.52773572514811995</v>
      </c>
      <c r="D21" s="84">
        <v>0.52773572514811995</v>
      </c>
      <c r="E21" s="298">
        <v>1</v>
      </c>
      <c r="F21" s="315">
        <v>0</v>
      </c>
      <c r="G21" s="379">
        <v>1</v>
      </c>
      <c r="H21" s="380">
        <v>-1</v>
      </c>
      <c r="I21" s="380">
        <v>0</v>
      </c>
      <c r="J21" s="380">
        <v>1</v>
      </c>
      <c r="K21" s="380">
        <v>1</v>
      </c>
      <c r="L21" s="380">
        <v>-1</v>
      </c>
      <c r="M21" s="380">
        <v>-1</v>
      </c>
      <c r="N21" s="380">
        <v>1</v>
      </c>
      <c r="O21" s="303">
        <v>-1</v>
      </c>
      <c r="P21" s="19">
        <v>0</v>
      </c>
      <c r="Q21" s="1">
        <v>0</v>
      </c>
      <c r="R21" s="1">
        <v>1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3">
        <v>0</v>
      </c>
      <c r="Y21" s="2">
        <v>0</v>
      </c>
      <c r="Z21" s="315">
        <f t="shared" si="5"/>
        <v>0</v>
      </c>
    </row>
    <row r="22" spans="1:26">
      <c r="A22" s="124">
        <f t="shared" si="4"/>
        <v>17</v>
      </c>
      <c r="B22" s="122">
        <f t="shared" si="2"/>
        <v>64</v>
      </c>
      <c r="C22" s="399">
        <f t="shared" si="3"/>
        <v>0.73052431142675822</v>
      </c>
      <c r="D22" s="84">
        <v>0.73052431142675822</v>
      </c>
      <c r="E22" s="298">
        <v>1</v>
      </c>
      <c r="F22" s="315">
        <v>1</v>
      </c>
      <c r="G22" s="379">
        <v>0</v>
      </c>
      <c r="H22" s="380">
        <v>0</v>
      </c>
      <c r="I22" s="380">
        <v>0</v>
      </c>
      <c r="J22" s="380">
        <v>0</v>
      </c>
      <c r="K22" s="380">
        <v>0</v>
      </c>
      <c r="L22" s="380">
        <v>0</v>
      </c>
      <c r="M22" s="380">
        <v>0</v>
      </c>
      <c r="N22" s="380">
        <v>0</v>
      </c>
      <c r="O22" s="303">
        <v>0</v>
      </c>
      <c r="P22" s="19">
        <v>2.1276595744680851E-2</v>
      </c>
      <c r="Q22" s="1">
        <v>8.5106382978723402E-2</v>
      </c>
      <c r="R22" s="1">
        <v>0.23404255319148937</v>
      </c>
      <c r="S22" s="1">
        <v>0.10638297872340426</v>
      </c>
      <c r="T22" s="1">
        <v>6.3829787234042548E-2</v>
      </c>
      <c r="U22" s="1">
        <v>0.1276595744680851</v>
      </c>
      <c r="V22" s="1">
        <v>6.3829787234042548E-2</v>
      </c>
      <c r="W22" s="1">
        <v>0.1702127659574468</v>
      </c>
      <c r="X22" s="3">
        <v>0.1276595744680851</v>
      </c>
      <c r="Y22" s="2">
        <v>0</v>
      </c>
      <c r="Z22" s="315">
        <f t="shared" si="5"/>
        <v>1</v>
      </c>
    </row>
    <row r="23" spans="1:26">
      <c r="A23" s="124">
        <f t="shared" si="4"/>
        <v>18</v>
      </c>
      <c r="B23" s="122">
        <f t="shared" si="2"/>
        <v>74</v>
      </c>
      <c r="C23" s="399">
        <f t="shared" si="3"/>
        <v>0.692076450376652</v>
      </c>
      <c r="D23" s="84">
        <v>0.692076450376652</v>
      </c>
      <c r="E23" s="298">
        <v>-1</v>
      </c>
      <c r="F23" s="315">
        <v>1</v>
      </c>
      <c r="G23" s="379">
        <v>0</v>
      </c>
      <c r="H23" s="380">
        <v>0</v>
      </c>
      <c r="I23" s="380">
        <v>0</v>
      </c>
      <c r="J23" s="380">
        <v>-1</v>
      </c>
      <c r="K23" s="380">
        <v>0</v>
      </c>
      <c r="L23" s="380">
        <v>0</v>
      </c>
      <c r="M23" s="380">
        <v>0</v>
      </c>
      <c r="N23" s="380">
        <v>0</v>
      </c>
      <c r="O23" s="303">
        <v>0</v>
      </c>
      <c r="P23" s="19">
        <v>0.10638297872340426</v>
      </c>
      <c r="Q23" s="1">
        <v>0.10638297872340426</v>
      </c>
      <c r="R23" s="1">
        <v>0.1702127659574468</v>
      </c>
      <c r="S23" s="1">
        <v>0</v>
      </c>
      <c r="T23" s="1">
        <v>8.5106382978723402E-2</v>
      </c>
      <c r="U23" s="1">
        <v>0.10638297872340426</v>
      </c>
      <c r="V23" s="1">
        <v>0.10638297872340426</v>
      </c>
      <c r="W23" s="1">
        <v>0.1276595744680851</v>
      </c>
      <c r="X23" s="3">
        <v>0.19148936170212766</v>
      </c>
      <c r="Y23" s="2">
        <v>0</v>
      </c>
      <c r="Z23" s="315">
        <f t="shared" si="5"/>
        <v>-1</v>
      </c>
    </row>
    <row r="24" spans="1:26">
      <c r="A24" s="124">
        <f t="shared" si="4"/>
        <v>19</v>
      </c>
      <c r="B24" s="122">
        <f t="shared" si="2"/>
        <v>1</v>
      </c>
      <c r="C24" s="399">
        <f t="shared" si="3"/>
        <v>0.99515239168962166</v>
      </c>
      <c r="D24" s="84">
        <v>0.99515239168962166</v>
      </c>
      <c r="E24" s="298">
        <v>1</v>
      </c>
      <c r="F24" s="315">
        <v>1</v>
      </c>
      <c r="G24" s="379">
        <v>0</v>
      </c>
      <c r="H24" s="380">
        <v>0</v>
      </c>
      <c r="I24" s="380">
        <v>-1</v>
      </c>
      <c r="J24" s="380">
        <v>1</v>
      </c>
      <c r="K24" s="380">
        <v>0</v>
      </c>
      <c r="L24" s="380">
        <v>0</v>
      </c>
      <c r="M24" s="380">
        <v>0</v>
      </c>
      <c r="N24" s="380">
        <v>0</v>
      </c>
      <c r="O24" s="303">
        <v>0</v>
      </c>
      <c r="P24" s="19">
        <v>0.1111111111111111</v>
      </c>
      <c r="Q24" s="1">
        <v>0.1111111111111111</v>
      </c>
      <c r="R24" s="1">
        <v>0</v>
      </c>
      <c r="S24" s="1">
        <v>0</v>
      </c>
      <c r="T24" s="1">
        <v>0.1111111111111111</v>
      </c>
      <c r="U24" s="1">
        <v>0.17777777777777778</v>
      </c>
      <c r="V24" s="1">
        <v>0.26666666666666666</v>
      </c>
      <c r="W24" s="1">
        <v>0.1111111111111111</v>
      </c>
      <c r="X24" s="3">
        <v>0.1111111111111111</v>
      </c>
      <c r="Y24" s="2">
        <v>0</v>
      </c>
      <c r="Z24" s="315">
        <f t="shared" si="5"/>
        <v>1</v>
      </c>
    </row>
    <row r="25" spans="1:26">
      <c r="A25" s="124">
        <f t="shared" si="4"/>
        <v>20</v>
      </c>
      <c r="B25" s="122">
        <f t="shared" si="2"/>
        <v>147</v>
      </c>
      <c r="C25" s="399">
        <f t="shared" si="3"/>
        <v>0.41970238073376864</v>
      </c>
      <c r="D25" s="84">
        <v>0.41970238073376864</v>
      </c>
      <c r="E25" s="298">
        <v>-1</v>
      </c>
      <c r="F25" s="315">
        <v>1</v>
      </c>
      <c r="G25" s="379">
        <v>-1</v>
      </c>
      <c r="H25" s="380">
        <v>0</v>
      </c>
      <c r="I25" s="380">
        <v>1</v>
      </c>
      <c r="J25" s="380">
        <v>-1</v>
      </c>
      <c r="K25" s="380">
        <v>0</v>
      </c>
      <c r="L25" s="380">
        <v>0</v>
      </c>
      <c r="M25" s="380">
        <v>0</v>
      </c>
      <c r="N25" s="380">
        <v>0</v>
      </c>
      <c r="O25" s="303">
        <v>0</v>
      </c>
      <c r="P25" s="19">
        <v>0</v>
      </c>
      <c r="Q25" s="1">
        <v>0.13333333333333333</v>
      </c>
      <c r="R25" s="1">
        <v>0</v>
      </c>
      <c r="S25" s="1">
        <v>0</v>
      </c>
      <c r="T25" s="1">
        <v>0.13333333333333333</v>
      </c>
      <c r="U25" s="1">
        <v>0.1111111111111111</v>
      </c>
      <c r="V25" s="1">
        <v>0.4</v>
      </c>
      <c r="W25" s="1">
        <v>0.1111111111111111</v>
      </c>
      <c r="X25" s="3">
        <v>0.1111111111111111</v>
      </c>
      <c r="Y25" s="2">
        <v>0</v>
      </c>
      <c r="Z25" s="315">
        <f t="shared" si="5"/>
        <v>-1</v>
      </c>
    </row>
    <row r="26" spans="1:26">
      <c r="A26" s="124">
        <f t="shared" si="4"/>
        <v>21</v>
      </c>
      <c r="B26" s="122">
        <f t="shared" si="2"/>
        <v>127</v>
      </c>
      <c r="C26" s="399">
        <f t="shared" si="3"/>
        <v>0.50431326754360484</v>
      </c>
      <c r="D26" s="84">
        <v>0.50431326754360484</v>
      </c>
      <c r="E26" s="298">
        <v>1</v>
      </c>
      <c r="F26" s="315">
        <v>1</v>
      </c>
      <c r="G26" s="379">
        <v>1</v>
      </c>
      <c r="H26" s="380">
        <v>-1</v>
      </c>
      <c r="I26" s="380">
        <v>-1</v>
      </c>
      <c r="J26" s="380">
        <v>1</v>
      </c>
      <c r="K26" s="380">
        <v>0</v>
      </c>
      <c r="L26" s="380">
        <v>0</v>
      </c>
      <c r="M26" s="380">
        <v>0</v>
      </c>
      <c r="N26" s="380">
        <v>0</v>
      </c>
      <c r="O26" s="303">
        <v>0</v>
      </c>
      <c r="P26" s="19">
        <v>0</v>
      </c>
      <c r="Q26" s="1">
        <v>0</v>
      </c>
      <c r="R26" s="1">
        <v>0</v>
      </c>
      <c r="S26" s="1">
        <v>0</v>
      </c>
      <c r="T26" s="1">
        <v>0.10185185185185185</v>
      </c>
      <c r="U26" s="1">
        <v>9.2592592592592587E-3</v>
      </c>
      <c r="V26" s="1">
        <v>0.87037037037037035</v>
      </c>
      <c r="W26" s="1">
        <v>9.2592592592592587E-3</v>
      </c>
      <c r="X26" s="3">
        <v>9.2592592592592587E-3</v>
      </c>
      <c r="Y26" s="2">
        <v>0</v>
      </c>
      <c r="Z26" s="315">
        <f t="shared" si="5"/>
        <v>1</v>
      </c>
    </row>
    <row r="27" spans="1:26">
      <c r="A27" s="124">
        <f t="shared" si="4"/>
        <v>22</v>
      </c>
      <c r="B27" s="122">
        <f t="shared" si="2"/>
        <v>10</v>
      </c>
      <c r="C27" s="399">
        <f t="shared" si="3"/>
        <v>0.94331039156344931</v>
      </c>
      <c r="D27" s="84">
        <v>0.94331039156344931</v>
      </c>
      <c r="E27" s="298">
        <v>1</v>
      </c>
      <c r="F27" s="315">
        <v>1</v>
      </c>
      <c r="G27" s="379">
        <v>0</v>
      </c>
      <c r="H27" s="380">
        <v>0</v>
      </c>
      <c r="I27" s="380">
        <v>0</v>
      </c>
      <c r="J27" s="380">
        <v>0</v>
      </c>
      <c r="K27" s="380">
        <v>0</v>
      </c>
      <c r="L27" s="380">
        <v>0</v>
      </c>
      <c r="M27" s="380">
        <v>0</v>
      </c>
      <c r="N27" s="380">
        <v>0</v>
      </c>
      <c r="O27" s="303">
        <v>0</v>
      </c>
      <c r="P27" s="19">
        <v>0.10638297872340426</v>
      </c>
      <c r="Q27" s="1">
        <v>0.1276595744680851</v>
      </c>
      <c r="R27" s="1">
        <v>8.5106382978723402E-2</v>
      </c>
      <c r="S27" s="1">
        <v>0.1276595744680851</v>
      </c>
      <c r="T27" s="1">
        <v>0.10638297872340426</v>
      </c>
      <c r="U27" s="1">
        <v>0.10638297872340426</v>
      </c>
      <c r="V27" s="1">
        <v>0.10638297872340426</v>
      </c>
      <c r="W27" s="1">
        <v>0.10638297872340426</v>
      </c>
      <c r="X27" s="3">
        <v>0.1276595744680851</v>
      </c>
      <c r="Y27" s="2">
        <v>0</v>
      </c>
      <c r="Z27" s="315">
        <f t="shared" si="5"/>
        <v>1</v>
      </c>
    </row>
    <row r="28" spans="1:26">
      <c r="A28" s="124">
        <f t="shared" si="4"/>
        <v>23</v>
      </c>
      <c r="B28" s="122">
        <f t="shared" si="2"/>
        <v>163</v>
      </c>
      <c r="C28" s="399">
        <f t="shared" si="3"/>
        <v>0.35493199458605162</v>
      </c>
      <c r="D28" s="84">
        <v>0.35493199458605162</v>
      </c>
      <c r="E28" s="298">
        <v>-1</v>
      </c>
      <c r="F28" s="315">
        <v>1</v>
      </c>
      <c r="G28" s="379">
        <v>0</v>
      </c>
      <c r="H28" s="380">
        <v>0</v>
      </c>
      <c r="I28" s="380">
        <v>0</v>
      </c>
      <c r="J28" s="380">
        <v>0</v>
      </c>
      <c r="K28" s="380">
        <v>0</v>
      </c>
      <c r="L28" s="380">
        <v>0</v>
      </c>
      <c r="M28" s="380">
        <v>0</v>
      </c>
      <c r="N28" s="380">
        <v>0</v>
      </c>
      <c r="O28" s="303">
        <v>-1</v>
      </c>
      <c r="P28" s="19">
        <v>0.1276595744680851</v>
      </c>
      <c r="Q28" s="1">
        <v>0.1276595744680851</v>
      </c>
      <c r="R28" s="1">
        <v>8.5106382978723402E-2</v>
      </c>
      <c r="S28" s="1">
        <v>0.1276595744680851</v>
      </c>
      <c r="T28" s="1">
        <v>0.1276595744680851</v>
      </c>
      <c r="U28" s="1">
        <v>0.1276595744680851</v>
      </c>
      <c r="V28" s="1">
        <v>0.1276595744680851</v>
      </c>
      <c r="W28" s="1">
        <v>0.14893617021276595</v>
      </c>
      <c r="X28" s="3">
        <v>0</v>
      </c>
      <c r="Y28" s="2">
        <v>0</v>
      </c>
      <c r="Z28" s="315">
        <f t="shared" si="5"/>
        <v>-1</v>
      </c>
    </row>
    <row r="29" spans="1:26">
      <c r="A29" s="124">
        <f t="shared" si="4"/>
        <v>24</v>
      </c>
      <c r="B29" s="122">
        <f t="shared" si="2"/>
        <v>240</v>
      </c>
      <c r="C29" s="399">
        <f t="shared" si="3"/>
        <v>7.2793474471514075E-2</v>
      </c>
      <c r="D29" s="84">
        <v>7.2793474471514075E-2</v>
      </c>
      <c r="E29" s="298">
        <v>1</v>
      </c>
      <c r="F29" s="315">
        <v>1</v>
      </c>
      <c r="G29" s="379">
        <v>0</v>
      </c>
      <c r="H29" s="380">
        <v>-1</v>
      </c>
      <c r="I29" s="380">
        <v>0</v>
      </c>
      <c r="J29" s="380">
        <v>0</v>
      </c>
      <c r="K29" s="380">
        <v>0</v>
      </c>
      <c r="L29" s="380">
        <v>0</v>
      </c>
      <c r="M29" s="380">
        <v>0</v>
      </c>
      <c r="N29" s="380">
        <v>0</v>
      </c>
      <c r="O29" s="303">
        <v>1</v>
      </c>
      <c r="P29" s="19">
        <v>0.11363636363636363</v>
      </c>
      <c r="Q29" s="1">
        <v>0</v>
      </c>
      <c r="R29" s="1">
        <v>6.8181818181818177E-2</v>
      </c>
      <c r="S29" s="1">
        <v>0.13636363636363635</v>
      </c>
      <c r="T29" s="1">
        <v>0.27272727272727271</v>
      </c>
      <c r="U29" s="1">
        <v>0.22727272727272727</v>
      </c>
      <c r="V29" s="1">
        <v>9.0909090909090912E-2</v>
      </c>
      <c r="W29" s="1">
        <v>9.0909090909090912E-2</v>
      </c>
      <c r="X29" s="3">
        <v>0</v>
      </c>
      <c r="Y29" s="2">
        <v>0</v>
      </c>
      <c r="Z29" s="315">
        <f t="shared" si="5"/>
        <v>1</v>
      </c>
    </row>
    <row r="30" spans="1:26">
      <c r="A30" s="124">
        <f t="shared" si="4"/>
        <v>25</v>
      </c>
      <c r="B30" s="122">
        <f t="shared" si="2"/>
        <v>116</v>
      </c>
      <c r="C30" s="399">
        <f t="shared" si="3"/>
        <v>0.54723127290422713</v>
      </c>
      <c r="D30" s="84">
        <v>0.54723127290422713</v>
      </c>
      <c r="E30" s="298">
        <v>-1</v>
      </c>
      <c r="F30" s="315">
        <v>1</v>
      </c>
      <c r="G30" s="379">
        <v>0</v>
      </c>
      <c r="H30" s="380">
        <v>1</v>
      </c>
      <c r="I30" s="380">
        <v>0</v>
      </c>
      <c r="J30" s="380">
        <v>0</v>
      </c>
      <c r="K30" s="380">
        <v>-1</v>
      </c>
      <c r="L30" s="380">
        <v>0</v>
      </c>
      <c r="M30" s="380">
        <v>0</v>
      </c>
      <c r="N30" s="380">
        <v>0</v>
      </c>
      <c r="O30" s="303">
        <v>-1</v>
      </c>
      <c r="P30" s="19">
        <v>0.86111111111111116</v>
      </c>
      <c r="Q30" s="1">
        <v>0</v>
      </c>
      <c r="R30" s="1">
        <v>2.7777777777777776E-2</v>
      </c>
      <c r="S30" s="1">
        <v>2.7777777777777776E-2</v>
      </c>
      <c r="T30" s="1">
        <v>0</v>
      </c>
      <c r="U30" s="1">
        <v>2.7777777777777776E-2</v>
      </c>
      <c r="V30" s="1">
        <v>2.7777777777777776E-2</v>
      </c>
      <c r="W30" s="1">
        <v>2.7777777777777776E-2</v>
      </c>
      <c r="X30" s="3">
        <v>0</v>
      </c>
      <c r="Y30" s="2">
        <v>0</v>
      </c>
      <c r="Z30" s="315">
        <f t="shared" si="5"/>
        <v>-1</v>
      </c>
    </row>
    <row r="31" spans="1:26">
      <c r="A31" s="124">
        <f t="shared" si="4"/>
        <v>26</v>
      </c>
      <c r="B31" s="122">
        <f t="shared" si="2"/>
        <v>81</v>
      </c>
      <c r="C31" s="399">
        <f t="shared" si="3"/>
        <v>0.67239714609967549</v>
      </c>
      <c r="D31" s="84">
        <v>0.67239714609967549</v>
      </c>
      <c r="E31" s="298">
        <v>1</v>
      </c>
      <c r="F31" s="315">
        <v>1</v>
      </c>
      <c r="G31" s="379">
        <v>0</v>
      </c>
      <c r="H31" s="380">
        <v>-1</v>
      </c>
      <c r="I31" s="380">
        <v>0</v>
      </c>
      <c r="J31" s="380">
        <v>0</v>
      </c>
      <c r="K31" s="380">
        <v>1</v>
      </c>
      <c r="L31" s="380">
        <v>0</v>
      </c>
      <c r="M31" s="380">
        <v>-1</v>
      </c>
      <c r="N31" s="380">
        <v>0</v>
      </c>
      <c r="O31" s="303">
        <v>1</v>
      </c>
      <c r="P31" s="19">
        <v>0.74725274725274726</v>
      </c>
      <c r="Q31" s="1">
        <v>0</v>
      </c>
      <c r="R31" s="1">
        <v>1.098901098901099E-2</v>
      </c>
      <c r="S31" s="1">
        <v>2.197802197802198E-2</v>
      </c>
      <c r="T31" s="1">
        <v>0</v>
      </c>
      <c r="U31" s="1">
        <v>0.19780219780219779</v>
      </c>
      <c r="V31" s="1">
        <v>0</v>
      </c>
      <c r="W31" s="1">
        <v>2.197802197802198E-2</v>
      </c>
      <c r="X31" s="3">
        <v>0</v>
      </c>
      <c r="Y31" s="2">
        <v>0</v>
      </c>
      <c r="Z31" s="315">
        <f t="shared" si="5"/>
        <v>1</v>
      </c>
    </row>
    <row r="32" spans="1:26">
      <c r="A32" s="124">
        <f t="shared" si="4"/>
        <v>27</v>
      </c>
      <c r="B32" s="122">
        <f t="shared" si="2"/>
        <v>21</v>
      </c>
      <c r="C32" s="399">
        <f t="shared" si="3"/>
        <v>0.92290613720264936</v>
      </c>
      <c r="D32" s="84">
        <v>0.92290613720264936</v>
      </c>
      <c r="E32" s="298">
        <v>1</v>
      </c>
      <c r="F32" s="315">
        <v>-1</v>
      </c>
      <c r="G32" s="379">
        <v>0</v>
      </c>
      <c r="H32" s="380">
        <v>0</v>
      </c>
      <c r="I32" s="380">
        <v>0</v>
      </c>
      <c r="J32" s="380">
        <v>0</v>
      </c>
      <c r="K32" s="380">
        <v>0</v>
      </c>
      <c r="L32" s="380">
        <v>0</v>
      </c>
      <c r="M32" s="380">
        <v>0</v>
      </c>
      <c r="N32" s="380">
        <v>0</v>
      </c>
      <c r="O32" s="303">
        <v>0</v>
      </c>
      <c r="P32" s="19">
        <v>0.10638297872340426</v>
      </c>
      <c r="Q32" s="1">
        <v>0.10638297872340426</v>
      </c>
      <c r="R32" s="1">
        <v>8.5106382978723402E-2</v>
      </c>
      <c r="S32" s="1">
        <v>0.10638297872340426</v>
      </c>
      <c r="T32" s="1">
        <v>0.10638297872340426</v>
      </c>
      <c r="U32" s="1">
        <v>0.1276595744680851</v>
      </c>
      <c r="V32" s="1">
        <v>0.10638297872340426</v>
      </c>
      <c r="W32" s="1">
        <v>0.1276595744680851</v>
      </c>
      <c r="X32" s="3">
        <v>0.1276595744680851</v>
      </c>
      <c r="Y32" s="2">
        <v>0</v>
      </c>
      <c r="Z32" s="315">
        <f t="shared" si="5"/>
        <v>-1</v>
      </c>
    </row>
    <row r="33" spans="1:26">
      <c r="A33" s="124">
        <f t="shared" si="4"/>
        <v>28</v>
      </c>
      <c r="B33" s="122">
        <f t="shared" si="2"/>
        <v>115</v>
      </c>
      <c r="C33" s="399">
        <f t="shared" si="3"/>
        <v>0.55382682539583683</v>
      </c>
      <c r="D33" s="84">
        <v>0.55382682539583683</v>
      </c>
      <c r="E33" s="298">
        <v>-1</v>
      </c>
      <c r="F33" s="315">
        <v>-1</v>
      </c>
      <c r="G33" s="379">
        <v>0</v>
      </c>
      <c r="H33" s="380">
        <v>0</v>
      </c>
      <c r="I33" s="380">
        <v>0</v>
      </c>
      <c r="J33" s="380">
        <v>0</v>
      </c>
      <c r="K33" s="380">
        <v>0</v>
      </c>
      <c r="L33" s="380">
        <v>-1</v>
      </c>
      <c r="M33" s="380">
        <v>0</v>
      </c>
      <c r="N33" s="380">
        <v>0</v>
      </c>
      <c r="O33" s="303">
        <v>0</v>
      </c>
      <c r="P33" s="19">
        <v>0.1276595744680851</v>
      </c>
      <c r="Q33" s="1">
        <v>0.1276595744680851</v>
      </c>
      <c r="R33" s="1">
        <v>8.5106382978723402E-2</v>
      </c>
      <c r="S33" s="1">
        <v>0.1276595744680851</v>
      </c>
      <c r="T33" s="1">
        <v>0.1276595744680851</v>
      </c>
      <c r="U33" s="1">
        <v>0</v>
      </c>
      <c r="V33" s="1">
        <v>0.1276595744680851</v>
      </c>
      <c r="W33" s="1">
        <v>0.14893617021276595</v>
      </c>
      <c r="X33" s="3">
        <v>0.1276595744680851</v>
      </c>
      <c r="Y33" s="2">
        <v>0</v>
      </c>
      <c r="Z33" s="315">
        <f t="shared" si="5"/>
        <v>1</v>
      </c>
    </row>
    <row r="34" spans="1:26">
      <c r="A34" s="124">
        <f t="shared" si="4"/>
        <v>29</v>
      </c>
      <c r="B34" s="122">
        <f t="shared" si="2"/>
        <v>177</v>
      </c>
      <c r="C34" s="399">
        <f t="shared" si="3"/>
        <v>0.29062658701853106</v>
      </c>
      <c r="D34" s="84">
        <v>0.29062658701853106</v>
      </c>
      <c r="E34" s="298">
        <v>1</v>
      </c>
      <c r="F34" s="315">
        <v>-1</v>
      </c>
      <c r="G34" s="379">
        <v>0</v>
      </c>
      <c r="H34" s="380">
        <v>0</v>
      </c>
      <c r="I34" s="380">
        <v>0</v>
      </c>
      <c r="J34" s="380">
        <v>0</v>
      </c>
      <c r="K34" s="380">
        <v>0</v>
      </c>
      <c r="L34" s="380">
        <v>1</v>
      </c>
      <c r="M34" s="380">
        <v>0</v>
      </c>
      <c r="N34" s="380">
        <v>0</v>
      </c>
      <c r="O34" s="303">
        <v>-1</v>
      </c>
      <c r="P34" s="19">
        <v>0.15217391304347827</v>
      </c>
      <c r="Q34" s="1">
        <v>0.13043478260869565</v>
      </c>
      <c r="R34" s="1">
        <v>0.10869565217391304</v>
      </c>
      <c r="S34" s="1">
        <v>0.17391304347826086</v>
      </c>
      <c r="T34" s="1">
        <v>0.13043478260869565</v>
      </c>
      <c r="U34" s="1">
        <v>0</v>
      </c>
      <c r="V34" s="1">
        <v>0.15217391304347827</v>
      </c>
      <c r="W34" s="1">
        <v>0.15217391304347827</v>
      </c>
      <c r="X34" s="3">
        <v>0</v>
      </c>
      <c r="Y34" s="2">
        <v>0</v>
      </c>
      <c r="Z34" s="315">
        <f t="shared" si="5"/>
        <v>-1</v>
      </c>
    </row>
    <row r="35" spans="1:26">
      <c r="A35" s="124">
        <f t="shared" si="4"/>
        <v>30</v>
      </c>
      <c r="B35" s="122">
        <f t="shared" si="2"/>
        <v>3</v>
      </c>
      <c r="C35" s="399">
        <f t="shared" si="3"/>
        <v>0.98561242940198457</v>
      </c>
      <c r="D35" s="84">
        <v>0.98561242940198457</v>
      </c>
      <c r="E35" s="298">
        <v>-1</v>
      </c>
      <c r="F35" s="315">
        <v>-1</v>
      </c>
      <c r="G35" s="379">
        <v>0</v>
      </c>
      <c r="H35" s="380">
        <v>0</v>
      </c>
      <c r="I35" s="380">
        <v>-1</v>
      </c>
      <c r="J35" s="380">
        <v>0</v>
      </c>
      <c r="K35" s="380">
        <v>0</v>
      </c>
      <c r="L35" s="380">
        <v>-1</v>
      </c>
      <c r="M35" s="380">
        <v>0</v>
      </c>
      <c r="N35" s="380">
        <v>0</v>
      </c>
      <c r="O35" s="303">
        <v>1</v>
      </c>
      <c r="P35" s="19">
        <v>0.13953488372093023</v>
      </c>
      <c r="Q35" s="1">
        <v>0.13953488372093023</v>
      </c>
      <c r="R35" s="1">
        <v>0</v>
      </c>
      <c r="S35" s="1">
        <v>0.13953488372093023</v>
      </c>
      <c r="T35" s="1">
        <v>0.30232558139534882</v>
      </c>
      <c r="U35" s="1">
        <v>0</v>
      </c>
      <c r="V35" s="1">
        <v>0.11627906976744186</v>
      </c>
      <c r="W35" s="1">
        <v>0.16279069767441862</v>
      </c>
      <c r="X35" s="3">
        <v>0</v>
      </c>
      <c r="Y35" s="2">
        <v>0</v>
      </c>
      <c r="Z35" s="315">
        <f t="shared" si="5"/>
        <v>1</v>
      </c>
    </row>
    <row r="36" spans="1:26">
      <c r="A36" s="124">
        <f t="shared" si="4"/>
        <v>31</v>
      </c>
      <c r="B36" s="122">
        <f t="shared" si="2"/>
        <v>136</v>
      </c>
      <c r="C36" s="399">
        <f t="shared" si="3"/>
        <v>0.49126637796653028</v>
      </c>
      <c r="D36" s="84">
        <v>0.49126637796653028</v>
      </c>
      <c r="E36" s="298">
        <v>1</v>
      </c>
      <c r="F36" s="315">
        <v>-1</v>
      </c>
      <c r="G36" s="379">
        <v>-1</v>
      </c>
      <c r="H36" s="380">
        <v>0</v>
      </c>
      <c r="I36" s="380">
        <v>1</v>
      </c>
      <c r="J36" s="380">
        <v>0</v>
      </c>
      <c r="K36" s="380">
        <v>0</v>
      </c>
      <c r="L36" s="380">
        <v>1</v>
      </c>
      <c r="M36" s="380">
        <v>0</v>
      </c>
      <c r="N36" s="380">
        <v>0</v>
      </c>
      <c r="O36" s="303">
        <v>-1</v>
      </c>
      <c r="P36" s="19">
        <v>0</v>
      </c>
      <c r="Q36" s="1">
        <v>0.10869565217391304</v>
      </c>
      <c r="R36" s="1">
        <v>0</v>
      </c>
      <c r="S36" s="1">
        <v>0.13043478260869565</v>
      </c>
      <c r="T36" s="1">
        <v>0.54347826086956519</v>
      </c>
      <c r="U36" s="1">
        <v>0</v>
      </c>
      <c r="V36" s="1">
        <v>0.10869565217391304</v>
      </c>
      <c r="W36" s="1">
        <v>0.10869565217391304</v>
      </c>
      <c r="X36" s="3">
        <v>0</v>
      </c>
      <c r="Y36" s="2">
        <v>0</v>
      </c>
      <c r="Z36" s="315">
        <f t="shared" si="5"/>
        <v>-1</v>
      </c>
    </row>
    <row r="37" spans="1:26">
      <c r="A37" s="124">
        <f t="shared" si="4"/>
        <v>32</v>
      </c>
      <c r="B37" s="122">
        <f t="shared" si="2"/>
        <v>62</v>
      </c>
      <c r="C37" s="399">
        <f t="shared" si="3"/>
        <v>0.73914715694079702</v>
      </c>
      <c r="D37" s="84">
        <v>0.73914715694079702</v>
      </c>
      <c r="E37" s="298">
        <v>-1</v>
      </c>
      <c r="F37" s="315">
        <v>-1</v>
      </c>
      <c r="G37" s="379">
        <v>1</v>
      </c>
      <c r="H37" s="380">
        <v>0</v>
      </c>
      <c r="I37" s="380">
        <v>-1</v>
      </c>
      <c r="J37" s="380">
        <v>0</v>
      </c>
      <c r="K37" s="380">
        <v>0</v>
      </c>
      <c r="L37" s="380">
        <v>-1</v>
      </c>
      <c r="M37" s="380">
        <v>-1</v>
      </c>
      <c r="N37" s="380">
        <v>0</v>
      </c>
      <c r="O37" s="303">
        <v>1</v>
      </c>
      <c r="P37" s="19">
        <v>0</v>
      </c>
      <c r="Q37" s="1">
        <v>3.4188034188034191E-2</v>
      </c>
      <c r="R37" s="1">
        <v>0</v>
      </c>
      <c r="S37" s="1">
        <v>3.4188034188034191E-2</v>
      </c>
      <c r="T37" s="1">
        <v>0.90598290598290598</v>
      </c>
      <c r="U37" s="1">
        <v>0</v>
      </c>
      <c r="V37" s="1">
        <v>0</v>
      </c>
      <c r="W37" s="1">
        <v>2.564102564102564E-2</v>
      </c>
      <c r="X37" s="3">
        <v>0</v>
      </c>
      <c r="Y37" s="2">
        <v>0</v>
      </c>
      <c r="Z37" s="315">
        <f t="shared" si="5"/>
        <v>1</v>
      </c>
    </row>
    <row r="38" spans="1:26">
      <c r="A38" s="124">
        <f t="shared" si="4"/>
        <v>33</v>
      </c>
      <c r="B38" s="122">
        <f t="shared" si="2"/>
        <v>170</v>
      </c>
      <c r="C38" s="399">
        <f t="shared" si="3"/>
        <v>0.31312066811064443</v>
      </c>
      <c r="D38" s="84">
        <v>0.31312066811064443</v>
      </c>
      <c r="E38" s="298">
        <v>1</v>
      </c>
      <c r="F38" s="315">
        <v>1</v>
      </c>
      <c r="G38" s="379">
        <v>0</v>
      </c>
      <c r="H38" s="380">
        <v>0</v>
      </c>
      <c r="I38" s="380">
        <v>0</v>
      </c>
      <c r="J38" s="380">
        <v>0</v>
      </c>
      <c r="K38" s="380">
        <v>0</v>
      </c>
      <c r="L38" s="380">
        <v>0</v>
      </c>
      <c r="M38" s="380">
        <v>0</v>
      </c>
      <c r="N38" s="380">
        <v>0</v>
      </c>
      <c r="O38" s="303">
        <v>0</v>
      </c>
      <c r="P38" s="19">
        <v>0.10638297872340426</v>
      </c>
      <c r="Q38" s="1">
        <v>0.10638297872340426</v>
      </c>
      <c r="R38" s="1">
        <v>8.5106382978723402E-2</v>
      </c>
      <c r="S38" s="1">
        <v>0.1276595744680851</v>
      </c>
      <c r="T38" s="1">
        <v>0.10638297872340426</v>
      </c>
      <c r="U38" s="1">
        <v>0.10638297872340426</v>
      </c>
      <c r="V38" s="1">
        <v>0.10638297872340426</v>
      </c>
      <c r="W38" s="1">
        <v>0.1276595744680851</v>
      </c>
      <c r="X38" s="3">
        <v>0.1276595744680851</v>
      </c>
      <c r="Y38" s="2">
        <v>0</v>
      </c>
      <c r="Z38" s="315">
        <f t="shared" si="5"/>
        <v>1</v>
      </c>
    </row>
    <row r="39" spans="1:26">
      <c r="A39" s="124">
        <f t="shared" si="4"/>
        <v>34</v>
      </c>
      <c r="B39" s="122">
        <f t="shared" si="2"/>
        <v>125</v>
      </c>
      <c r="C39" s="399">
        <f t="shared" si="3"/>
        <v>0.51172021804621781</v>
      </c>
      <c r="D39" s="84">
        <v>0.51172021804621781</v>
      </c>
      <c r="E39" s="298">
        <v>-1</v>
      </c>
      <c r="F39" s="315">
        <v>1</v>
      </c>
      <c r="G39" s="379">
        <v>0</v>
      </c>
      <c r="H39" s="380">
        <v>0</v>
      </c>
      <c r="I39" s="380">
        <v>0</v>
      </c>
      <c r="J39" s="380">
        <v>0</v>
      </c>
      <c r="K39" s="380">
        <v>0</v>
      </c>
      <c r="L39" s="380">
        <v>0</v>
      </c>
      <c r="M39" s="380">
        <v>-1</v>
      </c>
      <c r="N39" s="380">
        <v>0</v>
      </c>
      <c r="O39" s="303">
        <v>0</v>
      </c>
      <c r="P39" s="19">
        <v>0.1276595744680851</v>
      </c>
      <c r="Q39" s="1">
        <v>0.1276595744680851</v>
      </c>
      <c r="R39" s="1">
        <v>8.5106382978723402E-2</v>
      </c>
      <c r="S39" s="1">
        <v>0.1276595744680851</v>
      </c>
      <c r="T39" s="1">
        <v>0.1276595744680851</v>
      </c>
      <c r="U39" s="1">
        <v>0.1276595744680851</v>
      </c>
      <c r="V39" s="1">
        <v>0</v>
      </c>
      <c r="W39" s="1">
        <v>0.1276595744680851</v>
      </c>
      <c r="X39" s="3">
        <v>0.14893617021276595</v>
      </c>
      <c r="Y39" s="2">
        <v>0</v>
      </c>
      <c r="Z39" s="315">
        <f t="shared" si="5"/>
        <v>-1</v>
      </c>
    </row>
    <row r="40" spans="1:26">
      <c r="A40" s="124">
        <f t="shared" si="4"/>
        <v>35</v>
      </c>
      <c r="B40" s="122">
        <f t="shared" si="2"/>
        <v>12</v>
      </c>
      <c r="C40" s="399">
        <f t="shared" si="3"/>
        <v>0.93927618663902768</v>
      </c>
      <c r="D40" s="84">
        <v>0.93927618663902768</v>
      </c>
      <c r="E40" s="298">
        <v>1</v>
      </c>
      <c r="F40" s="315">
        <v>1</v>
      </c>
      <c r="G40" s="379">
        <v>0</v>
      </c>
      <c r="H40" s="380">
        <v>-1</v>
      </c>
      <c r="I40" s="380">
        <v>0</v>
      </c>
      <c r="J40" s="380">
        <v>0</v>
      </c>
      <c r="K40" s="380">
        <v>0</v>
      </c>
      <c r="L40" s="380">
        <v>0</v>
      </c>
      <c r="M40" s="380">
        <v>1</v>
      </c>
      <c r="N40" s="380">
        <v>0</v>
      </c>
      <c r="O40" s="303">
        <v>0</v>
      </c>
      <c r="P40" s="19">
        <v>0.20454545454545456</v>
      </c>
      <c r="Q40" s="1">
        <v>0</v>
      </c>
      <c r="R40" s="1">
        <v>6.8181818181818177E-2</v>
      </c>
      <c r="S40" s="1">
        <v>0.27272727272727271</v>
      </c>
      <c r="T40" s="1">
        <v>0.18181818181818182</v>
      </c>
      <c r="U40" s="1">
        <v>9.0909090909090912E-2</v>
      </c>
      <c r="V40" s="1">
        <v>0</v>
      </c>
      <c r="W40" s="1">
        <v>9.0909090909090912E-2</v>
      </c>
      <c r="X40" s="3">
        <v>9.0909090909090912E-2</v>
      </c>
      <c r="Y40" s="2">
        <v>0</v>
      </c>
      <c r="Z40" s="315">
        <f t="shared" si="5"/>
        <v>1</v>
      </c>
    </row>
    <row r="41" spans="1:26">
      <c r="A41" s="124">
        <f t="shared" si="4"/>
        <v>36</v>
      </c>
      <c r="B41" s="122">
        <f t="shared" si="2"/>
        <v>243</v>
      </c>
      <c r="C41" s="399">
        <f t="shared" si="3"/>
        <v>6.0289127521070185E-2</v>
      </c>
      <c r="D41" s="84">
        <v>6.0289127521070185E-2</v>
      </c>
      <c r="E41" s="298">
        <v>-1</v>
      </c>
      <c r="F41" s="315">
        <v>1</v>
      </c>
      <c r="G41" s="379">
        <v>0</v>
      </c>
      <c r="H41" s="380">
        <v>1</v>
      </c>
      <c r="I41" s="380">
        <v>0</v>
      </c>
      <c r="J41" s="380">
        <v>-1</v>
      </c>
      <c r="K41" s="380">
        <v>0</v>
      </c>
      <c r="L41" s="380">
        <v>0</v>
      </c>
      <c r="M41" s="380">
        <v>-1</v>
      </c>
      <c r="N41" s="380">
        <v>0</v>
      </c>
      <c r="O41" s="303">
        <v>0</v>
      </c>
      <c r="P41" s="19">
        <v>0.84375</v>
      </c>
      <c r="Q41" s="1">
        <v>0</v>
      </c>
      <c r="R41" s="1">
        <v>3.125E-2</v>
      </c>
      <c r="S41" s="1">
        <v>0</v>
      </c>
      <c r="T41" s="1">
        <v>3.125E-2</v>
      </c>
      <c r="U41" s="1">
        <v>3.125E-2</v>
      </c>
      <c r="V41" s="1">
        <v>0</v>
      </c>
      <c r="W41" s="1">
        <v>3.125E-2</v>
      </c>
      <c r="X41" s="3">
        <v>3.125E-2</v>
      </c>
      <c r="Y41" s="2">
        <v>0</v>
      </c>
      <c r="Z41" s="315">
        <f t="shared" si="5"/>
        <v>-1</v>
      </c>
    </row>
    <row r="42" spans="1:26">
      <c r="A42" s="124">
        <f t="shared" si="4"/>
        <v>37</v>
      </c>
      <c r="B42" s="122">
        <f t="shared" si="2"/>
        <v>172</v>
      </c>
      <c r="C42" s="399">
        <f t="shared" si="3"/>
        <v>0.30589180098480107</v>
      </c>
      <c r="D42" s="84">
        <v>0.30589180098480107</v>
      </c>
      <c r="E42" s="298">
        <v>1</v>
      </c>
      <c r="F42" s="315">
        <v>1</v>
      </c>
      <c r="G42" s="379">
        <v>0</v>
      </c>
      <c r="H42" s="380">
        <v>-1</v>
      </c>
      <c r="I42" s="380">
        <v>-1</v>
      </c>
      <c r="J42" s="380">
        <v>1</v>
      </c>
      <c r="K42" s="380">
        <v>0</v>
      </c>
      <c r="L42" s="380">
        <v>0</v>
      </c>
      <c r="M42" s="380">
        <v>1</v>
      </c>
      <c r="N42" s="380">
        <v>0</v>
      </c>
      <c r="O42" s="303">
        <v>0</v>
      </c>
      <c r="P42" s="19">
        <v>0.96923076923076923</v>
      </c>
      <c r="Q42" s="1">
        <v>0</v>
      </c>
      <c r="R42" s="1">
        <v>0</v>
      </c>
      <c r="S42" s="1">
        <v>0</v>
      </c>
      <c r="T42" s="1">
        <v>7.6923076923076927E-3</v>
      </c>
      <c r="U42" s="1">
        <v>7.6923076923076927E-3</v>
      </c>
      <c r="V42" s="1">
        <v>0</v>
      </c>
      <c r="W42" s="1">
        <v>7.6923076923076927E-3</v>
      </c>
      <c r="X42" s="3">
        <v>7.6923076923076927E-3</v>
      </c>
      <c r="Y42" s="2">
        <v>0</v>
      </c>
      <c r="Z42" s="315">
        <f t="shared" si="5"/>
        <v>1</v>
      </c>
    </row>
    <row r="43" spans="1:26">
      <c r="A43" s="124">
        <f t="shared" si="4"/>
        <v>38</v>
      </c>
      <c r="B43" s="122">
        <f t="shared" si="2"/>
        <v>22</v>
      </c>
      <c r="C43" s="399">
        <f t="shared" si="3"/>
        <v>0.90508176612658231</v>
      </c>
      <c r="D43" s="84">
        <v>0.90508176612658231</v>
      </c>
      <c r="E43" s="298">
        <v>1</v>
      </c>
      <c r="F43" s="315">
        <v>1</v>
      </c>
      <c r="G43" s="379">
        <v>0</v>
      </c>
      <c r="H43" s="380">
        <v>0</v>
      </c>
      <c r="I43" s="380">
        <v>0</v>
      </c>
      <c r="J43" s="380">
        <v>0</v>
      </c>
      <c r="K43" s="380">
        <v>0</v>
      </c>
      <c r="L43" s="380">
        <v>0</v>
      </c>
      <c r="M43" s="380">
        <v>0</v>
      </c>
      <c r="N43" s="380">
        <v>0</v>
      </c>
      <c r="O43" s="303">
        <v>0</v>
      </c>
      <c r="P43" s="19">
        <v>0.1276595744680851</v>
      </c>
      <c r="Q43" s="1">
        <v>0.1276595744680851</v>
      </c>
      <c r="R43" s="1">
        <v>8.5106382978723402E-2</v>
      </c>
      <c r="S43" s="1">
        <v>0.10638297872340426</v>
      </c>
      <c r="T43" s="1">
        <v>0.10638297872340426</v>
      </c>
      <c r="U43" s="1">
        <v>0.10638297872340426</v>
      </c>
      <c r="V43" s="1">
        <v>0.10638297872340426</v>
      </c>
      <c r="W43" s="1">
        <v>0.10638297872340426</v>
      </c>
      <c r="X43" s="3">
        <v>0.1276595744680851</v>
      </c>
      <c r="Y43" s="2">
        <v>0</v>
      </c>
      <c r="Z43" s="315">
        <f t="shared" si="5"/>
        <v>1</v>
      </c>
    </row>
    <row r="44" spans="1:26">
      <c r="A44" s="124">
        <f t="shared" si="4"/>
        <v>39</v>
      </c>
      <c r="B44" s="122">
        <f t="shared" si="2"/>
        <v>227</v>
      </c>
      <c r="C44" s="399">
        <f t="shared" si="3"/>
        <v>0.10601892673134472</v>
      </c>
      <c r="D44" s="84">
        <v>0.10601892673134472</v>
      </c>
      <c r="E44" s="298">
        <v>-1</v>
      </c>
      <c r="F44" s="315">
        <v>1</v>
      </c>
      <c r="G44" s="379">
        <v>0</v>
      </c>
      <c r="H44" s="380">
        <v>0</v>
      </c>
      <c r="I44" s="380">
        <v>0</v>
      </c>
      <c r="J44" s="380">
        <v>-1</v>
      </c>
      <c r="K44" s="380">
        <v>0</v>
      </c>
      <c r="L44" s="380">
        <v>0</v>
      </c>
      <c r="M44" s="380">
        <v>0</v>
      </c>
      <c r="N44" s="380">
        <v>0</v>
      </c>
      <c r="O44" s="303">
        <v>0</v>
      </c>
      <c r="P44" s="19">
        <v>0.1276595744680851</v>
      </c>
      <c r="Q44" s="1">
        <v>0.14893617021276595</v>
      </c>
      <c r="R44" s="1">
        <v>0.10638297872340426</v>
      </c>
      <c r="S44" s="1">
        <v>0</v>
      </c>
      <c r="T44" s="1">
        <v>0.10638297872340426</v>
      </c>
      <c r="U44" s="1">
        <v>0.1276595744680851</v>
      </c>
      <c r="V44" s="1">
        <v>0.1276595744680851</v>
      </c>
      <c r="W44" s="1">
        <v>0.1276595744680851</v>
      </c>
      <c r="X44" s="3">
        <v>0.1276595744680851</v>
      </c>
      <c r="Y44" s="2">
        <v>0</v>
      </c>
      <c r="Z44" s="315">
        <f t="shared" si="5"/>
        <v>-1</v>
      </c>
    </row>
    <row r="45" spans="1:26">
      <c r="A45" s="124">
        <f t="shared" si="4"/>
        <v>40</v>
      </c>
      <c r="B45" s="122">
        <f t="shared" si="2"/>
        <v>223</v>
      </c>
      <c r="C45" s="399">
        <f t="shared" si="3"/>
        <v>0.12863565986682068</v>
      </c>
      <c r="D45" s="84">
        <v>0.12863565986682068</v>
      </c>
      <c r="E45" s="298">
        <v>1</v>
      </c>
      <c r="F45" s="315">
        <v>1</v>
      </c>
      <c r="G45" s="379">
        <v>0</v>
      </c>
      <c r="H45" s="380">
        <v>0</v>
      </c>
      <c r="I45" s="380">
        <v>0</v>
      </c>
      <c r="J45" s="380">
        <v>1</v>
      </c>
      <c r="K45" s="380">
        <v>0</v>
      </c>
      <c r="L45" s="380">
        <v>-1</v>
      </c>
      <c r="M45" s="380">
        <v>0</v>
      </c>
      <c r="N45" s="380">
        <v>0</v>
      </c>
      <c r="O45" s="303">
        <v>0</v>
      </c>
      <c r="P45" s="19">
        <v>7.8947368421052627E-2</v>
      </c>
      <c r="Q45" s="1">
        <v>7.8947368421052627E-2</v>
      </c>
      <c r="R45" s="1">
        <v>5.2631578947368418E-2</v>
      </c>
      <c r="S45" s="1">
        <v>0</v>
      </c>
      <c r="T45" s="1">
        <v>7.8947368421052627E-2</v>
      </c>
      <c r="U45" s="1">
        <v>0</v>
      </c>
      <c r="V45" s="1">
        <v>0.55263157894736847</v>
      </c>
      <c r="W45" s="1">
        <v>7.8947368421052627E-2</v>
      </c>
      <c r="X45" s="3">
        <v>7.8947368421052627E-2</v>
      </c>
      <c r="Y45" s="2">
        <v>0</v>
      </c>
      <c r="Z45" s="315">
        <f t="shared" si="5"/>
        <v>1</v>
      </c>
    </row>
    <row r="46" spans="1:26">
      <c r="A46" s="124">
        <f t="shared" si="4"/>
        <v>41</v>
      </c>
      <c r="B46" s="122">
        <f t="shared" si="2"/>
        <v>171</v>
      </c>
      <c r="C46" s="399">
        <f t="shared" si="3"/>
        <v>0.30878534060108875</v>
      </c>
      <c r="D46" s="84">
        <v>0.30878534060108875</v>
      </c>
      <c r="E46" s="298">
        <v>-1</v>
      </c>
      <c r="F46" s="315">
        <v>1</v>
      </c>
      <c r="G46" s="379">
        <v>0</v>
      </c>
      <c r="H46" s="380">
        <v>0</v>
      </c>
      <c r="I46" s="380">
        <v>0</v>
      </c>
      <c r="J46" s="380">
        <v>-1</v>
      </c>
      <c r="K46" s="380">
        <v>0</v>
      </c>
      <c r="L46" s="380">
        <v>1</v>
      </c>
      <c r="M46" s="380">
        <v>-1</v>
      </c>
      <c r="N46" s="380">
        <v>0</v>
      </c>
      <c r="O46" s="303">
        <v>0</v>
      </c>
      <c r="P46" s="19">
        <v>0.86111111111111116</v>
      </c>
      <c r="Q46" s="1">
        <v>2.7777777777777776E-2</v>
      </c>
      <c r="R46" s="1">
        <v>2.7777777777777776E-2</v>
      </c>
      <c r="S46" s="1">
        <v>0</v>
      </c>
      <c r="T46" s="1">
        <v>2.7777777777777776E-2</v>
      </c>
      <c r="U46" s="1">
        <v>0</v>
      </c>
      <c r="V46" s="1">
        <v>0</v>
      </c>
      <c r="W46" s="1">
        <v>2.7777777777777776E-2</v>
      </c>
      <c r="X46" s="3">
        <v>2.7777777777777776E-2</v>
      </c>
      <c r="Y46" s="2">
        <v>0</v>
      </c>
      <c r="Z46" s="315">
        <f t="shared" si="5"/>
        <v>-1</v>
      </c>
    </row>
    <row r="47" spans="1:26">
      <c r="A47" s="124">
        <f t="shared" si="4"/>
        <v>42</v>
      </c>
      <c r="B47" s="122">
        <f t="shared" si="2"/>
        <v>241</v>
      </c>
      <c r="C47" s="399">
        <f t="shared" si="3"/>
        <v>6.9840113877851384E-2</v>
      </c>
      <c r="D47" s="84">
        <v>6.9840113877851384E-2</v>
      </c>
      <c r="E47" s="298">
        <v>1</v>
      </c>
      <c r="F47" s="315">
        <v>1</v>
      </c>
      <c r="G47" s="379">
        <v>0</v>
      </c>
      <c r="H47" s="380">
        <v>0</v>
      </c>
      <c r="I47" s="380">
        <v>0</v>
      </c>
      <c r="J47" s="380">
        <v>1</v>
      </c>
      <c r="K47" s="380">
        <v>0</v>
      </c>
      <c r="L47" s="380">
        <v>-1</v>
      </c>
      <c r="M47" s="380">
        <v>1</v>
      </c>
      <c r="N47" s="380">
        <v>-1</v>
      </c>
      <c r="O47" s="303">
        <v>0</v>
      </c>
      <c r="P47" s="19">
        <v>0.94354838709677424</v>
      </c>
      <c r="Q47" s="1">
        <v>1.6129032258064516E-2</v>
      </c>
      <c r="R47" s="1">
        <v>8.0645161290322578E-3</v>
      </c>
      <c r="S47" s="1">
        <v>0</v>
      </c>
      <c r="T47" s="1">
        <v>1.6129032258064516E-2</v>
      </c>
      <c r="U47" s="1">
        <v>0</v>
      </c>
      <c r="V47" s="1">
        <v>0</v>
      </c>
      <c r="W47" s="1">
        <v>0</v>
      </c>
      <c r="X47" s="3">
        <v>1.6129032258064516E-2</v>
      </c>
      <c r="Y47" s="2">
        <v>0</v>
      </c>
      <c r="Z47" s="315">
        <f t="shared" si="5"/>
        <v>1</v>
      </c>
    </row>
    <row r="48" spans="1:26">
      <c r="A48" s="124">
        <f t="shared" si="4"/>
        <v>43</v>
      </c>
      <c r="B48" s="122">
        <f t="shared" si="2"/>
        <v>24</v>
      </c>
      <c r="C48" s="399">
        <f t="shared" si="3"/>
        <v>0.90084689990406397</v>
      </c>
      <c r="D48" s="84">
        <v>0.90084689990406397</v>
      </c>
      <c r="E48" s="298">
        <v>1</v>
      </c>
      <c r="F48" s="315">
        <v>1</v>
      </c>
      <c r="G48" s="379">
        <v>0</v>
      </c>
      <c r="H48" s="380">
        <v>0</v>
      </c>
      <c r="I48" s="380">
        <v>0</v>
      </c>
      <c r="J48" s="380">
        <v>0</v>
      </c>
      <c r="K48" s="380">
        <v>0</v>
      </c>
      <c r="L48" s="380">
        <v>0</v>
      </c>
      <c r="M48" s="380">
        <v>0</v>
      </c>
      <c r="N48" s="380">
        <v>0</v>
      </c>
      <c r="O48" s="303">
        <v>0</v>
      </c>
      <c r="P48" s="19">
        <v>0.10638297872340426</v>
      </c>
      <c r="Q48" s="1">
        <v>0.10638297872340426</v>
      </c>
      <c r="R48" s="1">
        <v>8.5106382978723402E-2</v>
      </c>
      <c r="S48" s="1">
        <v>0.1276595744680851</v>
      </c>
      <c r="T48" s="1">
        <v>0.10638297872340426</v>
      </c>
      <c r="U48" s="1">
        <v>0.10638297872340426</v>
      </c>
      <c r="V48" s="1">
        <v>0.10638297872340426</v>
      </c>
      <c r="W48" s="1">
        <v>0.1276595744680851</v>
      </c>
      <c r="X48" s="3">
        <v>0.1276595744680851</v>
      </c>
      <c r="Y48" s="2">
        <v>0</v>
      </c>
      <c r="Z48" s="315">
        <f t="shared" si="5"/>
        <v>1</v>
      </c>
    </row>
    <row r="49" spans="1:26">
      <c r="A49" s="124">
        <f t="shared" si="4"/>
        <v>44</v>
      </c>
      <c r="B49" s="122">
        <f t="shared" si="2"/>
        <v>113</v>
      </c>
      <c r="C49" s="399">
        <f t="shared" si="3"/>
        <v>0.55659788716213199</v>
      </c>
      <c r="D49" s="84">
        <v>0.55659788716213199</v>
      </c>
      <c r="E49" s="298">
        <v>-1</v>
      </c>
      <c r="F49" s="315">
        <v>1</v>
      </c>
      <c r="G49" s="379">
        <v>0</v>
      </c>
      <c r="H49" s="380">
        <v>0</v>
      </c>
      <c r="I49" s="380">
        <v>0</v>
      </c>
      <c r="J49" s="380">
        <v>0</v>
      </c>
      <c r="K49" s="380">
        <v>-1</v>
      </c>
      <c r="L49" s="380">
        <v>0</v>
      </c>
      <c r="M49" s="380">
        <v>0</v>
      </c>
      <c r="N49" s="380">
        <v>0</v>
      </c>
      <c r="O49" s="303">
        <v>0</v>
      </c>
      <c r="P49" s="19">
        <v>0.1276595744680851</v>
      </c>
      <c r="Q49" s="1">
        <v>0.1276595744680851</v>
      </c>
      <c r="R49" s="1">
        <v>0.10638297872340426</v>
      </c>
      <c r="S49" s="1">
        <v>0.14893617021276595</v>
      </c>
      <c r="T49" s="1">
        <v>0</v>
      </c>
      <c r="U49" s="1">
        <v>0.10638297872340426</v>
      </c>
      <c r="V49" s="1">
        <v>0.1276595744680851</v>
      </c>
      <c r="W49" s="1">
        <v>0.1276595744680851</v>
      </c>
      <c r="X49" s="3">
        <v>0.1276595744680851</v>
      </c>
      <c r="Y49" s="2">
        <v>0</v>
      </c>
      <c r="Z49" s="315">
        <f t="shared" si="5"/>
        <v>-1</v>
      </c>
    </row>
    <row r="50" spans="1:26">
      <c r="A50" s="124">
        <f t="shared" si="4"/>
        <v>45</v>
      </c>
      <c r="B50" s="122">
        <f t="shared" si="2"/>
        <v>80</v>
      </c>
      <c r="C50" s="399">
        <f t="shared" si="3"/>
        <v>0.67252000871421902</v>
      </c>
      <c r="D50" s="84">
        <v>0.67252000871421902</v>
      </c>
      <c r="E50" s="298">
        <v>1</v>
      </c>
      <c r="F50" s="315">
        <v>1</v>
      </c>
      <c r="G50" s="379">
        <v>0</v>
      </c>
      <c r="H50" s="380">
        <v>0</v>
      </c>
      <c r="I50" s="380">
        <v>0</v>
      </c>
      <c r="J50" s="380">
        <v>-1</v>
      </c>
      <c r="K50" s="380">
        <v>1</v>
      </c>
      <c r="L50" s="380">
        <v>0</v>
      </c>
      <c r="M50" s="380">
        <v>0</v>
      </c>
      <c r="N50" s="380">
        <v>0</v>
      </c>
      <c r="O50" s="303">
        <v>0</v>
      </c>
      <c r="P50" s="19">
        <v>7.4999999999999997E-2</v>
      </c>
      <c r="Q50" s="1">
        <v>7.4999999999999997E-2</v>
      </c>
      <c r="R50" s="1">
        <v>0.05</v>
      </c>
      <c r="S50" s="1">
        <v>0</v>
      </c>
      <c r="T50" s="1">
        <v>0</v>
      </c>
      <c r="U50" s="1">
        <v>7.4999999999999997E-2</v>
      </c>
      <c r="V50" s="1">
        <v>0.05</v>
      </c>
      <c r="W50" s="1">
        <v>0.2</v>
      </c>
      <c r="X50" s="3">
        <v>0.47499999999999998</v>
      </c>
      <c r="Y50" s="2">
        <v>0</v>
      </c>
      <c r="Z50" s="315">
        <f t="shared" si="5"/>
        <v>1</v>
      </c>
    </row>
    <row r="51" spans="1:26">
      <c r="A51" s="124">
        <f t="shared" si="4"/>
        <v>46</v>
      </c>
      <c r="B51" s="122">
        <f t="shared" si="2"/>
        <v>159</v>
      </c>
      <c r="C51" s="399">
        <f t="shared" si="3"/>
        <v>0.37207021537552332</v>
      </c>
      <c r="D51" s="84">
        <v>0.37207021537552332</v>
      </c>
      <c r="E51" s="298">
        <v>-1</v>
      </c>
      <c r="F51" s="315">
        <v>1</v>
      </c>
      <c r="G51" s="379">
        <v>0</v>
      </c>
      <c r="H51" s="380">
        <v>0</v>
      </c>
      <c r="I51" s="380">
        <v>0</v>
      </c>
      <c r="J51" s="380">
        <v>1</v>
      </c>
      <c r="K51" s="380">
        <v>-1</v>
      </c>
      <c r="L51" s="380">
        <v>0</v>
      </c>
      <c r="M51" s="380">
        <v>0</v>
      </c>
      <c r="N51" s="380">
        <v>-1</v>
      </c>
      <c r="O51" s="303">
        <v>0</v>
      </c>
      <c r="P51" s="19">
        <v>2.2222222222222223E-2</v>
      </c>
      <c r="Q51" s="1">
        <v>0.42222222222222222</v>
      </c>
      <c r="R51" s="1">
        <v>0.13333333333333333</v>
      </c>
      <c r="S51" s="1">
        <v>0</v>
      </c>
      <c r="T51" s="1">
        <v>0</v>
      </c>
      <c r="U51" s="1">
        <v>0.1111111111111111</v>
      </c>
      <c r="V51" s="1">
        <v>0.2</v>
      </c>
      <c r="W51" s="1">
        <v>0</v>
      </c>
      <c r="X51" s="3">
        <v>0.1111111111111111</v>
      </c>
      <c r="Y51" s="2">
        <v>0</v>
      </c>
      <c r="Z51" s="315">
        <f t="shared" si="5"/>
        <v>-1</v>
      </c>
    </row>
    <row r="52" spans="1:26">
      <c r="A52" s="124">
        <f t="shared" si="4"/>
        <v>47</v>
      </c>
      <c r="B52" s="122">
        <f t="shared" si="2"/>
        <v>198</v>
      </c>
      <c r="C52" s="399">
        <f t="shared" si="3"/>
        <v>0.22223046379224221</v>
      </c>
      <c r="D52" s="84">
        <v>0.22223046379224221</v>
      </c>
      <c r="E52" s="298">
        <v>1</v>
      </c>
      <c r="F52" s="315">
        <v>1</v>
      </c>
      <c r="G52" s="379">
        <v>0</v>
      </c>
      <c r="H52" s="380">
        <v>-1</v>
      </c>
      <c r="I52" s="380">
        <v>0</v>
      </c>
      <c r="J52" s="380">
        <v>-1</v>
      </c>
      <c r="K52" s="380">
        <v>1</v>
      </c>
      <c r="L52" s="380">
        <v>0</v>
      </c>
      <c r="M52" s="380">
        <v>0</v>
      </c>
      <c r="N52" s="380">
        <v>1</v>
      </c>
      <c r="O52" s="303">
        <v>0</v>
      </c>
      <c r="P52" s="19">
        <v>4.4444444444444446E-2</v>
      </c>
      <c r="Q52" s="1">
        <v>0</v>
      </c>
      <c r="R52" s="1">
        <v>2.2222222222222223E-2</v>
      </c>
      <c r="S52" s="1">
        <v>0</v>
      </c>
      <c r="T52" s="1">
        <v>0</v>
      </c>
      <c r="U52" s="1">
        <v>4.4444444444444446E-2</v>
      </c>
      <c r="V52" s="1">
        <v>0.15555555555555556</v>
      </c>
      <c r="W52" s="1">
        <v>0</v>
      </c>
      <c r="X52" s="3">
        <v>0.73333333333333328</v>
      </c>
      <c r="Y52" s="2">
        <v>0</v>
      </c>
      <c r="Z52" s="315">
        <f t="shared" si="5"/>
        <v>1</v>
      </c>
    </row>
    <row r="53" spans="1:26">
      <c r="A53" s="124">
        <f t="shared" si="4"/>
        <v>48</v>
      </c>
      <c r="B53" s="122">
        <f t="shared" si="2"/>
        <v>9</v>
      </c>
      <c r="C53" s="399">
        <f t="shared" si="3"/>
        <v>0.94787311286483267</v>
      </c>
      <c r="D53" s="84">
        <v>0.94787311286483267</v>
      </c>
      <c r="E53" s="298">
        <v>-1</v>
      </c>
      <c r="F53" s="315">
        <v>1</v>
      </c>
      <c r="G53" s="379">
        <v>0</v>
      </c>
      <c r="H53" s="380">
        <v>1</v>
      </c>
      <c r="I53" s="380">
        <v>0</v>
      </c>
      <c r="J53" s="380">
        <v>1</v>
      </c>
      <c r="K53" s="380">
        <v>-1</v>
      </c>
      <c r="L53" s="380">
        <v>0</v>
      </c>
      <c r="M53" s="380">
        <v>0</v>
      </c>
      <c r="N53" s="380">
        <v>-1</v>
      </c>
      <c r="O53" s="303">
        <v>-1</v>
      </c>
      <c r="P53" s="19">
        <v>0.46153846153846156</v>
      </c>
      <c r="Q53" s="1">
        <v>0</v>
      </c>
      <c r="R53" s="1">
        <v>0.12307692307692308</v>
      </c>
      <c r="S53" s="1">
        <v>0</v>
      </c>
      <c r="T53" s="1">
        <v>0</v>
      </c>
      <c r="U53" s="1">
        <v>0.18461538461538463</v>
      </c>
      <c r="V53" s="1">
        <v>0.23076923076923078</v>
      </c>
      <c r="W53" s="1">
        <v>0</v>
      </c>
      <c r="X53" s="3">
        <v>0</v>
      </c>
      <c r="Y53" s="2">
        <v>0</v>
      </c>
      <c r="Z53" s="315">
        <f t="shared" si="5"/>
        <v>-1</v>
      </c>
    </row>
    <row r="54" spans="1:26">
      <c r="A54" s="124">
        <f t="shared" si="4"/>
        <v>49</v>
      </c>
      <c r="B54" s="122">
        <f t="shared" si="2"/>
        <v>6</v>
      </c>
      <c r="C54" s="399">
        <f t="shared" si="3"/>
        <v>0.96518611364367768</v>
      </c>
      <c r="D54" s="84">
        <v>0.96518611364367768</v>
      </c>
      <c r="E54" s="298">
        <v>1</v>
      </c>
      <c r="F54" s="315">
        <v>1</v>
      </c>
      <c r="G54" s="379">
        <v>0</v>
      </c>
      <c r="H54" s="380">
        <v>-1</v>
      </c>
      <c r="I54" s="380">
        <v>0</v>
      </c>
      <c r="J54" s="380">
        <v>-1</v>
      </c>
      <c r="K54" s="380">
        <v>1</v>
      </c>
      <c r="L54" s="380">
        <v>0</v>
      </c>
      <c r="M54" s="380">
        <v>-1</v>
      </c>
      <c r="N54" s="380">
        <v>1</v>
      </c>
      <c r="O54" s="303">
        <v>1</v>
      </c>
      <c r="P54" s="19">
        <v>0.97709923664122134</v>
      </c>
      <c r="Q54" s="1">
        <v>0</v>
      </c>
      <c r="R54" s="1">
        <v>7.6335877862595417E-3</v>
      </c>
      <c r="S54" s="1">
        <v>0</v>
      </c>
      <c r="T54" s="1">
        <v>0</v>
      </c>
      <c r="U54" s="1">
        <v>1.5267175572519083E-2</v>
      </c>
      <c r="V54" s="1">
        <v>0</v>
      </c>
      <c r="W54" s="1">
        <v>0</v>
      </c>
      <c r="X54" s="3">
        <v>0</v>
      </c>
      <c r="Y54" s="2">
        <v>0</v>
      </c>
      <c r="Z54" s="315">
        <f t="shared" si="5"/>
        <v>1</v>
      </c>
    </row>
    <row r="55" spans="1:26">
      <c r="A55" s="124">
        <f t="shared" si="4"/>
        <v>50</v>
      </c>
      <c r="B55" s="122">
        <f t="shared" si="2"/>
        <v>232</v>
      </c>
      <c r="C55" s="399">
        <f t="shared" si="3"/>
        <v>8.7429937766327792E-2</v>
      </c>
      <c r="D55" s="84">
        <v>8.7429937766327792E-2</v>
      </c>
      <c r="E55" s="298">
        <v>1</v>
      </c>
      <c r="F55" s="315">
        <v>1</v>
      </c>
      <c r="G55" s="379">
        <v>0</v>
      </c>
      <c r="H55" s="380">
        <v>0</v>
      </c>
      <c r="I55" s="380">
        <v>0</v>
      </c>
      <c r="J55" s="380">
        <v>0</v>
      </c>
      <c r="K55" s="380">
        <v>0</v>
      </c>
      <c r="L55" s="380">
        <v>0</v>
      </c>
      <c r="M55" s="380">
        <v>0</v>
      </c>
      <c r="N55" s="380">
        <v>0</v>
      </c>
      <c r="O55" s="303">
        <v>0</v>
      </c>
      <c r="P55" s="19">
        <v>0.10638297872340426</v>
      </c>
      <c r="Q55" s="1">
        <v>0.1276595744680851</v>
      </c>
      <c r="R55" s="1">
        <v>8.5106382978723402E-2</v>
      </c>
      <c r="S55" s="1">
        <v>0.1276595744680851</v>
      </c>
      <c r="T55" s="1">
        <v>0.10638297872340426</v>
      </c>
      <c r="U55" s="1">
        <v>0.10638297872340426</v>
      </c>
      <c r="V55" s="1">
        <v>0.10638297872340426</v>
      </c>
      <c r="W55" s="1">
        <v>0.1276595744680851</v>
      </c>
      <c r="X55" s="3">
        <v>0.10638297872340426</v>
      </c>
      <c r="Y55" s="2">
        <v>0</v>
      </c>
      <c r="Z55" s="315">
        <f t="shared" si="5"/>
        <v>1</v>
      </c>
    </row>
    <row r="56" spans="1:26">
      <c r="A56" s="124">
        <f t="shared" si="4"/>
        <v>51</v>
      </c>
      <c r="B56" s="122">
        <f t="shared" si="2"/>
        <v>11</v>
      </c>
      <c r="C56" s="399">
        <f t="shared" si="3"/>
        <v>0.94272077718826885</v>
      </c>
      <c r="D56" s="84">
        <v>0.94272077718826885</v>
      </c>
      <c r="E56" s="298">
        <v>-1</v>
      </c>
      <c r="F56" s="315">
        <v>1</v>
      </c>
      <c r="G56" s="379">
        <v>0</v>
      </c>
      <c r="H56" s="380">
        <v>0</v>
      </c>
      <c r="I56" s="380">
        <v>0</v>
      </c>
      <c r="J56" s="380">
        <v>0</v>
      </c>
      <c r="K56" s="380">
        <v>-1</v>
      </c>
      <c r="L56" s="380">
        <v>0</v>
      </c>
      <c r="M56" s="380">
        <v>0</v>
      </c>
      <c r="N56" s="380">
        <v>0</v>
      </c>
      <c r="O56" s="303">
        <v>0</v>
      </c>
      <c r="P56" s="19">
        <v>0.1276595744680851</v>
      </c>
      <c r="Q56" s="1">
        <v>0.1276595744680851</v>
      </c>
      <c r="R56" s="1">
        <v>0.10638297872340426</v>
      </c>
      <c r="S56" s="1">
        <v>0.1276595744680851</v>
      </c>
      <c r="T56" s="1">
        <v>0</v>
      </c>
      <c r="U56" s="1">
        <v>0.1276595744680851</v>
      </c>
      <c r="V56" s="1">
        <v>0.1276595744680851</v>
      </c>
      <c r="W56" s="1">
        <v>0.1276595744680851</v>
      </c>
      <c r="X56" s="3">
        <v>0.1276595744680851</v>
      </c>
      <c r="Y56" s="2">
        <v>0</v>
      </c>
      <c r="Z56" s="315">
        <f t="shared" si="5"/>
        <v>-1</v>
      </c>
    </row>
    <row r="57" spans="1:26">
      <c r="A57" s="124">
        <f t="shared" si="4"/>
        <v>52</v>
      </c>
      <c r="B57" s="122">
        <f t="shared" si="2"/>
        <v>219</v>
      </c>
      <c r="C57" s="399">
        <f t="shared" si="3"/>
        <v>0.14024847229912696</v>
      </c>
      <c r="D57" s="84">
        <v>0.14024847229912696</v>
      </c>
      <c r="E57" s="298">
        <v>1</v>
      </c>
      <c r="F57" s="315">
        <v>1</v>
      </c>
      <c r="G57" s="379">
        <v>0</v>
      </c>
      <c r="H57" s="380">
        <v>0</v>
      </c>
      <c r="I57" s="380">
        <v>0</v>
      </c>
      <c r="J57" s="380">
        <v>0</v>
      </c>
      <c r="K57" s="380">
        <v>1</v>
      </c>
      <c r="L57" s="380">
        <v>0</v>
      </c>
      <c r="M57" s="380">
        <v>0</v>
      </c>
      <c r="N57" s="380">
        <v>-1</v>
      </c>
      <c r="O57" s="303">
        <v>0</v>
      </c>
      <c r="P57" s="19">
        <v>5.4054054054054057E-2</v>
      </c>
      <c r="Q57" s="1">
        <v>5.4054054054054057E-2</v>
      </c>
      <c r="R57" s="1">
        <v>5.4054054054054057E-2</v>
      </c>
      <c r="S57" s="1">
        <v>8.1081081081081086E-2</v>
      </c>
      <c r="T57" s="1">
        <v>0</v>
      </c>
      <c r="U57" s="1">
        <v>8.1081081081081086E-2</v>
      </c>
      <c r="V57" s="1">
        <v>5.4054054054054057E-2</v>
      </c>
      <c r="W57" s="1">
        <v>0</v>
      </c>
      <c r="X57" s="3">
        <v>0.6216216216216216</v>
      </c>
      <c r="Y57" s="2">
        <v>0</v>
      </c>
      <c r="Z57" s="315">
        <f t="shared" si="5"/>
        <v>1</v>
      </c>
    </row>
    <row r="58" spans="1:26">
      <c r="A58" s="124">
        <f t="shared" si="4"/>
        <v>53</v>
      </c>
      <c r="B58" s="122">
        <f t="shared" si="2"/>
        <v>151</v>
      </c>
      <c r="C58" s="399">
        <f t="shared" si="3"/>
        <v>0.39295836741014412</v>
      </c>
      <c r="D58" s="84">
        <v>0.39295836741014412</v>
      </c>
      <c r="E58" s="298">
        <v>-1</v>
      </c>
      <c r="F58" s="315">
        <v>1</v>
      </c>
      <c r="G58" s="379">
        <v>0</v>
      </c>
      <c r="H58" s="380">
        <v>0</v>
      </c>
      <c r="I58" s="380">
        <v>-1</v>
      </c>
      <c r="J58" s="380">
        <v>0</v>
      </c>
      <c r="K58" s="380">
        <v>-1</v>
      </c>
      <c r="L58" s="380">
        <v>0</v>
      </c>
      <c r="M58" s="380">
        <v>0</v>
      </c>
      <c r="N58" s="380">
        <v>1</v>
      </c>
      <c r="O58" s="303">
        <v>0</v>
      </c>
      <c r="P58" s="19">
        <v>0.13043478260869565</v>
      </c>
      <c r="Q58" s="1">
        <v>0.15217391304347827</v>
      </c>
      <c r="R58" s="1">
        <v>0</v>
      </c>
      <c r="S58" s="1">
        <v>0.13043478260869565</v>
      </c>
      <c r="T58" s="1">
        <v>0</v>
      </c>
      <c r="U58" s="1">
        <v>0.13043478260869565</v>
      </c>
      <c r="V58" s="1">
        <v>0.32608695652173914</v>
      </c>
      <c r="W58" s="1">
        <v>0</v>
      </c>
      <c r="X58" s="3">
        <v>0.13043478260869565</v>
      </c>
      <c r="Y58" s="2">
        <v>0</v>
      </c>
      <c r="Z58" s="315">
        <f t="shared" si="5"/>
        <v>-1</v>
      </c>
    </row>
    <row r="59" spans="1:26">
      <c r="A59" s="124">
        <f t="shared" si="4"/>
        <v>54</v>
      </c>
      <c r="B59" s="122">
        <f t="shared" si="2"/>
        <v>43</v>
      </c>
      <c r="C59" s="399">
        <f t="shared" si="3"/>
        <v>0.81485184063212435</v>
      </c>
      <c r="D59" s="84">
        <v>0.81485184063212435</v>
      </c>
      <c r="E59" s="298">
        <v>1</v>
      </c>
      <c r="F59" s="315">
        <v>1</v>
      </c>
      <c r="G59" s="379">
        <v>-1</v>
      </c>
      <c r="H59" s="380">
        <v>0</v>
      </c>
      <c r="I59" s="380">
        <v>1</v>
      </c>
      <c r="J59" s="380">
        <v>0</v>
      </c>
      <c r="K59" s="380">
        <v>1</v>
      </c>
      <c r="L59" s="380">
        <v>0</v>
      </c>
      <c r="M59" s="380">
        <v>0</v>
      </c>
      <c r="N59" s="380">
        <v>-1</v>
      </c>
      <c r="O59" s="303">
        <v>0</v>
      </c>
      <c r="P59" s="19">
        <v>0</v>
      </c>
      <c r="Q59" s="1">
        <v>1.6949152542372881E-2</v>
      </c>
      <c r="R59" s="1">
        <v>0</v>
      </c>
      <c r="S59" s="1">
        <v>2.5423728813559324E-2</v>
      </c>
      <c r="T59" s="1">
        <v>0</v>
      </c>
      <c r="U59" s="1">
        <v>2.5423728813559324E-2</v>
      </c>
      <c r="V59" s="1">
        <v>0.9152542372881356</v>
      </c>
      <c r="W59" s="1">
        <v>0</v>
      </c>
      <c r="X59" s="3">
        <v>1.6949152542372881E-2</v>
      </c>
      <c r="Y59" s="2">
        <v>0</v>
      </c>
      <c r="Z59" s="315">
        <f t="shared" si="5"/>
        <v>1</v>
      </c>
    </row>
    <row r="60" spans="1:26">
      <c r="A60" s="124">
        <f t="shared" si="4"/>
        <v>55</v>
      </c>
      <c r="B60" s="122">
        <f t="shared" si="2"/>
        <v>205</v>
      </c>
      <c r="C60" s="399">
        <f t="shared" si="3"/>
        <v>0.18849153142163688</v>
      </c>
      <c r="D60" s="84">
        <v>0.18849153142163688</v>
      </c>
      <c r="E60" s="298">
        <v>1</v>
      </c>
      <c r="F60" s="315">
        <v>1</v>
      </c>
      <c r="G60" s="379">
        <v>0</v>
      </c>
      <c r="H60" s="380">
        <v>0</v>
      </c>
      <c r="I60" s="380">
        <v>0</v>
      </c>
      <c r="J60" s="380">
        <v>0</v>
      </c>
      <c r="K60" s="380">
        <v>0</v>
      </c>
      <c r="L60" s="380">
        <v>0</v>
      </c>
      <c r="M60" s="380">
        <v>0</v>
      </c>
      <c r="N60" s="380">
        <v>0</v>
      </c>
      <c r="O60" s="303">
        <v>0</v>
      </c>
      <c r="P60" s="19">
        <v>0.10638297872340426</v>
      </c>
      <c r="Q60" s="1">
        <v>0.10638297872340426</v>
      </c>
      <c r="R60" s="1">
        <v>8.5106382978723402E-2</v>
      </c>
      <c r="S60" s="1">
        <v>0.1276595744680851</v>
      </c>
      <c r="T60" s="1">
        <v>0.10638297872340426</v>
      </c>
      <c r="U60" s="1">
        <v>0.1276595744680851</v>
      </c>
      <c r="V60" s="1">
        <v>0.10638297872340426</v>
      </c>
      <c r="W60" s="1">
        <v>0.1276595744680851</v>
      </c>
      <c r="X60" s="3">
        <v>0.10638297872340426</v>
      </c>
      <c r="Y60" s="2">
        <v>0</v>
      </c>
      <c r="Z60" s="315">
        <f t="shared" si="5"/>
        <v>1</v>
      </c>
    </row>
    <row r="61" spans="1:26">
      <c r="A61" s="124">
        <f t="shared" si="4"/>
        <v>56</v>
      </c>
      <c r="B61" s="122">
        <f t="shared" si="2"/>
        <v>100</v>
      </c>
      <c r="C61" s="399">
        <f t="shared" si="3"/>
        <v>0.59704801711507838</v>
      </c>
      <c r="D61" s="84">
        <v>0.59704801711507838</v>
      </c>
      <c r="E61" s="298">
        <v>-1</v>
      </c>
      <c r="F61" s="315">
        <v>1</v>
      </c>
      <c r="G61" s="379">
        <v>0</v>
      </c>
      <c r="H61" s="380">
        <v>0</v>
      </c>
      <c r="I61" s="380">
        <v>0</v>
      </c>
      <c r="J61" s="380">
        <v>0</v>
      </c>
      <c r="K61" s="380">
        <v>0</v>
      </c>
      <c r="L61" s="380">
        <v>0</v>
      </c>
      <c r="M61" s="380">
        <v>0</v>
      </c>
      <c r="N61" s="380">
        <v>-1</v>
      </c>
      <c r="O61" s="303">
        <v>0</v>
      </c>
      <c r="P61" s="19">
        <v>0.1276595744680851</v>
      </c>
      <c r="Q61" s="1">
        <v>0.1276595744680851</v>
      </c>
      <c r="R61" s="1">
        <v>0.10638297872340426</v>
      </c>
      <c r="S61" s="1">
        <v>0.1276595744680851</v>
      </c>
      <c r="T61" s="1">
        <v>0.1276595744680851</v>
      </c>
      <c r="U61" s="1">
        <v>0.1276595744680851</v>
      </c>
      <c r="V61" s="1">
        <v>0.1276595744680851</v>
      </c>
      <c r="W61" s="1">
        <v>0</v>
      </c>
      <c r="X61" s="3">
        <v>0.1276595744680851</v>
      </c>
      <c r="Y61" s="2">
        <v>0</v>
      </c>
      <c r="Z61" s="315">
        <f t="shared" si="5"/>
        <v>-1</v>
      </c>
    </row>
    <row r="62" spans="1:26">
      <c r="A62" s="124">
        <f t="shared" si="4"/>
        <v>57</v>
      </c>
      <c r="B62" s="122">
        <f t="shared" si="2"/>
        <v>128</v>
      </c>
      <c r="C62" s="399">
        <f t="shared" si="3"/>
        <v>0.50300370813667306</v>
      </c>
      <c r="D62" s="84">
        <v>0.50300370813667306</v>
      </c>
      <c r="E62" s="298">
        <v>1</v>
      </c>
      <c r="F62" s="315">
        <v>1</v>
      </c>
      <c r="G62" s="379">
        <v>0</v>
      </c>
      <c r="H62" s="380">
        <v>0</v>
      </c>
      <c r="I62" s="380">
        <v>0</v>
      </c>
      <c r="J62" s="380">
        <v>-1</v>
      </c>
      <c r="K62" s="380">
        <v>0</v>
      </c>
      <c r="L62" s="380">
        <v>0</v>
      </c>
      <c r="M62" s="380">
        <v>0</v>
      </c>
      <c r="N62" s="380">
        <v>1</v>
      </c>
      <c r="O62" s="303">
        <v>0</v>
      </c>
      <c r="P62" s="19">
        <v>0.13333333333333333</v>
      </c>
      <c r="Q62" s="1">
        <v>0.13333333333333333</v>
      </c>
      <c r="R62" s="1">
        <v>8.8888888888888892E-2</v>
      </c>
      <c r="S62" s="1">
        <v>0</v>
      </c>
      <c r="T62" s="1">
        <v>0.28888888888888886</v>
      </c>
      <c r="U62" s="1">
        <v>0.13333333333333333</v>
      </c>
      <c r="V62" s="1">
        <v>0.1111111111111111</v>
      </c>
      <c r="W62" s="1">
        <v>0</v>
      </c>
      <c r="X62" s="3">
        <v>0.1111111111111111</v>
      </c>
      <c r="Y62" s="2">
        <v>0</v>
      </c>
      <c r="Z62" s="315">
        <f t="shared" si="5"/>
        <v>1</v>
      </c>
    </row>
    <row r="63" spans="1:26">
      <c r="A63" s="124">
        <f t="shared" si="4"/>
        <v>58</v>
      </c>
      <c r="B63" s="122">
        <f t="shared" si="2"/>
        <v>217</v>
      </c>
      <c r="C63" s="399">
        <f t="shared" si="3"/>
        <v>0.14533130677227946</v>
      </c>
      <c r="D63" s="84">
        <v>0.14533130677227946</v>
      </c>
      <c r="E63" s="298">
        <v>-1</v>
      </c>
      <c r="F63" s="315">
        <v>1</v>
      </c>
      <c r="G63" s="379">
        <v>0</v>
      </c>
      <c r="H63" s="380">
        <v>0</v>
      </c>
      <c r="I63" s="380">
        <v>0</v>
      </c>
      <c r="J63" s="380">
        <v>1</v>
      </c>
      <c r="K63" s="380">
        <v>0</v>
      </c>
      <c r="L63" s="380">
        <v>0</v>
      </c>
      <c r="M63" s="380">
        <v>-1</v>
      </c>
      <c r="N63" s="380">
        <v>-1</v>
      </c>
      <c r="O63" s="303">
        <v>0</v>
      </c>
      <c r="P63" s="19">
        <v>9.5238095238095233E-2</v>
      </c>
      <c r="Q63" s="1">
        <v>9.5238095238095233E-2</v>
      </c>
      <c r="R63" s="1">
        <v>7.1428571428571425E-2</v>
      </c>
      <c r="S63" s="1">
        <v>0</v>
      </c>
      <c r="T63" s="1">
        <v>7.1428571428571425E-2</v>
      </c>
      <c r="U63" s="1">
        <v>9.5238095238095233E-2</v>
      </c>
      <c r="V63" s="1">
        <v>0</v>
      </c>
      <c r="W63" s="1">
        <v>0</v>
      </c>
      <c r="X63" s="3">
        <v>0.5714285714285714</v>
      </c>
      <c r="Y63" s="2">
        <v>0</v>
      </c>
      <c r="Z63" s="315">
        <f t="shared" si="5"/>
        <v>-1</v>
      </c>
    </row>
    <row r="64" spans="1:26">
      <c r="A64" s="124">
        <f t="shared" si="4"/>
        <v>59</v>
      </c>
      <c r="B64" s="122">
        <f t="shared" si="2"/>
        <v>121</v>
      </c>
      <c r="C64" s="399">
        <f t="shared" si="3"/>
        <v>0.52505961219617481</v>
      </c>
      <c r="D64" s="84">
        <v>0.52505961219617481</v>
      </c>
      <c r="E64" s="298">
        <v>1</v>
      </c>
      <c r="F64" s="315">
        <v>1</v>
      </c>
      <c r="G64" s="379">
        <v>0</v>
      </c>
      <c r="H64" s="380">
        <v>0</v>
      </c>
      <c r="I64" s="380">
        <v>0</v>
      </c>
      <c r="J64" s="380">
        <v>-1</v>
      </c>
      <c r="K64" s="380">
        <v>-1</v>
      </c>
      <c r="L64" s="380">
        <v>0</v>
      </c>
      <c r="M64" s="380">
        <v>1</v>
      </c>
      <c r="N64" s="380">
        <v>1</v>
      </c>
      <c r="O64" s="303">
        <v>0</v>
      </c>
      <c r="P64" s="19">
        <v>1.6129032258064516E-2</v>
      </c>
      <c r="Q64" s="1">
        <v>1.6129032258064516E-2</v>
      </c>
      <c r="R64" s="1">
        <v>8.0645161290322578E-3</v>
      </c>
      <c r="S64" s="1">
        <v>0</v>
      </c>
      <c r="T64" s="1">
        <v>0</v>
      </c>
      <c r="U64" s="1">
        <v>1.6129032258064516E-2</v>
      </c>
      <c r="V64" s="1">
        <v>0</v>
      </c>
      <c r="W64" s="1">
        <v>0</v>
      </c>
      <c r="X64" s="3">
        <v>0.94354838709677424</v>
      </c>
      <c r="Y64" s="2">
        <v>0</v>
      </c>
      <c r="Z64" s="315">
        <f t="shared" si="5"/>
        <v>1</v>
      </c>
    </row>
    <row r="65" spans="1:26">
      <c r="A65" s="124">
        <f t="shared" si="4"/>
        <v>60</v>
      </c>
      <c r="B65" s="122">
        <f t="shared" si="2"/>
        <v>168</v>
      </c>
      <c r="C65" s="399">
        <f t="shared" si="3"/>
        <v>0.31763508098953031</v>
      </c>
      <c r="D65" s="84">
        <v>0.31763508098953031</v>
      </c>
      <c r="E65" s="298">
        <v>1</v>
      </c>
      <c r="F65" s="315">
        <v>1</v>
      </c>
      <c r="G65" s="379">
        <v>0</v>
      </c>
      <c r="H65" s="380">
        <v>0</v>
      </c>
      <c r="I65" s="380">
        <v>0</v>
      </c>
      <c r="J65" s="380">
        <v>0</v>
      </c>
      <c r="K65" s="380">
        <v>0</v>
      </c>
      <c r="L65" s="380">
        <v>0</v>
      </c>
      <c r="M65" s="380">
        <v>0</v>
      </c>
      <c r="N65" s="380">
        <v>0</v>
      </c>
      <c r="O65" s="303">
        <v>0</v>
      </c>
      <c r="P65" s="19">
        <v>0.10638297872340426</v>
      </c>
      <c r="Q65" s="1">
        <v>0.10638297872340426</v>
      </c>
      <c r="R65" s="1">
        <v>8.5106382978723402E-2</v>
      </c>
      <c r="S65" s="1">
        <v>0.1276595744680851</v>
      </c>
      <c r="T65" s="1">
        <v>0.10638297872340426</v>
      </c>
      <c r="U65" s="1">
        <v>0.10638297872340426</v>
      </c>
      <c r="V65" s="1">
        <v>0.10638297872340426</v>
      </c>
      <c r="W65" s="1">
        <v>0.1276595744680851</v>
      </c>
      <c r="X65" s="3">
        <v>0.1276595744680851</v>
      </c>
      <c r="Y65" s="2">
        <v>0</v>
      </c>
      <c r="Z65" s="315">
        <f t="shared" si="5"/>
        <v>1</v>
      </c>
    </row>
    <row r="66" spans="1:26">
      <c r="A66" s="124">
        <f t="shared" si="4"/>
        <v>61</v>
      </c>
      <c r="B66" s="122">
        <f t="shared" si="2"/>
        <v>129</v>
      </c>
      <c r="C66" s="399">
        <f t="shared" si="3"/>
        <v>0.49778785641513867</v>
      </c>
      <c r="D66" s="84">
        <v>0.49778785641513867</v>
      </c>
      <c r="E66" s="298">
        <v>-1</v>
      </c>
      <c r="F66" s="315">
        <v>1</v>
      </c>
      <c r="G66" s="379">
        <v>0</v>
      </c>
      <c r="H66" s="380">
        <v>0</v>
      </c>
      <c r="I66" s="380">
        <v>-1</v>
      </c>
      <c r="J66" s="380">
        <v>0</v>
      </c>
      <c r="K66" s="380">
        <v>0</v>
      </c>
      <c r="L66" s="380">
        <v>0</v>
      </c>
      <c r="M66" s="380">
        <v>0</v>
      </c>
      <c r="N66" s="380">
        <v>0</v>
      </c>
      <c r="O66" s="303">
        <v>0</v>
      </c>
      <c r="P66" s="19">
        <v>0.10638297872340426</v>
      </c>
      <c r="Q66" s="1">
        <v>0.1276595744680851</v>
      </c>
      <c r="R66" s="1">
        <v>0</v>
      </c>
      <c r="S66" s="1">
        <v>0.1276595744680851</v>
      </c>
      <c r="T66" s="1">
        <v>0.1276595744680851</v>
      </c>
      <c r="U66" s="1">
        <v>0.1276595744680851</v>
      </c>
      <c r="V66" s="1">
        <v>0.1276595744680851</v>
      </c>
      <c r="W66" s="1">
        <v>0.1276595744680851</v>
      </c>
      <c r="X66" s="3">
        <v>0.1276595744680851</v>
      </c>
      <c r="Y66" s="2">
        <v>0</v>
      </c>
      <c r="Z66" s="315">
        <f t="shared" si="5"/>
        <v>-1</v>
      </c>
    </row>
    <row r="67" spans="1:26">
      <c r="A67" s="124">
        <f t="shared" si="4"/>
        <v>62</v>
      </c>
      <c r="B67" s="122">
        <f t="shared" si="2"/>
        <v>118</v>
      </c>
      <c r="C67" s="399">
        <f t="shared" si="3"/>
        <v>0.54127463318393054</v>
      </c>
      <c r="D67" s="84">
        <v>0.54127463318393054</v>
      </c>
      <c r="E67" s="298">
        <v>1</v>
      </c>
      <c r="F67" s="315">
        <v>1</v>
      </c>
      <c r="G67" s="379">
        <v>0</v>
      </c>
      <c r="H67" s="380">
        <v>0</v>
      </c>
      <c r="I67" s="380">
        <v>1</v>
      </c>
      <c r="J67" s="380">
        <v>0</v>
      </c>
      <c r="K67" s="380">
        <v>0</v>
      </c>
      <c r="L67" s="380">
        <v>0</v>
      </c>
      <c r="M67" s="380">
        <v>0</v>
      </c>
      <c r="N67" s="380">
        <v>0</v>
      </c>
      <c r="O67" s="303">
        <v>-1</v>
      </c>
      <c r="P67" s="19">
        <v>0.24390243902439024</v>
      </c>
      <c r="Q67" s="1">
        <v>0.41463414634146339</v>
      </c>
      <c r="R67" s="1">
        <v>0</v>
      </c>
      <c r="S67" s="1">
        <v>7.3170731707317069E-2</v>
      </c>
      <c r="T67" s="1">
        <v>4.878048780487805E-2</v>
      </c>
      <c r="U67" s="1">
        <v>7.3170731707317069E-2</v>
      </c>
      <c r="V67" s="1">
        <v>7.3170731707317069E-2</v>
      </c>
      <c r="W67" s="1">
        <v>7.3170731707317069E-2</v>
      </c>
      <c r="X67" s="3">
        <v>0</v>
      </c>
      <c r="Y67" s="2">
        <v>0</v>
      </c>
      <c r="Z67" s="315">
        <f t="shared" si="5"/>
        <v>1</v>
      </c>
    </row>
    <row r="68" spans="1:26">
      <c r="A68" s="124">
        <f t="shared" si="4"/>
        <v>63</v>
      </c>
      <c r="B68" s="122">
        <f t="shared" si="2"/>
        <v>15</v>
      </c>
      <c r="C68" s="399">
        <f t="shared" si="3"/>
        <v>0.93265998971361697</v>
      </c>
      <c r="D68" s="84">
        <v>0.93265998971361697</v>
      </c>
      <c r="E68" s="298">
        <v>-1</v>
      </c>
      <c r="F68" s="315">
        <v>1</v>
      </c>
      <c r="G68" s="379">
        <v>-1</v>
      </c>
      <c r="H68" s="380">
        <v>0</v>
      </c>
      <c r="I68" s="380">
        <v>-1</v>
      </c>
      <c r="J68" s="380">
        <v>0</v>
      </c>
      <c r="K68" s="380">
        <v>0</v>
      </c>
      <c r="L68" s="380">
        <v>0</v>
      </c>
      <c r="M68" s="380">
        <v>0</v>
      </c>
      <c r="N68" s="380">
        <v>0</v>
      </c>
      <c r="O68" s="303">
        <v>1</v>
      </c>
      <c r="P68" s="19">
        <v>0</v>
      </c>
      <c r="Q68" s="1">
        <v>0.68292682926829273</v>
      </c>
      <c r="R68" s="1">
        <v>0</v>
      </c>
      <c r="S68" s="1">
        <v>7.3170731707317069E-2</v>
      </c>
      <c r="T68" s="1">
        <v>4.878048780487805E-2</v>
      </c>
      <c r="U68" s="1">
        <v>7.3170731707317069E-2</v>
      </c>
      <c r="V68" s="1">
        <v>4.878048780487805E-2</v>
      </c>
      <c r="W68" s="1">
        <v>7.3170731707317069E-2</v>
      </c>
      <c r="X68" s="3">
        <v>0</v>
      </c>
      <c r="Y68" s="2">
        <v>0</v>
      </c>
      <c r="Z68" s="315">
        <f t="shared" si="5"/>
        <v>-1</v>
      </c>
    </row>
    <row r="69" spans="1:26">
      <c r="A69" s="124">
        <f t="shared" si="4"/>
        <v>64</v>
      </c>
      <c r="B69" s="122">
        <f t="shared" si="2"/>
        <v>239</v>
      </c>
      <c r="C69" s="399">
        <f t="shared" si="3"/>
        <v>7.4835197482745919E-2</v>
      </c>
      <c r="D69" s="84">
        <v>7.4835197482745919E-2</v>
      </c>
      <c r="E69" s="298">
        <v>1</v>
      </c>
      <c r="F69" s="315">
        <v>1</v>
      </c>
      <c r="G69" s="379">
        <v>1</v>
      </c>
      <c r="H69" s="380">
        <v>-1</v>
      </c>
      <c r="I69" s="380">
        <v>1</v>
      </c>
      <c r="J69" s="380">
        <v>0</v>
      </c>
      <c r="K69" s="380">
        <v>0</v>
      </c>
      <c r="L69" s="380">
        <v>0</v>
      </c>
      <c r="M69" s="380">
        <v>0</v>
      </c>
      <c r="N69" s="380">
        <v>0</v>
      </c>
      <c r="O69" s="303">
        <v>-1</v>
      </c>
      <c r="P69" s="19">
        <v>0</v>
      </c>
      <c r="Q69" s="1">
        <v>0</v>
      </c>
      <c r="R69" s="1">
        <v>0</v>
      </c>
      <c r="S69" s="1">
        <v>4.3478260869565216E-2</v>
      </c>
      <c r="T69" s="1">
        <v>2.1739130434782608E-2</v>
      </c>
      <c r="U69" s="1">
        <v>4.3478260869565216E-2</v>
      </c>
      <c r="V69" s="1">
        <v>0.84782608695652173</v>
      </c>
      <c r="W69" s="1">
        <v>4.3478260869565216E-2</v>
      </c>
      <c r="X69" s="3">
        <v>0</v>
      </c>
      <c r="Y69" s="2">
        <v>0</v>
      </c>
      <c r="Z69" s="315">
        <f t="shared" si="5"/>
        <v>1</v>
      </c>
    </row>
    <row r="70" spans="1:26">
      <c r="A70" s="124">
        <f t="shared" si="4"/>
        <v>65</v>
      </c>
      <c r="B70" s="122">
        <f t="shared" ref="B70:B133" si="6">RANK(C70,$C$5:$C$260)-1</f>
        <v>33</v>
      </c>
      <c r="C70" s="399">
        <f t="shared" ref="C70:C133" si="7">IF(F70="","",D70)</f>
        <v>0.84572201904319388</v>
      </c>
      <c r="D70" s="84">
        <v>0.84572201904319388</v>
      </c>
      <c r="E70" s="298">
        <v>-1</v>
      </c>
      <c r="F70" s="315">
        <v>1</v>
      </c>
      <c r="G70" s="379">
        <v>-1</v>
      </c>
      <c r="H70" s="380">
        <v>1</v>
      </c>
      <c r="I70" s="380">
        <v>-1</v>
      </c>
      <c r="J70" s="380">
        <v>0</v>
      </c>
      <c r="K70" s="380">
        <v>0</v>
      </c>
      <c r="L70" s="380">
        <v>0</v>
      </c>
      <c r="M70" s="380">
        <v>-1</v>
      </c>
      <c r="N70" s="380">
        <v>0</v>
      </c>
      <c r="O70" s="303">
        <v>1</v>
      </c>
      <c r="P70" s="19">
        <v>0</v>
      </c>
      <c r="Q70" s="1">
        <v>0</v>
      </c>
      <c r="R70" s="1">
        <v>0</v>
      </c>
      <c r="S70" s="1">
        <v>0.27692307692307694</v>
      </c>
      <c r="T70" s="1">
        <v>0.35384615384615387</v>
      </c>
      <c r="U70" s="1">
        <v>0.18461538461538463</v>
      </c>
      <c r="V70" s="1">
        <v>0</v>
      </c>
      <c r="W70" s="1">
        <v>0.18461538461538463</v>
      </c>
      <c r="X70" s="3">
        <v>0</v>
      </c>
      <c r="Y70" s="2">
        <v>0</v>
      </c>
      <c r="Z70" s="315">
        <f t="shared" ref="Z70:Z103" si="8">F70*E70</f>
        <v>-1</v>
      </c>
    </row>
    <row r="71" spans="1:26">
      <c r="A71" s="124">
        <f t="shared" ref="A71:A134" si="9">A70+1</f>
        <v>66</v>
      </c>
      <c r="B71" s="122">
        <f t="shared" si="6"/>
        <v>193</v>
      </c>
      <c r="C71" s="399">
        <f t="shared" si="7"/>
        <v>0.23613096076933771</v>
      </c>
      <c r="D71" s="84">
        <v>0.23613096076933771</v>
      </c>
      <c r="E71" s="298">
        <v>1</v>
      </c>
      <c r="F71" s="315">
        <v>1</v>
      </c>
      <c r="G71" s="379">
        <v>1</v>
      </c>
      <c r="H71" s="380">
        <v>-1</v>
      </c>
      <c r="I71" s="380">
        <v>1</v>
      </c>
      <c r="J71" s="380">
        <v>-1</v>
      </c>
      <c r="K71" s="380">
        <v>0</v>
      </c>
      <c r="L71" s="380">
        <v>0</v>
      </c>
      <c r="M71" s="380">
        <v>1</v>
      </c>
      <c r="N71" s="380">
        <v>0</v>
      </c>
      <c r="O71" s="303">
        <v>-1</v>
      </c>
      <c r="P71" s="19">
        <v>0</v>
      </c>
      <c r="Q71" s="1">
        <v>0</v>
      </c>
      <c r="R71" s="1">
        <v>0</v>
      </c>
      <c r="S71" s="1">
        <v>0</v>
      </c>
      <c r="T71" s="1">
        <v>0.92241379310344829</v>
      </c>
      <c r="U71" s="1">
        <v>4.3103448275862072E-2</v>
      </c>
      <c r="V71" s="1">
        <v>0</v>
      </c>
      <c r="W71" s="1">
        <v>3.4482758620689655E-2</v>
      </c>
      <c r="X71" s="3">
        <v>0</v>
      </c>
      <c r="Y71" s="2">
        <v>0</v>
      </c>
      <c r="Z71" s="315">
        <f t="shared" si="8"/>
        <v>1</v>
      </c>
    </row>
    <row r="72" spans="1:26">
      <c r="A72" s="124">
        <f t="shared" si="9"/>
        <v>67</v>
      </c>
      <c r="B72" s="122">
        <f t="shared" si="6"/>
        <v>166</v>
      </c>
      <c r="C72" s="399">
        <f t="shared" si="7"/>
        <v>0.33384368185699353</v>
      </c>
      <c r="D72" s="84">
        <v>0.33384368185699353</v>
      </c>
      <c r="E72" s="298">
        <v>1</v>
      </c>
      <c r="F72" s="315">
        <v>1</v>
      </c>
      <c r="G72" s="379">
        <v>0</v>
      </c>
      <c r="H72" s="380">
        <v>0</v>
      </c>
      <c r="I72" s="380">
        <v>0</v>
      </c>
      <c r="J72" s="380">
        <v>0</v>
      </c>
      <c r="K72" s="380">
        <v>0</v>
      </c>
      <c r="L72" s="380">
        <v>0</v>
      </c>
      <c r="M72" s="380">
        <v>0</v>
      </c>
      <c r="N72" s="380">
        <v>0</v>
      </c>
      <c r="O72" s="303">
        <v>0</v>
      </c>
      <c r="P72" s="19">
        <v>0.10638297872340426</v>
      </c>
      <c r="Q72" s="1">
        <v>0.1276595744680851</v>
      </c>
      <c r="R72" s="1">
        <v>8.5106382978723402E-2</v>
      </c>
      <c r="S72" s="1">
        <v>0.10638297872340426</v>
      </c>
      <c r="T72" s="1">
        <v>0.1276595744680851</v>
      </c>
      <c r="U72" s="1">
        <v>0.10638297872340426</v>
      </c>
      <c r="V72" s="1">
        <v>0.10638297872340426</v>
      </c>
      <c r="W72" s="1">
        <v>0.1276595744680851</v>
      </c>
      <c r="X72" s="3">
        <v>0.10638297872340426</v>
      </c>
      <c r="Y72" s="2">
        <v>0</v>
      </c>
      <c r="Z72" s="315">
        <f t="shared" si="8"/>
        <v>1</v>
      </c>
    </row>
    <row r="73" spans="1:26">
      <c r="A73" s="124">
        <f t="shared" si="9"/>
        <v>68</v>
      </c>
      <c r="B73" s="122">
        <f t="shared" si="6"/>
        <v>70</v>
      </c>
      <c r="C73" s="399">
        <f t="shared" si="7"/>
        <v>0.70241118715552053</v>
      </c>
      <c r="D73" s="84">
        <v>0.70241118715552053</v>
      </c>
      <c r="E73" s="298">
        <v>-1</v>
      </c>
      <c r="F73" s="315">
        <v>1</v>
      </c>
      <c r="G73" s="379">
        <v>0</v>
      </c>
      <c r="H73" s="380">
        <v>0</v>
      </c>
      <c r="I73" s="380">
        <v>0</v>
      </c>
      <c r="J73" s="380">
        <v>0</v>
      </c>
      <c r="K73" s="380">
        <v>0</v>
      </c>
      <c r="L73" s="380">
        <v>0</v>
      </c>
      <c r="M73" s="380">
        <v>0</v>
      </c>
      <c r="N73" s="380">
        <v>0</v>
      </c>
      <c r="O73" s="303">
        <v>-1</v>
      </c>
      <c r="P73" s="19">
        <v>0.1276595744680851</v>
      </c>
      <c r="Q73" s="1">
        <v>0.1276595744680851</v>
      </c>
      <c r="R73" s="1">
        <v>0.10638297872340426</v>
      </c>
      <c r="S73" s="1">
        <v>0.14893617021276595</v>
      </c>
      <c r="T73" s="1">
        <v>0.10638297872340426</v>
      </c>
      <c r="U73" s="1">
        <v>0.1276595744680851</v>
      </c>
      <c r="V73" s="1">
        <v>0.1276595744680851</v>
      </c>
      <c r="W73" s="1">
        <v>0.1276595744680851</v>
      </c>
      <c r="X73" s="3">
        <v>0</v>
      </c>
      <c r="Y73" s="2">
        <v>0</v>
      </c>
      <c r="Z73" s="315">
        <f t="shared" si="8"/>
        <v>-1</v>
      </c>
    </row>
    <row r="74" spans="1:26">
      <c r="A74" s="124">
        <f t="shared" si="9"/>
        <v>69</v>
      </c>
      <c r="B74" s="122">
        <f t="shared" si="6"/>
        <v>210</v>
      </c>
      <c r="C74" s="399">
        <f t="shared" si="7"/>
        <v>0.17273277157062872</v>
      </c>
      <c r="D74" s="84">
        <v>0.17273277157062872</v>
      </c>
      <c r="E74" s="298">
        <v>1</v>
      </c>
      <c r="F74" s="315">
        <v>1</v>
      </c>
      <c r="G74" s="379">
        <v>-1</v>
      </c>
      <c r="H74" s="380">
        <v>0</v>
      </c>
      <c r="I74" s="380">
        <v>0</v>
      </c>
      <c r="J74" s="380">
        <v>0</v>
      </c>
      <c r="K74" s="380">
        <v>0</v>
      </c>
      <c r="L74" s="380">
        <v>0</v>
      </c>
      <c r="M74" s="380">
        <v>0</v>
      </c>
      <c r="N74" s="380">
        <v>0</v>
      </c>
      <c r="O74" s="303">
        <v>1</v>
      </c>
      <c r="P74" s="19">
        <v>0</v>
      </c>
      <c r="Q74" s="1">
        <v>0.13333333333333333</v>
      </c>
      <c r="R74" s="1">
        <v>0.1111111111111111</v>
      </c>
      <c r="S74" s="1">
        <v>0.13333333333333333</v>
      </c>
      <c r="T74" s="1">
        <v>0.13333333333333333</v>
      </c>
      <c r="U74" s="1">
        <v>0.26666666666666666</v>
      </c>
      <c r="V74" s="1">
        <v>0.1111111111111111</v>
      </c>
      <c r="W74" s="1">
        <v>0.1111111111111111</v>
      </c>
      <c r="X74" s="3">
        <v>0</v>
      </c>
      <c r="Y74" s="2">
        <v>0</v>
      </c>
      <c r="Z74" s="315">
        <f t="shared" si="8"/>
        <v>1</v>
      </c>
    </row>
    <row r="75" spans="1:26">
      <c r="A75" s="124">
        <f t="shared" si="9"/>
        <v>70</v>
      </c>
      <c r="B75" s="122">
        <f t="shared" si="6"/>
        <v>145</v>
      </c>
      <c r="C75" s="399">
        <f t="shared" si="7"/>
        <v>0.44811967662079755</v>
      </c>
      <c r="D75" s="84">
        <v>0.44811967662079755</v>
      </c>
      <c r="E75" s="298">
        <v>-1</v>
      </c>
      <c r="F75" s="315">
        <v>1</v>
      </c>
      <c r="G75" s="379">
        <v>1</v>
      </c>
      <c r="H75" s="380">
        <v>0</v>
      </c>
      <c r="I75" s="380">
        <v>-1</v>
      </c>
      <c r="J75" s="380">
        <v>0</v>
      </c>
      <c r="K75" s="380">
        <v>0</v>
      </c>
      <c r="L75" s="380">
        <v>0</v>
      </c>
      <c r="M75" s="380">
        <v>0</v>
      </c>
      <c r="N75" s="380">
        <v>0</v>
      </c>
      <c r="O75" s="303">
        <v>-1</v>
      </c>
      <c r="P75" s="19">
        <v>0</v>
      </c>
      <c r="Q75" s="1">
        <v>9.3023255813953487E-2</v>
      </c>
      <c r="R75" s="1">
        <v>0</v>
      </c>
      <c r="S75" s="1">
        <v>9.3023255813953487E-2</v>
      </c>
      <c r="T75" s="1">
        <v>0.11627906976744186</v>
      </c>
      <c r="U75" s="1">
        <v>0.46511627906976744</v>
      </c>
      <c r="V75" s="1">
        <v>0.13953488372093023</v>
      </c>
      <c r="W75" s="1">
        <v>9.3023255813953487E-2</v>
      </c>
      <c r="X75" s="3">
        <v>0</v>
      </c>
      <c r="Y75" s="2">
        <v>0</v>
      </c>
      <c r="Z75" s="315">
        <f t="shared" si="8"/>
        <v>-1</v>
      </c>
    </row>
    <row r="76" spans="1:26">
      <c r="A76" s="124">
        <f t="shared" si="9"/>
        <v>71</v>
      </c>
      <c r="B76" s="122">
        <f t="shared" si="6"/>
        <v>32</v>
      </c>
      <c r="C76" s="399">
        <f t="shared" si="7"/>
        <v>0.84787026433941304</v>
      </c>
      <c r="D76" s="84">
        <v>0.84787026433941304</v>
      </c>
      <c r="E76" s="298">
        <v>1</v>
      </c>
      <c r="F76" s="315">
        <v>1</v>
      </c>
      <c r="G76" s="379">
        <v>-1</v>
      </c>
      <c r="H76" s="380">
        <v>-1</v>
      </c>
      <c r="I76" s="380">
        <v>1</v>
      </c>
      <c r="J76" s="380">
        <v>0</v>
      </c>
      <c r="K76" s="380">
        <v>0</v>
      </c>
      <c r="L76" s="380">
        <v>0</v>
      </c>
      <c r="M76" s="380">
        <v>0</v>
      </c>
      <c r="N76" s="380">
        <v>0</v>
      </c>
      <c r="O76" s="303">
        <v>1</v>
      </c>
      <c r="P76" s="19">
        <v>0</v>
      </c>
      <c r="Q76" s="1">
        <v>0</v>
      </c>
      <c r="R76" s="1">
        <v>0</v>
      </c>
      <c r="S76" s="1">
        <v>2.5862068965517241E-2</v>
      </c>
      <c r="T76" s="1">
        <v>2.5862068965517241E-2</v>
      </c>
      <c r="U76" s="1">
        <v>0.90517241379310343</v>
      </c>
      <c r="V76" s="1">
        <v>2.5862068965517241E-2</v>
      </c>
      <c r="W76" s="1">
        <v>1.7241379310344827E-2</v>
      </c>
      <c r="X76" s="3">
        <v>0</v>
      </c>
      <c r="Y76" s="2">
        <v>0</v>
      </c>
      <c r="Z76" s="315">
        <f t="shared" si="8"/>
        <v>1</v>
      </c>
    </row>
    <row r="77" spans="1:26">
      <c r="A77" s="124">
        <f t="shared" si="9"/>
        <v>72</v>
      </c>
      <c r="B77" s="122">
        <f t="shared" si="6"/>
        <v>2</v>
      </c>
      <c r="C77" s="399">
        <f t="shared" si="7"/>
        <v>0.99226985399853818</v>
      </c>
      <c r="D77" s="84">
        <v>0.99226985399853818</v>
      </c>
      <c r="E77" s="298">
        <v>1</v>
      </c>
      <c r="F77" s="315">
        <v>1</v>
      </c>
      <c r="G77" s="379">
        <v>0</v>
      </c>
      <c r="H77" s="380">
        <v>0</v>
      </c>
      <c r="I77" s="380">
        <v>0</v>
      </c>
      <c r="J77" s="380">
        <v>0</v>
      </c>
      <c r="K77" s="380">
        <v>0</v>
      </c>
      <c r="L77" s="380">
        <v>0</v>
      </c>
      <c r="M77" s="380">
        <v>0</v>
      </c>
      <c r="N77" s="380">
        <v>0</v>
      </c>
      <c r="O77" s="303">
        <v>0</v>
      </c>
      <c r="P77" s="19">
        <v>0.10638297872340426</v>
      </c>
      <c r="Q77" s="1">
        <v>0.10638297872340426</v>
      </c>
      <c r="R77" s="1">
        <v>8.5106382978723402E-2</v>
      </c>
      <c r="S77" s="1">
        <v>0.10638297872340426</v>
      </c>
      <c r="T77" s="1">
        <v>0.10638297872340426</v>
      </c>
      <c r="U77" s="1">
        <v>0.1276595744680851</v>
      </c>
      <c r="V77" s="1">
        <v>0.10638297872340426</v>
      </c>
      <c r="W77" s="1">
        <v>0.1276595744680851</v>
      </c>
      <c r="X77" s="3">
        <v>0.1276595744680851</v>
      </c>
      <c r="Y77" s="2">
        <v>0</v>
      </c>
      <c r="Z77" s="315">
        <f t="shared" si="8"/>
        <v>1</v>
      </c>
    </row>
    <row r="78" spans="1:26">
      <c r="A78" s="124">
        <f t="shared" si="9"/>
        <v>73</v>
      </c>
      <c r="B78" s="122">
        <f t="shared" si="6"/>
        <v>65</v>
      </c>
      <c r="C78" s="399">
        <f t="shared" si="7"/>
        <v>0.72562503395186018</v>
      </c>
      <c r="D78" s="84">
        <v>0.72562503395186018</v>
      </c>
      <c r="E78" s="298">
        <v>-1</v>
      </c>
      <c r="F78" s="315">
        <v>1</v>
      </c>
      <c r="G78" s="379">
        <v>0</v>
      </c>
      <c r="H78" s="380">
        <v>0</v>
      </c>
      <c r="I78" s="380">
        <v>0</v>
      </c>
      <c r="J78" s="380">
        <v>0</v>
      </c>
      <c r="K78" s="380">
        <v>0</v>
      </c>
      <c r="L78" s="380">
        <v>0</v>
      </c>
      <c r="M78" s="380">
        <v>-1</v>
      </c>
      <c r="N78" s="380">
        <v>0</v>
      </c>
      <c r="O78" s="303">
        <v>0</v>
      </c>
      <c r="P78" s="19">
        <v>0.1276595744680851</v>
      </c>
      <c r="Q78" s="1">
        <v>0.1276595744680851</v>
      </c>
      <c r="R78" s="1">
        <v>8.5106382978723402E-2</v>
      </c>
      <c r="S78" s="1">
        <v>0.14893617021276595</v>
      </c>
      <c r="T78" s="1">
        <v>0.1276595744680851</v>
      </c>
      <c r="U78" s="1">
        <v>0.1276595744680851</v>
      </c>
      <c r="V78" s="1">
        <v>0</v>
      </c>
      <c r="W78" s="1">
        <v>0.1276595744680851</v>
      </c>
      <c r="X78" s="3">
        <v>0.1276595744680851</v>
      </c>
      <c r="Y78" s="2">
        <v>0</v>
      </c>
      <c r="Z78" s="315">
        <f t="shared" si="8"/>
        <v>-1</v>
      </c>
    </row>
    <row r="79" spans="1:26">
      <c r="A79" s="124">
        <f t="shared" si="9"/>
        <v>74</v>
      </c>
      <c r="B79" s="122">
        <f t="shared" si="6"/>
        <v>89</v>
      </c>
      <c r="C79" s="399">
        <f t="shared" si="7"/>
        <v>0.64301312194148375</v>
      </c>
      <c r="D79" s="84">
        <v>0.64301312194148375</v>
      </c>
      <c r="E79" s="298">
        <v>1</v>
      </c>
      <c r="F79" s="315">
        <v>1</v>
      </c>
      <c r="G79" s="379">
        <v>-1</v>
      </c>
      <c r="H79" s="380">
        <v>0</v>
      </c>
      <c r="I79" s="380">
        <v>0</v>
      </c>
      <c r="J79" s="380">
        <v>0</v>
      </c>
      <c r="K79" s="380">
        <v>0</v>
      </c>
      <c r="L79" s="380">
        <v>0</v>
      </c>
      <c r="M79" s="380">
        <v>1</v>
      </c>
      <c r="N79" s="380">
        <v>0</v>
      </c>
      <c r="O79" s="303">
        <v>0</v>
      </c>
      <c r="P79" s="19">
        <v>0</v>
      </c>
      <c r="Q79" s="1">
        <v>0.13333333333333333</v>
      </c>
      <c r="R79" s="1">
        <v>8.8888888888888892E-2</v>
      </c>
      <c r="S79" s="1">
        <v>0.1111111111111111</v>
      </c>
      <c r="T79" s="1">
        <v>0.26666666666666666</v>
      </c>
      <c r="U79" s="1">
        <v>0.13333333333333333</v>
      </c>
      <c r="V79" s="1">
        <v>0</v>
      </c>
      <c r="W79" s="1">
        <v>0.13333333333333333</v>
      </c>
      <c r="X79" s="3">
        <v>0.13333333333333333</v>
      </c>
      <c r="Y79" s="2">
        <v>0</v>
      </c>
      <c r="Z79" s="315">
        <f t="shared" si="8"/>
        <v>1</v>
      </c>
    </row>
    <row r="80" spans="1:26">
      <c r="A80" s="124">
        <f t="shared" si="9"/>
        <v>75</v>
      </c>
      <c r="B80" s="122">
        <f t="shared" si="6"/>
        <v>181</v>
      </c>
      <c r="C80" s="399">
        <f t="shared" si="7"/>
        <v>0.2870752566711624</v>
      </c>
      <c r="D80" s="84">
        <v>0.2870752566711624</v>
      </c>
      <c r="E80" s="298">
        <v>-1</v>
      </c>
      <c r="F80" s="315">
        <v>1</v>
      </c>
      <c r="G80" s="379">
        <v>1</v>
      </c>
      <c r="H80" s="380">
        <v>0</v>
      </c>
      <c r="I80" s="380">
        <v>0</v>
      </c>
      <c r="J80" s="380">
        <v>0</v>
      </c>
      <c r="K80" s="380">
        <v>0</v>
      </c>
      <c r="L80" s="380">
        <v>-1</v>
      </c>
      <c r="M80" s="380">
        <v>-1</v>
      </c>
      <c r="N80" s="380">
        <v>0</v>
      </c>
      <c r="O80" s="303">
        <v>0</v>
      </c>
      <c r="P80" s="19">
        <v>0</v>
      </c>
      <c r="Q80" s="1">
        <v>0.43902439024390244</v>
      </c>
      <c r="R80" s="1">
        <v>0.14634146341463414</v>
      </c>
      <c r="S80" s="1">
        <v>9.7560975609756101E-2</v>
      </c>
      <c r="T80" s="1">
        <v>0.12195121951219512</v>
      </c>
      <c r="U80" s="1">
        <v>0</v>
      </c>
      <c r="V80" s="1">
        <v>0</v>
      </c>
      <c r="W80" s="1">
        <v>9.7560975609756101E-2</v>
      </c>
      <c r="X80" s="3">
        <v>9.7560975609756101E-2</v>
      </c>
      <c r="Y80" s="2">
        <v>0</v>
      </c>
      <c r="Z80" s="315">
        <f t="shared" si="8"/>
        <v>-1</v>
      </c>
    </row>
    <row r="81" spans="1:26">
      <c r="A81" s="124">
        <f t="shared" si="9"/>
        <v>76</v>
      </c>
      <c r="B81" s="122">
        <f t="shared" si="6"/>
        <v>148</v>
      </c>
      <c r="C81" s="399">
        <f t="shared" si="7"/>
        <v>0.40816647904580139</v>
      </c>
      <c r="D81" s="84">
        <v>0.40816647904580139</v>
      </c>
      <c r="E81" s="298">
        <v>1</v>
      </c>
      <c r="F81" s="315">
        <v>1</v>
      </c>
      <c r="G81" s="379">
        <v>-1</v>
      </c>
      <c r="H81" s="380">
        <v>0</v>
      </c>
      <c r="I81" s="380">
        <v>0</v>
      </c>
      <c r="J81" s="380">
        <v>0</v>
      </c>
      <c r="K81" s="380">
        <v>0</v>
      </c>
      <c r="L81" s="380">
        <v>1</v>
      </c>
      <c r="M81" s="380">
        <v>1</v>
      </c>
      <c r="N81" s="380">
        <v>0</v>
      </c>
      <c r="O81" s="303">
        <v>-1</v>
      </c>
      <c r="P81" s="19">
        <v>0</v>
      </c>
      <c r="Q81" s="1">
        <v>0.10869565217391304</v>
      </c>
      <c r="R81" s="1">
        <v>6.5217391304347824E-2</v>
      </c>
      <c r="S81" s="1">
        <v>8.6956521739130432E-2</v>
      </c>
      <c r="T81" s="1">
        <v>0.65217391304347827</v>
      </c>
      <c r="U81" s="1">
        <v>0</v>
      </c>
      <c r="V81" s="1">
        <v>0</v>
      </c>
      <c r="W81" s="1">
        <v>8.6956521739130432E-2</v>
      </c>
      <c r="X81" s="3">
        <v>0</v>
      </c>
      <c r="Y81" s="2">
        <v>0</v>
      </c>
      <c r="Z81" s="315">
        <f t="shared" si="8"/>
        <v>1</v>
      </c>
    </row>
    <row r="82" spans="1:26">
      <c r="A82" s="124">
        <f t="shared" si="9"/>
        <v>77</v>
      </c>
      <c r="B82" s="122">
        <f t="shared" si="6"/>
        <v>167</v>
      </c>
      <c r="C82" s="399">
        <f t="shared" si="7"/>
        <v>0.32753029019786284</v>
      </c>
      <c r="D82" s="84">
        <v>0.32753029019786284</v>
      </c>
      <c r="E82" s="298">
        <v>-1</v>
      </c>
      <c r="F82" s="315">
        <v>1</v>
      </c>
      <c r="G82" s="379">
        <v>1</v>
      </c>
      <c r="H82" s="380">
        <v>0</v>
      </c>
      <c r="I82" s="380">
        <v>0</v>
      </c>
      <c r="J82" s="380">
        <v>0</v>
      </c>
      <c r="K82" s="380">
        <v>-1</v>
      </c>
      <c r="L82" s="380">
        <v>-1</v>
      </c>
      <c r="M82" s="380">
        <v>-1</v>
      </c>
      <c r="N82" s="380">
        <v>0</v>
      </c>
      <c r="O82" s="303">
        <v>1</v>
      </c>
      <c r="P82" s="19">
        <v>0</v>
      </c>
      <c r="Q82" s="1">
        <v>0.125</v>
      </c>
      <c r="R82" s="1">
        <v>0.328125</v>
      </c>
      <c r="S82" s="1">
        <v>0.296875</v>
      </c>
      <c r="T82" s="1">
        <v>0</v>
      </c>
      <c r="U82" s="1">
        <v>0</v>
      </c>
      <c r="V82" s="1">
        <v>0</v>
      </c>
      <c r="W82" s="1">
        <v>0.25</v>
      </c>
      <c r="X82" s="3">
        <v>0</v>
      </c>
      <c r="Y82" s="2">
        <v>0</v>
      </c>
      <c r="Z82" s="315">
        <f t="shared" si="8"/>
        <v>-1</v>
      </c>
    </row>
    <row r="83" spans="1:26">
      <c r="A83" s="124">
        <f t="shared" si="9"/>
        <v>78</v>
      </c>
      <c r="B83" s="122">
        <f t="shared" si="6"/>
        <v>90</v>
      </c>
      <c r="C83" s="399">
        <f t="shared" si="7"/>
        <v>0.63920064542851451</v>
      </c>
      <c r="D83" s="84">
        <v>0.63920064542851451</v>
      </c>
      <c r="E83" s="298">
        <v>1</v>
      </c>
      <c r="F83" s="315">
        <v>1</v>
      </c>
      <c r="G83" s="379">
        <v>-1</v>
      </c>
      <c r="H83" s="380">
        <v>0</v>
      </c>
      <c r="I83" s="380">
        <v>0</v>
      </c>
      <c r="J83" s="380">
        <v>-1</v>
      </c>
      <c r="K83" s="380">
        <v>1</v>
      </c>
      <c r="L83" s="380">
        <v>1</v>
      </c>
      <c r="M83" s="380">
        <v>1</v>
      </c>
      <c r="N83" s="380">
        <v>0</v>
      </c>
      <c r="O83" s="303">
        <v>-1</v>
      </c>
      <c r="P83" s="19">
        <v>0</v>
      </c>
      <c r="Q83" s="1">
        <v>0.29032258064516131</v>
      </c>
      <c r="R83" s="1">
        <v>0.40322580645161288</v>
      </c>
      <c r="S83" s="1">
        <v>0</v>
      </c>
      <c r="T83" s="1">
        <v>0</v>
      </c>
      <c r="U83" s="1">
        <v>0</v>
      </c>
      <c r="V83" s="1">
        <v>0</v>
      </c>
      <c r="W83" s="1">
        <v>0.30645161290322581</v>
      </c>
      <c r="X83" s="3">
        <v>0</v>
      </c>
      <c r="Y83" s="2">
        <v>0</v>
      </c>
      <c r="Z83" s="315">
        <f t="shared" si="8"/>
        <v>1</v>
      </c>
    </row>
    <row r="84" spans="1:26">
      <c r="A84" s="124">
        <f t="shared" si="9"/>
        <v>79</v>
      </c>
      <c r="B84" s="122">
        <f t="shared" si="6"/>
        <v>18</v>
      </c>
      <c r="C84" s="399">
        <f t="shared" si="7"/>
        <v>0.93020599816304428</v>
      </c>
      <c r="D84" s="84">
        <v>0.93020599816304428</v>
      </c>
      <c r="E84" s="298">
        <v>-1</v>
      </c>
      <c r="F84" s="315">
        <v>1</v>
      </c>
      <c r="G84" s="379">
        <v>1</v>
      </c>
      <c r="H84" s="380">
        <v>0</v>
      </c>
      <c r="I84" s="380">
        <v>0</v>
      </c>
      <c r="J84" s="380">
        <v>1</v>
      </c>
      <c r="K84" s="380">
        <v>-1</v>
      </c>
      <c r="L84" s="380">
        <v>-1</v>
      </c>
      <c r="M84" s="380">
        <v>-1</v>
      </c>
      <c r="N84" s="380">
        <v>-1</v>
      </c>
      <c r="O84" s="303">
        <v>1</v>
      </c>
      <c r="P84" s="19">
        <v>0</v>
      </c>
      <c r="Q84" s="1">
        <v>0.58208955223880599</v>
      </c>
      <c r="R84" s="1">
        <v>0.41791044776119401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3">
        <v>0</v>
      </c>
      <c r="Y84" s="2">
        <v>0</v>
      </c>
      <c r="Z84" s="315">
        <f t="shared" si="8"/>
        <v>-1</v>
      </c>
    </row>
    <row r="85" spans="1:26">
      <c r="A85" s="124">
        <f t="shared" si="9"/>
        <v>80</v>
      </c>
      <c r="B85" s="122">
        <f t="shared" si="6"/>
        <v>92</v>
      </c>
      <c r="C85" s="399">
        <f t="shared" si="7"/>
        <v>0.6303010531846478</v>
      </c>
      <c r="D85" s="84">
        <v>0.6303010531846478</v>
      </c>
      <c r="E85" s="298">
        <v>1</v>
      </c>
      <c r="F85" s="315">
        <v>1</v>
      </c>
      <c r="G85" s="379">
        <v>-1</v>
      </c>
      <c r="H85" s="380">
        <v>-1</v>
      </c>
      <c r="I85" s="380">
        <v>0</v>
      </c>
      <c r="J85" s="380">
        <v>-1</v>
      </c>
      <c r="K85" s="380">
        <v>1</v>
      </c>
      <c r="L85" s="380">
        <v>1</v>
      </c>
      <c r="M85" s="380">
        <v>1</v>
      </c>
      <c r="N85" s="380">
        <v>1</v>
      </c>
      <c r="O85" s="303">
        <v>-1</v>
      </c>
      <c r="P85" s="19">
        <v>0</v>
      </c>
      <c r="Q85" s="1">
        <v>0</v>
      </c>
      <c r="R85" s="1">
        <v>1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3">
        <v>0</v>
      </c>
      <c r="Y85" s="2">
        <v>0</v>
      </c>
      <c r="Z85" s="315">
        <f t="shared" si="8"/>
        <v>1</v>
      </c>
    </row>
    <row r="86" spans="1:26">
      <c r="A86" s="124">
        <f t="shared" si="9"/>
        <v>81</v>
      </c>
      <c r="B86" s="122">
        <f t="shared" si="6"/>
        <v>67</v>
      </c>
      <c r="C86" s="399">
        <f t="shared" si="7"/>
        <v>0.71510226249004671</v>
      </c>
      <c r="D86" s="84">
        <v>0.71510226249004671</v>
      </c>
      <c r="E86" s="298">
        <v>1</v>
      </c>
      <c r="F86" s="315">
        <v>0</v>
      </c>
      <c r="G86" s="379">
        <v>0</v>
      </c>
      <c r="H86" s="380">
        <v>0</v>
      </c>
      <c r="I86" s="380">
        <v>0</v>
      </c>
      <c r="J86" s="380">
        <v>0</v>
      </c>
      <c r="K86" s="380">
        <v>0</v>
      </c>
      <c r="L86" s="380">
        <v>0</v>
      </c>
      <c r="M86" s="380">
        <v>0</v>
      </c>
      <c r="N86" s="380">
        <v>0</v>
      </c>
      <c r="O86" s="303">
        <v>0</v>
      </c>
      <c r="P86" s="19">
        <v>0.14285714285714285</v>
      </c>
      <c r="Q86" s="1">
        <v>7.1428571428571425E-2</v>
      </c>
      <c r="R86" s="1">
        <v>0.11904761904761904</v>
      </c>
      <c r="S86" s="1">
        <v>0.11904761904761904</v>
      </c>
      <c r="T86" s="1">
        <v>9.5238095238095233E-2</v>
      </c>
      <c r="U86" s="1">
        <v>0.11904761904761904</v>
      </c>
      <c r="V86" s="1">
        <v>9.5238095238095233E-2</v>
      </c>
      <c r="W86" s="1">
        <v>0.14285714285714285</v>
      </c>
      <c r="X86" s="3">
        <v>9.5238095238095233E-2</v>
      </c>
      <c r="Y86" s="2">
        <v>0</v>
      </c>
      <c r="Z86" s="315">
        <f t="shared" si="8"/>
        <v>0</v>
      </c>
    </row>
    <row r="87" spans="1:26">
      <c r="A87" s="124">
        <f t="shared" si="9"/>
        <v>82</v>
      </c>
      <c r="B87" s="122">
        <f t="shared" si="6"/>
        <v>254</v>
      </c>
      <c r="C87" s="399">
        <f t="shared" si="7"/>
        <v>1.2824634848983107E-2</v>
      </c>
      <c r="D87" s="84">
        <v>1.2824634848983107E-2</v>
      </c>
      <c r="E87" s="298">
        <v>-1</v>
      </c>
      <c r="F87" s="315">
        <v>0</v>
      </c>
      <c r="G87" s="379">
        <v>0</v>
      </c>
      <c r="H87" s="380">
        <v>0</v>
      </c>
      <c r="I87" s="380">
        <v>0</v>
      </c>
      <c r="J87" s="380">
        <v>0</v>
      </c>
      <c r="K87" s="380">
        <v>0</v>
      </c>
      <c r="L87" s="380">
        <v>0</v>
      </c>
      <c r="M87" s="380">
        <v>-1</v>
      </c>
      <c r="N87" s="380">
        <v>0</v>
      </c>
      <c r="O87" s="303">
        <v>0</v>
      </c>
      <c r="P87" s="19">
        <v>0.16666666666666666</v>
      </c>
      <c r="Q87" s="1">
        <v>7.1428571428571425E-2</v>
      </c>
      <c r="R87" s="1">
        <v>7.1428571428571425E-2</v>
      </c>
      <c r="S87" s="1">
        <v>0.14285714285714285</v>
      </c>
      <c r="T87" s="1">
        <v>0.14285714285714285</v>
      </c>
      <c r="U87" s="1">
        <v>0.14285714285714285</v>
      </c>
      <c r="V87" s="1">
        <v>0</v>
      </c>
      <c r="W87" s="1">
        <v>0.16666666666666666</v>
      </c>
      <c r="X87" s="3">
        <v>9.5238095238095233E-2</v>
      </c>
      <c r="Y87" s="2">
        <v>0</v>
      </c>
      <c r="Z87" s="315">
        <f t="shared" si="8"/>
        <v>0</v>
      </c>
    </row>
    <row r="88" spans="1:26">
      <c r="A88" s="124">
        <f t="shared" si="9"/>
        <v>83</v>
      </c>
      <c r="B88" s="122">
        <f t="shared" si="6"/>
        <v>106</v>
      </c>
      <c r="C88" s="399">
        <f t="shared" si="7"/>
        <v>0.57993101001871472</v>
      </c>
      <c r="D88" s="84">
        <v>0.57993101001871472</v>
      </c>
      <c r="E88" s="298">
        <v>1</v>
      </c>
      <c r="F88" s="315">
        <v>0</v>
      </c>
      <c r="G88" s="379">
        <v>0</v>
      </c>
      <c r="H88" s="380">
        <v>0</v>
      </c>
      <c r="I88" s="380">
        <v>0</v>
      </c>
      <c r="J88" s="380">
        <v>0</v>
      </c>
      <c r="K88" s="380">
        <v>0</v>
      </c>
      <c r="L88" s="380">
        <v>-1</v>
      </c>
      <c r="M88" s="380">
        <v>1</v>
      </c>
      <c r="N88" s="380">
        <v>0</v>
      </c>
      <c r="O88" s="303">
        <v>0</v>
      </c>
      <c r="P88" s="19">
        <v>0.10256410256410256</v>
      </c>
      <c r="Q88" s="1">
        <v>0.15384615384615385</v>
      </c>
      <c r="R88" s="1">
        <v>0.10256410256410256</v>
      </c>
      <c r="S88" s="1">
        <v>0.4358974358974359</v>
      </c>
      <c r="T88" s="1">
        <v>5.128205128205128E-2</v>
      </c>
      <c r="U88" s="1">
        <v>0</v>
      </c>
      <c r="V88" s="1">
        <v>0</v>
      </c>
      <c r="W88" s="1">
        <v>0.10256410256410256</v>
      </c>
      <c r="X88" s="3">
        <v>5.128205128205128E-2</v>
      </c>
      <c r="Y88" s="2">
        <v>0</v>
      </c>
      <c r="Z88" s="315">
        <f t="shared" si="8"/>
        <v>0</v>
      </c>
    </row>
    <row r="89" spans="1:26">
      <c r="A89" s="124">
        <f t="shared" si="9"/>
        <v>84</v>
      </c>
      <c r="B89" s="122">
        <f t="shared" si="6"/>
        <v>68</v>
      </c>
      <c r="C89" s="399">
        <f t="shared" si="7"/>
        <v>0.71110849050913105</v>
      </c>
      <c r="D89" s="84">
        <v>0.71110849050913105</v>
      </c>
      <c r="E89" s="298">
        <v>-1</v>
      </c>
      <c r="F89" s="315">
        <v>0</v>
      </c>
      <c r="G89" s="379">
        <v>0</v>
      </c>
      <c r="H89" s="380">
        <v>0</v>
      </c>
      <c r="I89" s="380">
        <v>0</v>
      </c>
      <c r="J89" s="380">
        <v>-1</v>
      </c>
      <c r="K89" s="380">
        <v>0</v>
      </c>
      <c r="L89" s="380">
        <v>1</v>
      </c>
      <c r="M89" s="380">
        <v>-1</v>
      </c>
      <c r="N89" s="380">
        <v>0</v>
      </c>
      <c r="O89" s="303">
        <v>0</v>
      </c>
      <c r="P89" s="19">
        <v>0.8571428571428571</v>
      </c>
      <c r="Q89" s="1">
        <v>2.8571428571428571E-2</v>
      </c>
      <c r="R89" s="1">
        <v>2.8571428571428571E-2</v>
      </c>
      <c r="S89" s="1">
        <v>0</v>
      </c>
      <c r="T89" s="1">
        <v>2.8571428571428571E-2</v>
      </c>
      <c r="U89" s="1">
        <v>0</v>
      </c>
      <c r="V89" s="1">
        <v>0</v>
      </c>
      <c r="W89" s="1">
        <v>2.8571428571428571E-2</v>
      </c>
      <c r="X89" s="3">
        <v>2.8571428571428571E-2</v>
      </c>
      <c r="Y89" s="2">
        <v>0</v>
      </c>
      <c r="Z89" s="315">
        <f t="shared" si="8"/>
        <v>0</v>
      </c>
    </row>
    <row r="90" spans="1:26">
      <c r="A90" s="124">
        <f t="shared" si="9"/>
        <v>85</v>
      </c>
      <c r="B90" s="122">
        <f t="shared" si="6"/>
        <v>178</v>
      </c>
      <c r="C90" s="399">
        <f t="shared" si="7"/>
        <v>0.28950547663087556</v>
      </c>
      <c r="D90" s="84">
        <v>0.28950547663087556</v>
      </c>
      <c r="E90" s="298">
        <v>1</v>
      </c>
      <c r="F90" s="315">
        <v>0</v>
      </c>
      <c r="G90" s="379">
        <v>-1</v>
      </c>
      <c r="H90" s="380">
        <v>0</v>
      </c>
      <c r="I90" s="380">
        <v>0</v>
      </c>
      <c r="J90" s="380">
        <v>1</v>
      </c>
      <c r="K90" s="380">
        <v>0</v>
      </c>
      <c r="L90" s="380">
        <v>-1</v>
      </c>
      <c r="M90" s="380">
        <v>1</v>
      </c>
      <c r="N90" s="380">
        <v>0</v>
      </c>
      <c r="O90" s="303">
        <v>0</v>
      </c>
      <c r="P90" s="19">
        <v>0</v>
      </c>
      <c r="Q90" s="1">
        <v>0.15</v>
      </c>
      <c r="R90" s="1">
        <v>0.3</v>
      </c>
      <c r="S90" s="1">
        <v>0</v>
      </c>
      <c r="T90" s="1">
        <v>0.2</v>
      </c>
      <c r="U90" s="1">
        <v>0</v>
      </c>
      <c r="V90" s="1">
        <v>0</v>
      </c>
      <c r="W90" s="1">
        <v>0.22500000000000001</v>
      </c>
      <c r="X90" s="3">
        <v>0.125</v>
      </c>
      <c r="Y90" s="2">
        <v>0</v>
      </c>
      <c r="Z90" s="315">
        <f t="shared" si="8"/>
        <v>0</v>
      </c>
    </row>
    <row r="91" spans="1:26">
      <c r="A91" s="124">
        <f t="shared" si="9"/>
        <v>86</v>
      </c>
      <c r="B91" s="122">
        <f t="shared" si="6"/>
        <v>7</v>
      </c>
      <c r="C91" s="399">
        <f t="shared" si="7"/>
        <v>0.95417944703330204</v>
      </c>
      <c r="D91" s="84">
        <v>0.95417944703330204</v>
      </c>
      <c r="E91" s="298">
        <v>-1</v>
      </c>
      <c r="F91" s="315">
        <v>0</v>
      </c>
      <c r="G91" s="379">
        <v>1</v>
      </c>
      <c r="H91" s="380">
        <v>0</v>
      </c>
      <c r="I91" s="380">
        <v>0</v>
      </c>
      <c r="J91" s="380">
        <v>-1</v>
      </c>
      <c r="K91" s="380">
        <v>0</v>
      </c>
      <c r="L91" s="380">
        <v>1</v>
      </c>
      <c r="M91" s="380">
        <v>-1</v>
      </c>
      <c r="N91" s="380">
        <v>0</v>
      </c>
      <c r="O91" s="303">
        <v>-1</v>
      </c>
      <c r="P91" s="19">
        <v>0</v>
      </c>
      <c r="Q91" s="1">
        <v>0.1</v>
      </c>
      <c r="R91" s="1">
        <v>0.1</v>
      </c>
      <c r="S91" s="1">
        <v>0</v>
      </c>
      <c r="T91" s="1">
        <v>0.1</v>
      </c>
      <c r="U91" s="1">
        <v>0</v>
      </c>
      <c r="V91" s="1">
        <v>0</v>
      </c>
      <c r="W91" s="1">
        <v>0.7</v>
      </c>
      <c r="X91" s="3">
        <v>0</v>
      </c>
      <c r="Y91" s="2">
        <v>0</v>
      </c>
      <c r="Z91" s="315">
        <f t="shared" si="8"/>
        <v>0</v>
      </c>
    </row>
    <row r="92" spans="1:26">
      <c r="A92" s="124">
        <f t="shared" si="9"/>
        <v>87</v>
      </c>
      <c r="B92" s="122">
        <f t="shared" si="6"/>
        <v>183</v>
      </c>
      <c r="C92" s="399">
        <f t="shared" si="7"/>
        <v>0.27177821956592807</v>
      </c>
      <c r="D92" s="84">
        <v>0.27177821956592807</v>
      </c>
      <c r="E92" s="298">
        <v>1</v>
      </c>
      <c r="F92" s="315">
        <v>0</v>
      </c>
      <c r="G92" s="379">
        <v>-1</v>
      </c>
      <c r="H92" s="380">
        <v>0</v>
      </c>
      <c r="I92" s="380">
        <v>0</v>
      </c>
      <c r="J92" s="380">
        <v>1</v>
      </c>
      <c r="K92" s="380">
        <v>0</v>
      </c>
      <c r="L92" s="380">
        <v>-1</v>
      </c>
      <c r="M92" s="380">
        <v>1</v>
      </c>
      <c r="N92" s="380">
        <v>-1</v>
      </c>
      <c r="O92" s="303">
        <v>1</v>
      </c>
      <c r="P92" s="19">
        <v>0</v>
      </c>
      <c r="Q92" s="1">
        <v>0.26666666666666666</v>
      </c>
      <c r="R92" s="1">
        <v>0.37777777777777777</v>
      </c>
      <c r="S92" s="1">
        <v>0</v>
      </c>
      <c r="T92" s="1">
        <v>0.35555555555555557</v>
      </c>
      <c r="U92" s="1">
        <v>0</v>
      </c>
      <c r="V92" s="1">
        <v>0</v>
      </c>
      <c r="W92" s="1">
        <v>0</v>
      </c>
      <c r="X92" s="3">
        <v>0</v>
      </c>
      <c r="Y92" s="2">
        <v>0</v>
      </c>
      <c r="Z92" s="315">
        <f t="shared" si="8"/>
        <v>0</v>
      </c>
    </row>
    <row r="93" spans="1:26">
      <c r="A93" s="124">
        <f t="shared" si="9"/>
        <v>88</v>
      </c>
      <c r="B93" s="122">
        <f t="shared" si="6"/>
        <v>179</v>
      </c>
      <c r="C93" s="399">
        <f t="shared" si="7"/>
        <v>0.28842827215606037</v>
      </c>
      <c r="D93" s="84">
        <v>0.28842827215606037</v>
      </c>
      <c r="E93" s="298">
        <v>-1</v>
      </c>
      <c r="F93" s="315">
        <v>0</v>
      </c>
      <c r="G93" s="379">
        <v>1</v>
      </c>
      <c r="H93" s="380">
        <v>0</v>
      </c>
      <c r="I93" s="380">
        <v>0</v>
      </c>
      <c r="J93" s="380">
        <v>-1</v>
      </c>
      <c r="K93" s="380">
        <v>-1</v>
      </c>
      <c r="L93" s="380">
        <v>1</v>
      </c>
      <c r="M93" s="380">
        <v>-1</v>
      </c>
      <c r="N93" s="380">
        <v>1</v>
      </c>
      <c r="O93" s="303">
        <v>-1</v>
      </c>
      <c r="P93" s="19">
        <v>0</v>
      </c>
      <c r="Q93" s="1">
        <v>5.9701492537313432E-2</v>
      </c>
      <c r="R93" s="1">
        <v>0.94029850746268662</v>
      </c>
      <c r="S93" s="1">
        <v>0</v>
      </c>
      <c r="T93" s="1">
        <v>0</v>
      </c>
      <c r="U93" s="1">
        <v>0</v>
      </c>
      <c r="V93" s="1">
        <v>0</v>
      </c>
      <c r="W93" s="1">
        <v>0</v>
      </c>
      <c r="X93" s="3">
        <v>0</v>
      </c>
      <c r="Y93" s="2">
        <v>0</v>
      </c>
      <c r="Z93" s="315">
        <f t="shared" si="8"/>
        <v>0</v>
      </c>
    </row>
    <row r="94" spans="1:26">
      <c r="A94" s="124">
        <f t="shared" si="9"/>
        <v>89</v>
      </c>
      <c r="B94" s="122">
        <f t="shared" si="6"/>
        <v>165</v>
      </c>
      <c r="C94" s="399">
        <f t="shared" si="7"/>
        <v>0.33642776435562971</v>
      </c>
      <c r="D94" s="84">
        <v>0.33642776435562971</v>
      </c>
      <c r="E94" s="298">
        <v>1</v>
      </c>
      <c r="F94" s="315">
        <v>0</v>
      </c>
      <c r="G94" s="379">
        <v>-1</v>
      </c>
      <c r="H94" s="380">
        <v>0</v>
      </c>
      <c r="I94" s="380">
        <v>-1</v>
      </c>
      <c r="J94" s="380">
        <v>1</v>
      </c>
      <c r="K94" s="380">
        <v>1</v>
      </c>
      <c r="L94" s="380">
        <v>-1</v>
      </c>
      <c r="M94" s="380">
        <v>1</v>
      </c>
      <c r="N94" s="380">
        <v>-1</v>
      </c>
      <c r="O94" s="303">
        <v>1</v>
      </c>
      <c r="P94" s="19">
        <v>0</v>
      </c>
      <c r="Q94" s="1">
        <v>1</v>
      </c>
      <c r="R94" s="1">
        <v>0</v>
      </c>
      <c r="S94" s="1">
        <v>0</v>
      </c>
      <c r="T94" s="1">
        <v>0</v>
      </c>
      <c r="U94" s="1">
        <v>0</v>
      </c>
      <c r="V94" s="1">
        <v>0</v>
      </c>
      <c r="W94" s="1">
        <v>0</v>
      </c>
      <c r="X94" s="3">
        <v>0</v>
      </c>
      <c r="Y94" s="2">
        <v>0</v>
      </c>
      <c r="Z94" s="315">
        <f t="shared" si="8"/>
        <v>0</v>
      </c>
    </row>
    <row r="95" spans="1:26">
      <c r="A95" s="124">
        <f t="shared" si="9"/>
        <v>90</v>
      </c>
      <c r="B95" s="122">
        <f t="shared" si="6"/>
        <v>27</v>
      </c>
      <c r="C95" s="399">
        <f t="shared" si="7"/>
        <v>0.88192107653490004</v>
      </c>
      <c r="D95" s="84">
        <v>0.88192107653490004</v>
      </c>
      <c r="E95" s="298">
        <v>1</v>
      </c>
      <c r="F95" s="315">
        <v>1</v>
      </c>
      <c r="G95" s="379">
        <v>0</v>
      </c>
      <c r="H95" s="380">
        <v>0</v>
      </c>
      <c r="I95" s="380">
        <v>0</v>
      </c>
      <c r="J95" s="380">
        <v>0</v>
      </c>
      <c r="K95" s="380">
        <v>0</v>
      </c>
      <c r="L95" s="380">
        <v>0</v>
      </c>
      <c r="M95" s="380">
        <v>0</v>
      </c>
      <c r="N95" s="380">
        <v>0</v>
      </c>
      <c r="O95" s="303">
        <v>0</v>
      </c>
      <c r="P95" s="19">
        <v>0.14285714285714285</v>
      </c>
      <c r="Q95" s="1">
        <v>7.1428571428571425E-2</v>
      </c>
      <c r="R95" s="1">
        <v>0.11904761904761904</v>
      </c>
      <c r="S95" s="1">
        <v>9.5238095238095233E-2</v>
      </c>
      <c r="T95" s="1">
        <v>9.5238095238095233E-2</v>
      </c>
      <c r="U95" s="1">
        <v>0.14285714285714285</v>
      </c>
      <c r="V95" s="1">
        <v>9.5238095238095233E-2</v>
      </c>
      <c r="W95" s="1">
        <v>0.14285714285714285</v>
      </c>
      <c r="X95" s="3">
        <v>9.5238095238095233E-2</v>
      </c>
      <c r="Y95" s="2">
        <v>0</v>
      </c>
      <c r="Z95" s="315">
        <f t="shared" si="8"/>
        <v>1</v>
      </c>
    </row>
    <row r="96" spans="1:26">
      <c r="A96" s="124">
        <f t="shared" si="9"/>
        <v>91</v>
      </c>
      <c r="B96" s="122">
        <f t="shared" si="6"/>
        <v>203</v>
      </c>
      <c r="C96" s="399">
        <f t="shared" si="7"/>
        <v>0.19741397119053994</v>
      </c>
      <c r="D96" s="84">
        <v>0.19741397119053994</v>
      </c>
      <c r="E96" s="298">
        <v>-1</v>
      </c>
      <c r="F96" s="315">
        <v>1</v>
      </c>
      <c r="G96" s="379">
        <v>0</v>
      </c>
      <c r="H96" s="380">
        <v>0</v>
      </c>
      <c r="I96" s="380">
        <v>0</v>
      </c>
      <c r="J96" s="380">
        <v>0</v>
      </c>
      <c r="K96" s="380">
        <v>0</v>
      </c>
      <c r="L96" s="380">
        <v>-1</v>
      </c>
      <c r="M96" s="380">
        <v>0</v>
      </c>
      <c r="N96" s="380">
        <v>0</v>
      </c>
      <c r="O96" s="303">
        <v>0</v>
      </c>
      <c r="P96" s="19">
        <v>0.16666666666666666</v>
      </c>
      <c r="Q96" s="1">
        <v>7.1428571428571425E-2</v>
      </c>
      <c r="R96" s="1">
        <v>0.14285714285714285</v>
      </c>
      <c r="S96" s="1">
        <v>0.14285714285714285</v>
      </c>
      <c r="T96" s="1">
        <v>0.11904761904761904</v>
      </c>
      <c r="U96" s="1">
        <v>0</v>
      </c>
      <c r="V96" s="1">
        <v>0.11904761904761904</v>
      </c>
      <c r="W96" s="1">
        <v>0.14285714285714285</v>
      </c>
      <c r="X96" s="3">
        <v>9.5238095238095233E-2</v>
      </c>
      <c r="Y96" s="2">
        <v>0</v>
      </c>
      <c r="Z96" s="315">
        <f t="shared" si="8"/>
        <v>-1</v>
      </c>
    </row>
    <row r="97" spans="1:26">
      <c r="A97" s="124">
        <f t="shared" si="9"/>
        <v>92</v>
      </c>
      <c r="B97" s="122">
        <f t="shared" si="6"/>
        <v>20</v>
      </c>
      <c r="C97" s="399">
        <f t="shared" si="7"/>
        <v>0.92398743734131383</v>
      </c>
      <c r="D97" s="84">
        <v>0.92398743734131383</v>
      </c>
      <c r="E97" s="298">
        <v>1</v>
      </c>
      <c r="F97" s="315">
        <v>1</v>
      </c>
      <c r="G97" s="379">
        <v>0</v>
      </c>
      <c r="H97" s="380">
        <v>0</v>
      </c>
      <c r="I97" s="380">
        <v>-1</v>
      </c>
      <c r="J97" s="380">
        <v>0</v>
      </c>
      <c r="K97" s="380">
        <v>0</v>
      </c>
      <c r="L97" s="380">
        <v>1</v>
      </c>
      <c r="M97" s="380">
        <v>0</v>
      </c>
      <c r="N97" s="380">
        <v>0</v>
      </c>
      <c r="O97" s="303">
        <v>0</v>
      </c>
      <c r="P97" s="19">
        <v>0.19047619047619047</v>
      </c>
      <c r="Q97" s="1">
        <v>0.14285714285714285</v>
      </c>
      <c r="R97" s="1">
        <v>0</v>
      </c>
      <c r="S97" s="1">
        <v>9.5238095238095233E-2</v>
      </c>
      <c r="T97" s="1">
        <v>0.14285714285714285</v>
      </c>
      <c r="U97" s="1">
        <v>0</v>
      </c>
      <c r="V97" s="1">
        <v>0.16666666666666666</v>
      </c>
      <c r="W97" s="1">
        <v>0.16666666666666666</v>
      </c>
      <c r="X97" s="3">
        <v>9.5238095238095233E-2</v>
      </c>
      <c r="Y97" s="2">
        <v>0</v>
      </c>
      <c r="Z97" s="315">
        <f t="shared" si="8"/>
        <v>1</v>
      </c>
    </row>
    <row r="98" spans="1:26">
      <c r="A98" s="124">
        <f t="shared" si="9"/>
        <v>93</v>
      </c>
      <c r="B98" s="122">
        <f t="shared" si="6"/>
        <v>201</v>
      </c>
      <c r="C98" s="399">
        <f t="shared" si="7"/>
        <v>0.21679980166623736</v>
      </c>
      <c r="D98" s="84">
        <v>0.21679980166623736</v>
      </c>
      <c r="E98" s="298">
        <v>-1</v>
      </c>
      <c r="F98" s="315">
        <v>1</v>
      </c>
      <c r="G98" s="379">
        <v>0</v>
      </c>
      <c r="H98" s="380">
        <v>0</v>
      </c>
      <c r="I98" s="380">
        <v>1</v>
      </c>
      <c r="J98" s="380">
        <v>-1</v>
      </c>
      <c r="K98" s="380">
        <v>0</v>
      </c>
      <c r="L98" s="380">
        <v>-1</v>
      </c>
      <c r="M98" s="380">
        <v>0</v>
      </c>
      <c r="N98" s="380">
        <v>0</v>
      </c>
      <c r="O98" s="303">
        <v>0</v>
      </c>
      <c r="P98" s="19">
        <v>0.23255813953488372</v>
      </c>
      <c r="Q98" s="1">
        <v>9.3023255813953487E-2</v>
      </c>
      <c r="R98" s="1">
        <v>0</v>
      </c>
      <c r="S98" s="1">
        <v>0</v>
      </c>
      <c r="T98" s="1">
        <v>0.23255813953488372</v>
      </c>
      <c r="U98" s="1">
        <v>0</v>
      </c>
      <c r="V98" s="1">
        <v>0.16279069767441862</v>
      </c>
      <c r="W98" s="1">
        <v>0.20930232558139536</v>
      </c>
      <c r="X98" s="3">
        <v>6.9767441860465115E-2</v>
      </c>
      <c r="Y98" s="2">
        <v>0</v>
      </c>
      <c r="Z98" s="315">
        <f t="shared" si="8"/>
        <v>-1</v>
      </c>
    </row>
    <row r="99" spans="1:26">
      <c r="A99" s="124">
        <f t="shared" si="9"/>
        <v>94</v>
      </c>
      <c r="B99" s="122">
        <f t="shared" si="6"/>
        <v>196</v>
      </c>
      <c r="C99" s="399">
        <f t="shared" si="7"/>
        <v>0.22828788683515688</v>
      </c>
      <c r="D99" s="84">
        <v>0.22828788683515688</v>
      </c>
      <c r="E99" s="298">
        <v>1</v>
      </c>
      <c r="F99" s="315">
        <v>1</v>
      </c>
      <c r="G99" s="379">
        <v>0</v>
      </c>
      <c r="H99" s="380">
        <v>0</v>
      </c>
      <c r="I99" s="380">
        <v>-1</v>
      </c>
      <c r="J99" s="380">
        <v>1</v>
      </c>
      <c r="K99" s="380">
        <v>0</v>
      </c>
      <c r="L99" s="380">
        <v>1</v>
      </c>
      <c r="M99" s="380">
        <v>-1</v>
      </c>
      <c r="N99" s="380">
        <v>0</v>
      </c>
      <c r="O99" s="303">
        <v>0</v>
      </c>
      <c r="P99" s="19">
        <v>3.3613445378151259E-2</v>
      </c>
      <c r="Q99" s="1">
        <v>2.5210084033613446E-2</v>
      </c>
      <c r="R99" s="1">
        <v>0</v>
      </c>
      <c r="S99" s="1">
        <v>0</v>
      </c>
      <c r="T99" s="1">
        <v>0.91596638655462181</v>
      </c>
      <c r="U99" s="1">
        <v>0</v>
      </c>
      <c r="V99" s="1">
        <v>0</v>
      </c>
      <c r="W99" s="1">
        <v>1.680672268907563E-2</v>
      </c>
      <c r="X99" s="3">
        <v>8.4033613445378148E-3</v>
      </c>
      <c r="Y99" s="2">
        <v>0</v>
      </c>
      <c r="Z99" s="315">
        <f t="shared" si="8"/>
        <v>1</v>
      </c>
    </row>
    <row r="100" spans="1:26">
      <c r="A100" s="124">
        <f t="shared" si="9"/>
        <v>95</v>
      </c>
      <c r="B100" s="122">
        <f t="shared" si="6"/>
        <v>157</v>
      </c>
      <c r="C100" s="399">
        <f t="shared" si="7"/>
        <v>0.37994151407298349</v>
      </c>
      <c r="D100" s="84">
        <v>0.37994151407298349</v>
      </c>
      <c r="E100" s="298">
        <v>1</v>
      </c>
      <c r="F100" s="315">
        <v>-1</v>
      </c>
      <c r="G100" s="379">
        <v>0</v>
      </c>
      <c r="H100" s="380">
        <v>0</v>
      </c>
      <c r="I100" s="380">
        <v>0</v>
      </c>
      <c r="J100" s="380">
        <v>0</v>
      </c>
      <c r="K100" s="380">
        <v>0</v>
      </c>
      <c r="L100" s="380">
        <v>0</v>
      </c>
      <c r="M100" s="380">
        <v>0</v>
      </c>
      <c r="N100" s="380">
        <v>0</v>
      </c>
      <c r="O100" s="303">
        <v>0</v>
      </c>
      <c r="P100" s="19">
        <v>0.14285714285714285</v>
      </c>
      <c r="Q100" s="1">
        <v>7.1428571428571425E-2</v>
      </c>
      <c r="R100" s="1">
        <v>0.14285714285714285</v>
      </c>
      <c r="S100" s="1">
        <v>9.5238095238095233E-2</v>
      </c>
      <c r="T100" s="1">
        <v>9.5238095238095233E-2</v>
      </c>
      <c r="U100" s="1">
        <v>0.11904761904761904</v>
      </c>
      <c r="V100" s="1">
        <v>9.5238095238095233E-2</v>
      </c>
      <c r="W100" s="1">
        <v>0.14285714285714285</v>
      </c>
      <c r="X100" s="3">
        <v>9.5238095238095233E-2</v>
      </c>
      <c r="Y100" s="2">
        <v>0</v>
      </c>
      <c r="Z100" s="315">
        <f t="shared" si="8"/>
        <v>-1</v>
      </c>
    </row>
    <row r="101" spans="1:26">
      <c r="A101" s="124">
        <f t="shared" si="9"/>
        <v>96</v>
      </c>
      <c r="B101" s="122">
        <f t="shared" si="6"/>
        <v>47</v>
      </c>
      <c r="C101" s="399">
        <f t="shared" si="7"/>
        <v>0.80130385086544886</v>
      </c>
      <c r="D101" s="84">
        <v>0.80130385086544886</v>
      </c>
      <c r="E101" s="298">
        <v>-1</v>
      </c>
      <c r="F101" s="315">
        <v>-1</v>
      </c>
      <c r="G101" s="379">
        <v>-1</v>
      </c>
      <c r="H101" s="380">
        <v>0</v>
      </c>
      <c r="I101" s="380">
        <v>0</v>
      </c>
      <c r="J101" s="380">
        <v>0</v>
      </c>
      <c r="K101" s="380">
        <v>0</v>
      </c>
      <c r="L101" s="380">
        <v>0</v>
      </c>
      <c r="M101" s="380">
        <v>0</v>
      </c>
      <c r="N101" s="380">
        <v>0</v>
      </c>
      <c r="O101" s="303">
        <v>0</v>
      </c>
      <c r="P101" s="19">
        <v>0</v>
      </c>
      <c r="Q101" s="1">
        <v>0.11904761904761904</v>
      </c>
      <c r="R101" s="1">
        <v>0.14285714285714285</v>
      </c>
      <c r="S101" s="1">
        <v>7.1428571428571425E-2</v>
      </c>
      <c r="T101" s="1">
        <v>0.14285714285714285</v>
      </c>
      <c r="U101" s="1">
        <v>0.14285714285714285</v>
      </c>
      <c r="V101" s="1">
        <v>0.14285714285714285</v>
      </c>
      <c r="W101" s="1">
        <v>0.14285714285714285</v>
      </c>
      <c r="X101" s="3">
        <v>9.5238095238095233E-2</v>
      </c>
      <c r="Y101" s="2">
        <v>0</v>
      </c>
      <c r="Z101" s="315">
        <f t="shared" si="8"/>
        <v>1</v>
      </c>
    </row>
    <row r="102" spans="1:26">
      <c r="A102" s="124">
        <f t="shared" si="9"/>
        <v>97</v>
      </c>
      <c r="B102" s="122">
        <f t="shared" si="6"/>
        <v>152</v>
      </c>
      <c r="C102" s="399">
        <f t="shared" si="7"/>
        <v>0.39204427455988411</v>
      </c>
      <c r="D102" s="84">
        <v>0.39204427455988411</v>
      </c>
      <c r="E102" s="298">
        <v>1</v>
      </c>
      <c r="F102" s="315">
        <v>-1</v>
      </c>
      <c r="G102" s="379">
        <v>1</v>
      </c>
      <c r="H102" s="380">
        <v>0</v>
      </c>
      <c r="I102" s="380">
        <v>0</v>
      </c>
      <c r="J102" s="380">
        <v>0</v>
      </c>
      <c r="K102" s="380">
        <v>0</v>
      </c>
      <c r="L102" s="380">
        <v>0</v>
      </c>
      <c r="M102" s="380">
        <v>0</v>
      </c>
      <c r="N102" s="380">
        <v>0</v>
      </c>
      <c r="O102" s="303">
        <v>-1</v>
      </c>
      <c r="P102" s="19">
        <v>0</v>
      </c>
      <c r="Q102" s="1">
        <v>0.48717948717948717</v>
      </c>
      <c r="R102" s="1">
        <v>7.6923076923076927E-2</v>
      </c>
      <c r="S102" s="1">
        <v>0.10256410256410256</v>
      </c>
      <c r="T102" s="1">
        <v>7.6923076923076927E-2</v>
      </c>
      <c r="U102" s="1">
        <v>7.6923076923076927E-2</v>
      </c>
      <c r="V102" s="1">
        <v>7.6923076923076927E-2</v>
      </c>
      <c r="W102" s="1">
        <v>0.10256410256410256</v>
      </c>
      <c r="X102" s="3">
        <v>0</v>
      </c>
      <c r="Y102" s="2">
        <v>0</v>
      </c>
      <c r="Z102" s="315">
        <f t="shared" si="8"/>
        <v>-1</v>
      </c>
    </row>
    <row r="103" spans="1:26">
      <c r="A103" s="124">
        <f t="shared" si="9"/>
        <v>98</v>
      </c>
      <c r="B103" s="122">
        <f t="shared" si="6"/>
        <v>188</v>
      </c>
      <c r="C103" s="399">
        <f t="shared" si="7"/>
        <v>0.25415250992605665</v>
      </c>
      <c r="D103" s="84">
        <v>0.25415250992605665</v>
      </c>
      <c r="E103" s="298">
        <v>-1</v>
      </c>
      <c r="F103" s="315">
        <v>-1</v>
      </c>
      <c r="G103" s="379">
        <v>-1</v>
      </c>
      <c r="H103" s="380">
        <v>-1</v>
      </c>
      <c r="I103" s="380">
        <v>0</v>
      </c>
      <c r="J103" s="380">
        <v>0</v>
      </c>
      <c r="K103" s="380">
        <v>0</v>
      </c>
      <c r="L103" s="380">
        <v>0</v>
      </c>
      <c r="M103" s="380">
        <v>0</v>
      </c>
      <c r="N103" s="380">
        <v>0</v>
      </c>
      <c r="O103" s="303">
        <v>1</v>
      </c>
      <c r="P103" s="19">
        <v>0</v>
      </c>
      <c r="Q103" s="1">
        <v>0</v>
      </c>
      <c r="R103" s="1">
        <v>0.86111111111111116</v>
      </c>
      <c r="S103" s="1">
        <v>2.7777777777777776E-2</v>
      </c>
      <c r="T103" s="1">
        <v>2.7777777777777776E-2</v>
      </c>
      <c r="U103" s="1">
        <v>2.7777777777777776E-2</v>
      </c>
      <c r="V103" s="1">
        <v>2.7777777777777776E-2</v>
      </c>
      <c r="W103" s="1">
        <v>2.7777777777777776E-2</v>
      </c>
      <c r="X103" s="3">
        <v>0</v>
      </c>
      <c r="Y103" s="2">
        <v>0</v>
      </c>
      <c r="Z103" s="315">
        <f t="shared" si="8"/>
        <v>1</v>
      </c>
    </row>
    <row r="104" spans="1:26">
      <c r="A104" s="124">
        <f t="shared" si="9"/>
        <v>99</v>
      </c>
      <c r="B104" s="122">
        <f t="shared" si="6"/>
        <v>220</v>
      </c>
      <c r="C104" s="399">
        <f t="shared" si="7"/>
        <v>0.13872132148359484</v>
      </c>
      <c r="D104" s="84">
        <v>0.13872132148359484</v>
      </c>
      <c r="E104" s="298">
        <v>1</v>
      </c>
      <c r="F104" s="315">
        <v>-1</v>
      </c>
      <c r="G104" s="379">
        <v>1</v>
      </c>
      <c r="H104" s="380">
        <v>1</v>
      </c>
      <c r="I104" s="380">
        <v>-1</v>
      </c>
      <c r="J104" s="380">
        <v>0</v>
      </c>
      <c r="K104" s="380">
        <v>0</v>
      </c>
      <c r="L104" s="380">
        <v>0</v>
      </c>
      <c r="M104" s="380">
        <v>0</v>
      </c>
      <c r="N104" s="380">
        <v>0</v>
      </c>
      <c r="O104" s="303">
        <v>-1</v>
      </c>
      <c r="P104" s="19">
        <v>0</v>
      </c>
      <c r="Q104" s="1">
        <v>0</v>
      </c>
      <c r="R104" s="1">
        <v>0</v>
      </c>
      <c r="S104" s="1">
        <v>0.1</v>
      </c>
      <c r="T104" s="1">
        <v>0.17499999999999999</v>
      </c>
      <c r="U104" s="1">
        <v>0.5</v>
      </c>
      <c r="V104" s="1">
        <v>0.1</v>
      </c>
      <c r="W104" s="1">
        <v>0.125</v>
      </c>
      <c r="X104" s="3">
        <v>0</v>
      </c>
      <c r="Y104" s="2">
        <v>0</v>
      </c>
      <c r="Z104" s="315">
        <f t="shared" ref="Z104:Z167" si="10">F104*E104</f>
        <v>-1</v>
      </c>
    </row>
    <row r="105" spans="1:26">
      <c r="A105" s="124">
        <f t="shared" si="9"/>
        <v>100</v>
      </c>
      <c r="B105" s="122">
        <f t="shared" si="6"/>
        <v>132</v>
      </c>
      <c r="C105" s="399">
        <f t="shared" si="7"/>
        <v>0.49283598346161761</v>
      </c>
      <c r="D105" s="84">
        <v>0.49283598346161761</v>
      </c>
      <c r="E105" s="298">
        <v>-1</v>
      </c>
      <c r="F105" s="315">
        <v>-1</v>
      </c>
      <c r="G105" s="379">
        <v>-1</v>
      </c>
      <c r="H105" s="380">
        <v>-1</v>
      </c>
      <c r="I105" s="380">
        <v>1</v>
      </c>
      <c r="J105" s="380">
        <v>0</v>
      </c>
      <c r="K105" s="380">
        <v>-1</v>
      </c>
      <c r="L105" s="380">
        <v>0</v>
      </c>
      <c r="M105" s="380">
        <v>0</v>
      </c>
      <c r="N105" s="380">
        <v>0</v>
      </c>
      <c r="O105" s="303">
        <v>1</v>
      </c>
      <c r="P105" s="19">
        <v>0</v>
      </c>
      <c r="Q105" s="1">
        <v>0</v>
      </c>
      <c r="R105" s="1">
        <v>0</v>
      </c>
      <c r="S105" s="1">
        <v>2.5210084033613446E-2</v>
      </c>
      <c r="T105" s="1">
        <v>0</v>
      </c>
      <c r="U105" s="1">
        <v>0.91596638655462181</v>
      </c>
      <c r="V105" s="1">
        <v>2.5210084033613446E-2</v>
      </c>
      <c r="W105" s="1">
        <v>3.3613445378151259E-2</v>
      </c>
      <c r="X105" s="3">
        <v>0</v>
      </c>
      <c r="Y105" s="2">
        <v>0</v>
      </c>
      <c r="Z105" s="315">
        <f t="shared" si="10"/>
        <v>1</v>
      </c>
    </row>
    <row r="106" spans="1:26">
      <c r="A106" s="124">
        <f t="shared" si="9"/>
        <v>101</v>
      </c>
      <c r="B106" s="122">
        <f t="shared" si="6"/>
        <v>29</v>
      </c>
      <c r="C106" s="399">
        <f t="shared" si="7"/>
        <v>0.87418260844989182</v>
      </c>
      <c r="D106" s="84">
        <v>0.87418260844989182</v>
      </c>
      <c r="E106" s="298">
        <v>1</v>
      </c>
      <c r="F106" s="315">
        <v>1</v>
      </c>
      <c r="G106" s="379">
        <v>0</v>
      </c>
      <c r="H106" s="380">
        <v>0</v>
      </c>
      <c r="I106" s="380">
        <v>0</v>
      </c>
      <c r="J106" s="380">
        <v>0</v>
      </c>
      <c r="K106" s="380">
        <v>0</v>
      </c>
      <c r="L106" s="380">
        <v>0</v>
      </c>
      <c r="M106" s="380">
        <v>0</v>
      </c>
      <c r="N106" s="380">
        <v>0</v>
      </c>
      <c r="O106" s="303">
        <v>0</v>
      </c>
      <c r="P106" s="19">
        <v>0.14285714285714285</v>
      </c>
      <c r="Q106" s="1">
        <v>0.11904761904761904</v>
      </c>
      <c r="R106" s="1">
        <v>7.1428571428571425E-2</v>
      </c>
      <c r="S106" s="1">
        <v>9.5238095238095233E-2</v>
      </c>
      <c r="T106" s="1">
        <v>9.5238095238095233E-2</v>
      </c>
      <c r="U106" s="1">
        <v>0.11904761904761904</v>
      </c>
      <c r="V106" s="1">
        <v>0.11904761904761904</v>
      </c>
      <c r="W106" s="1">
        <v>0.14285714285714285</v>
      </c>
      <c r="X106" s="3">
        <v>9.5238095238095233E-2</v>
      </c>
      <c r="Y106" s="2">
        <v>0</v>
      </c>
      <c r="Z106" s="315">
        <f t="shared" si="10"/>
        <v>1</v>
      </c>
    </row>
    <row r="107" spans="1:26">
      <c r="A107" s="124">
        <f t="shared" si="9"/>
        <v>102</v>
      </c>
      <c r="B107" s="122">
        <f t="shared" si="6"/>
        <v>184</v>
      </c>
      <c r="C107" s="399">
        <f t="shared" si="7"/>
        <v>0.2668471635185139</v>
      </c>
      <c r="D107" s="84">
        <v>0.2668471635185139</v>
      </c>
      <c r="E107" s="298">
        <v>-1</v>
      </c>
      <c r="F107" s="315">
        <v>1</v>
      </c>
      <c r="G107" s="379">
        <v>0</v>
      </c>
      <c r="H107" s="380">
        <v>0</v>
      </c>
      <c r="I107" s="380">
        <v>0</v>
      </c>
      <c r="J107" s="380">
        <v>0</v>
      </c>
      <c r="K107" s="380">
        <v>0</v>
      </c>
      <c r="L107" s="380">
        <v>-1</v>
      </c>
      <c r="M107" s="380">
        <v>0</v>
      </c>
      <c r="N107" s="380">
        <v>0</v>
      </c>
      <c r="O107" s="303">
        <v>0</v>
      </c>
      <c r="P107" s="19">
        <v>0.14285714285714285</v>
      </c>
      <c r="Q107" s="1">
        <v>7.1428571428571425E-2</v>
      </c>
      <c r="R107" s="1">
        <v>0.14285714285714285</v>
      </c>
      <c r="S107" s="1">
        <v>0.14285714285714285</v>
      </c>
      <c r="T107" s="1">
        <v>0.11904761904761904</v>
      </c>
      <c r="U107" s="1">
        <v>0</v>
      </c>
      <c r="V107" s="1">
        <v>0.14285714285714285</v>
      </c>
      <c r="W107" s="1">
        <v>0.14285714285714285</v>
      </c>
      <c r="X107" s="3">
        <v>9.5238095238095233E-2</v>
      </c>
      <c r="Y107" s="2">
        <v>0</v>
      </c>
      <c r="Z107" s="315">
        <f t="shared" si="10"/>
        <v>-1</v>
      </c>
    </row>
    <row r="108" spans="1:26">
      <c r="A108" s="124">
        <f t="shared" si="9"/>
        <v>103</v>
      </c>
      <c r="B108" s="122">
        <f t="shared" si="6"/>
        <v>199</v>
      </c>
      <c r="C108" s="399">
        <f t="shared" si="7"/>
        <v>0.22164842535444562</v>
      </c>
      <c r="D108" s="84">
        <v>0.22164842535444562</v>
      </c>
      <c r="E108" s="298">
        <v>1</v>
      </c>
      <c r="F108" s="315">
        <v>1</v>
      </c>
      <c r="G108" s="379">
        <v>0</v>
      </c>
      <c r="H108" s="380">
        <v>0</v>
      </c>
      <c r="I108" s="380">
        <v>0</v>
      </c>
      <c r="J108" s="380">
        <v>0</v>
      </c>
      <c r="K108" s="380">
        <v>0</v>
      </c>
      <c r="L108" s="380">
        <v>1</v>
      </c>
      <c r="M108" s="380">
        <v>0</v>
      </c>
      <c r="N108" s="380">
        <v>-1</v>
      </c>
      <c r="O108" s="303">
        <v>0</v>
      </c>
      <c r="P108" s="19">
        <v>0.14634146341463414</v>
      </c>
      <c r="Q108" s="1">
        <v>0.1951219512195122</v>
      </c>
      <c r="R108" s="1">
        <v>0.12195121951219512</v>
      </c>
      <c r="S108" s="1">
        <v>0.14634146341463414</v>
      </c>
      <c r="T108" s="1">
        <v>0.14634146341463414</v>
      </c>
      <c r="U108" s="1">
        <v>0</v>
      </c>
      <c r="V108" s="1">
        <v>0.14634146341463414</v>
      </c>
      <c r="W108" s="1">
        <v>0</v>
      </c>
      <c r="X108" s="3">
        <v>9.7560975609756101E-2</v>
      </c>
      <c r="Y108" s="2">
        <v>0</v>
      </c>
      <c r="Z108" s="315">
        <f t="shared" si="10"/>
        <v>1</v>
      </c>
    </row>
    <row r="109" spans="1:26">
      <c r="A109" s="124">
        <f t="shared" si="9"/>
        <v>104</v>
      </c>
      <c r="B109" s="122">
        <f t="shared" si="6"/>
        <v>39</v>
      </c>
      <c r="C109" s="399">
        <f t="shared" si="7"/>
        <v>0.82729912222793289</v>
      </c>
      <c r="D109" s="84">
        <v>0.82729912222793289</v>
      </c>
      <c r="E109" s="298">
        <v>-1</v>
      </c>
      <c r="F109" s="315">
        <v>1</v>
      </c>
      <c r="G109" s="379">
        <v>0</v>
      </c>
      <c r="H109" s="380">
        <v>-1</v>
      </c>
      <c r="I109" s="380">
        <v>0</v>
      </c>
      <c r="J109" s="380">
        <v>0</v>
      </c>
      <c r="K109" s="380">
        <v>0</v>
      </c>
      <c r="L109" s="380">
        <v>-1</v>
      </c>
      <c r="M109" s="380">
        <v>0</v>
      </c>
      <c r="N109" s="380">
        <v>1</v>
      </c>
      <c r="O109" s="303">
        <v>0</v>
      </c>
      <c r="P109" s="19">
        <v>0.17073170731707318</v>
      </c>
      <c r="Q109" s="1">
        <v>0</v>
      </c>
      <c r="R109" s="1">
        <v>0.17073170731707318</v>
      </c>
      <c r="S109" s="1">
        <v>9.7560975609756101E-2</v>
      </c>
      <c r="T109" s="1">
        <v>0.1951219512195122</v>
      </c>
      <c r="U109" s="1">
        <v>0</v>
      </c>
      <c r="V109" s="1">
        <v>0.1951219512195122</v>
      </c>
      <c r="W109" s="1">
        <v>0</v>
      </c>
      <c r="X109" s="3">
        <v>0.17073170731707318</v>
      </c>
      <c r="Y109" s="2">
        <v>0</v>
      </c>
      <c r="Z109" s="315">
        <f t="shared" si="10"/>
        <v>-1</v>
      </c>
    </row>
    <row r="110" spans="1:26">
      <c r="A110" s="124">
        <f t="shared" si="9"/>
        <v>105</v>
      </c>
      <c r="B110" s="122">
        <f t="shared" si="6"/>
        <v>161</v>
      </c>
      <c r="C110" s="399">
        <f t="shared" si="7"/>
        <v>0.37004350020629639</v>
      </c>
      <c r="D110" s="84">
        <v>0.37004350020629639</v>
      </c>
      <c r="E110" s="298">
        <v>1</v>
      </c>
      <c r="F110" s="315">
        <v>1</v>
      </c>
      <c r="G110" s="379">
        <v>-1</v>
      </c>
      <c r="H110" s="380">
        <v>1</v>
      </c>
      <c r="I110" s="380">
        <v>0</v>
      </c>
      <c r="J110" s="380">
        <v>0</v>
      </c>
      <c r="K110" s="380">
        <v>0</v>
      </c>
      <c r="L110" s="380">
        <v>1</v>
      </c>
      <c r="M110" s="380">
        <v>0</v>
      </c>
      <c r="N110" s="380">
        <v>-1</v>
      </c>
      <c r="O110" s="303">
        <v>0</v>
      </c>
      <c r="P110" s="19">
        <v>0</v>
      </c>
      <c r="Q110" s="1">
        <v>0</v>
      </c>
      <c r="R110" s="1">
        <v>8.1081081081081086E-2</v>
      </c>
      <c r="S110" s="1">
        <v>0.21621621621621623</v>
      </c>
      <c r="T110" s="1">
        <v>0.13513513513513514</v>
      </c>
      <c r="U110" s="1">
        <v>0</v>
      </c>
      <c r="V110" s="1">
        <v>0.13513513513513514</v>
      </c>
      <c r="W110" s="1">
        <v>0</v>
      </c>
      <c r="X110" s="3">
        <v>0.43243243243243246</v>
      </c>
      <c r="Y110" s="2">
        <v>0</v>
      </c>
      <c r="Z110" s="315">
        <f t="shared" si="10"/>
        <v>1</v>
      </c>
    </row>
    <row r="111" spans="1:26">
      <c r="A111" s="124">
        <f t="shared" si="9"/>
        <v>106</v>
      </c>
      <c r="B111" s="122">
        <f t="shared" si="6"/>
        <v>77</v>
      </c>
      <c r="C111" s="399">
        <f t="shared" si="7"/>
        <v>0.68411931112993785</v>
      </c>
      <c r="D111" s="84">
        <v>0.68411931112993785</v>
      </c>
      <c r="E111" s="298">
        <v>-1</v>
      </c>
      <c r="F111" s="315">
        <v>1</v>
      </c>
      <c r="G111" s="379">
        <v>1</v>
      </c>
      <c r="H111" s="380">
        <v>-1</v>
      </c>
      <c r="I111" s="380">
        <v>-1</v>
      </c>
      <c r="J111" s="380">
        <v>0</v>
      </c>
      <c r="K111" s="380">
        <v>0</v>
      </c>
      <c r="L111" s="380">
        <v>-1</v>
      </c>
      <c r="M111" s="380">
        <v>0</v>
      </c>
      <c r="N111" s="380">
        <v>1</v>
      </c>
      <c r="O111" s="303">
        <v>0</v>
      </c>
      <c r="P111" s="19">
        <v>0</v>
      </c>
      <c r="Q111" s="1">
        <v>0</v>
      </c>
      <c r="R111" s="1">
        <v>0</v>
      </c>
      <c r="S111" s="1">
        <v>0.11363636363636363</v>
      </c>
      <c r="T111" s="1">
        <v>9.0909090909090912E-2</v>
      </c>
      <c r="U111" s="1">
        <v>0</v>
      </c>
      <c r="V111" s="1">
        <v>0.15909090909090909</v>
      </c>
      <c r="W111" s="1">
        <v>0</v>
      </c>
      <c r="X111" s="3">
        <v>0.63636363636363635</v>
      </c>
      <c r="Y111" s="2">
        <v>0</v>
      </c>
      <c r="Z111" s="315">
        <f t="shared" si="10"/>
        <v>-1</v>
      </c>
    </row>
    <row r="112" spans="1:26">
      <c r="A112" s="124">
        <f t="shared" si="9"/>
        <v>107</v>
      </c>
      <c r="B112" s="122">
        <f t="shared" si="6"/>
        <v>79</v>
      </c>
      <c r="C112" s="399">
        <f t="shared" si="7"/>
        <v>0.67659796759503499</v>
      </c>
      <c r="D112" s="84">
        <v>0.67659796759503499</v>
      </c>
      <c r="E112" s="298">
        <v>1</v>
      </c>
      <c r="F112" s="315">
        <v>1</v>
      </c>
      <c r="G112" s="379">
        <v>-1</v>
      </c>
      <c r="H112" s="380">
        <v>1</v>
      </c>
      <c r="I112" s="380">
        <v>1</v>
      </c>
      <c r="J112" s="380">
        <v>0</v>
      </c>
      <c r="K112" s="380">
        <v>-1</v>
      </c>
      <c r="L112" s="380">
        <v>1</v>
      </c>
      <c r="M112" s="380">
        <v>0</v>
      </c>
      <c r="N112" s="380">
        <v>-1</v>
      </c>
      <c r="O112" s="303">
        <v>0</v>
      </c>
      <c r="P112" s="19">
        <v>0</v>
      </c>
      <c r="Q112" s="1">
        <v>0</v>
      </c>
      <c r="R112" s="1">
        <v>0</v>
      </c>
      <c r="S112" s="1">
        <v>3.2258064516129031E-2</v>
      </c>
      <c r="T112" s="1">
        <v>0</v>
      </c>
      <c r="U112" s="1">
        <v>0</v>
      </c>
      <c r="V112" s="1">
        <v>3.2258064516129031E-2</v>
      </c>
      <c r="W112" s="1">
        <v>0</v>
      </c>
      <c r="X112" s="3">
        <v>0.93548387096774188</v>
      </c>
      <c r="Y112" s="2">
        <v>0</v>
      </c>
      <c r="Z112" s="315">
        <f t="shared" si="10"/>
        <v>1</v>
      </c>
    </row>
    <row r="113" spans="1:26">
      <c r="A113" s="124">
        <f t="shared" si="9"/>
        <v>108</v>
      </c>
      <c r="B113" s="122">
        <f t="shared" si="6"/>
        <v>221</v>
      </c>
      <c r="C113" s="399">
        <f t="shared" si="7"/>
        <v>0.1387039192945041</v>
      </c>
      <c r="D113" s="84">
        <v>0.1387039192945041</v>
      </c>
      <c r="E113" s="298">
        <v>1</v>
      </c>
      <c r="F113" s="315">
        <v>1</v>
      </c>
      <c r="G113" s="379">
        <v>0</v>
      </c>
      <c r="H113" s="380">
        <v>0</v>
      </c>
      <c r="I113" s="380">
        <v>0</v>
      </c>
      <c r="J113" s="380">
        <v>0</v>
      </c>
      <c r="K113" s="380">
        <v>0</v>
      </c>
      <c r="L113" s="380">
        <v>0</v>
      </c>
      <c r="M113" s="380">
        <v>0</v>
      </c>
      <c r="N113" s="380">
        <v>0</v>
      </c>
      <c r="O113" s="303">
        <v>0</v>
      </c>
      <c r="P113" s="19">
        <v>0.14285714285714285</v>
      </c>
      <c r="Q113" s="1">
        <v>7.1428571428571425E-2</v>
      </c>
      <c r="R113" s="1">
        <v>0.11904761904761904</v>
      </c>
      <c r="S113" s="1">
        <v>0.14285714285714285</v>
      </c>
      <c r="T113" s="1">
        <v>9.5238095238095233E-2</v>
      </c>
      <c r="U113" s="1">
        <v>0.11904761904761904</v>
      </c>
      <c r="V113" s="1">
        <v>9.5238095238095233E-2</v>
      </c>
      <c r="W113" s="1">
        <v>0.11904761904761904</v>
      </c>
      <c r="X113" s="3">
        <v>9.5238095238095233E-2</v>
      </c>
      <c r="Y113" s="2">
        <v>0</v>
      </c>
      <c r="Z113" s="315">
        <f t="shared" si="10"/>
        <v>1</v>
      </c>
    </row>
    <row r="114" spans="1:26">
      <c r="A114" s="124">
        <f t="shared" si="9"/>
        <v>109</v>
      </c>
      <c r="B114" s="122">
        <f t="shared" si="6"/>
        <v>4</v>
      </c>
      <c r="C114" s="399">
        <f t="shared" si="7"/>
        <v>0.96723311951335689</v>
      </c>
      <c r="D114" s="84">
        <v>0.96723311951335689</v>
      </c>
      <c r="E114" s="298">
        <v>-1</v>
      </c>
      <c r="F114" s="315">
        <v>1</v>
      </c>
      <c r="G114" s="379">
        <v>0</v>
      </c>
      <c r="H114" s="380">
        <v>0</v>
      </c>
      <c r="I114" s="380">
        <v>0</v>
      </c>
      <c r="J114" s="380">
        <v>0</v>
      </c>
      <c r="K114" s="380">
        <v>0</v>
      </c>
      <c r="L114" s="380">
        <v>0</v>
      </c>
      <c r="M114" s="380">
        <v>0</v>
      </c>
      <c r="N114" s="380">
        <v>-1</v>
      </c>
      <c r="O114" s="303">
        <v>0</v>
      </c>
      <c r="P114" s="19">
        <v>0.16666666666666666</v>
      </c>
      <c r="Q114" s="1">
        <v>9.5238095238095233E-2</v>
      </c>
      <c r="R114" s="1">
        <v>9.5238095238095233E-2</v>
      </c>
      <c r="S114" s="1">
        <v>0.14285714285714285</v>
      </c>
      <c r="T114" s="1">
        <v>0.11904761904761904</v>
      </c>
      <c r="U114" s="1">
        <v>0.14285714285714285</v>
      </c>
      <c r="V114" s="1">
        <v>0.14285714285714285</v>
      </c>
      <c r="W114" s="1">
        <v>0</v>
      </c>
      <c r="X114" s="3">
        <v>9.5238095238095233E-2</v>
      </c>
      <c r="Y114" s="2">
        <v>0</v>
      </c>
      <c r="Z114" s="315">
        <f t="shared" si="10"/>
        <v>-1</v>
      </c>
    </row>
    <row r="115" spans="1:26">
      <c r="A115" s="124">
        <f t="shared" si="9"/>
        <v>110</v>
      </c>
      <c r="B115" s="122">
        <f t="shared" si="6"/>
        <v>150</v>
      </c>
      <c r="C115" s="399">
        <f t="shared" si="7"/>
        <v>0.39594190156147835</v>
      </c>
      <c r="D115" s="84">
        <v>0.39594190156147835</v>
      </c>
      <c r="E115" s="298">
        <v>1</v>
      </c>
      <c r="F115" s="315">
        <v>1</v>
      </c>
      <c r="G115" s="379">
        <v>0</v>
      </c>
      <c r="H115" s="380">
        <v>-1</v>
      </c>
      <c r="I115" s="380">
        <v>0</v>
      </c>
      <c r="J115" s="380">
        <v>0</v>
      </c>
      <c r="K115" s="380">
        <v>0</v>
      </c>
      <c r="L115" s="380">
        <v>0</v>
      </c>
      <c r="M115" s="380">
        <v>0</v>
      </c>
      <c r="N115" s="380">
        <v>1</v>
      </c>
      <c r="O115" s="303">
        <v>0</v>
      </c>
      <c r="P115" s="19">
        <v>0.19047619047619047</v>
      </c>
      <c r="Q115" s="1">
        <v>0</v>
      </c>
      <c r="R115" s="1">
        <v>0.11904761904761904</v>
      </c>
      <c r="S115" s="1">
        <v>9.5238095238095233E-2</v>
      </c>
      <c r="T115" s="1">
        <v>0.16666666666666666</v>
      </c>
      <c r="U115" s="1">
        <v>0.16666666666666666</v>
      </c>
      <c r="V115" s="1">
        <v>0.16666666666666666</v>
      </c>
      <c r="W115" s="1">
        <v>0</v>
      </c>
      <c r="X115" s="3">
        <v>9.5238095238095233E-2</v>
      </c>
      <c r="Y115" s="2">
        <v>0</v>
      </c>
      <c r="Z115" s="315">
        <f t="shared" si="10"/>
        <v>1</v>
      </c>
    </row>
    <row r="116" spans="1:26">
      <c r="A116" s="124">
        <f t="shared" si="9"/>
        <v>111</v>
      </c>
      <c r="B116" s="122">
        <f t="shared" si="6"/>
        <v>82</v>
      </c>
      <c r="C116" s="399">
        <f t="shared" si="7"/>
        <v>0.66450306901375955</v>
      </c>
      <c r="D116" s="84">
        <v>0.66450306901375955</v>
      </c>
      <c r="E116" s="298">
        <v>-1</v>
      </c>
      <c r="F116" s="315">
        <v>1</v>
      </c>
      <c r="G116" s="379">
        <v>0</v>
      </c>
      <c r="H116" s="380">
        <v>1</v>
      </c>
      <c r="I116" s="380">
        <v>0</v>
      </c>
      <c r="J116" s="380">
        <v>0</v>
      </c>
      <c r="K116" s="380">
        <v>0</v>
      </c>
      <c r="L116" s="380">
        <v>0</v>
      </c>
      <c r="M116" s="380">
        <v>-1</v>
      </c>
      <c r="N116" s="380">
        <v>-1</v>
      </c>
      <c r="O116" s="303">
        <v>0</v>
      </c>
      <c r="P116" s="19">
        <v>0.31111111111111112</v>
      </c>
      <c r="Q116" s="1">
        <v>0</v>
      </c>
      <c r="R116" s="1">
        <v>0.24444444444444444</v>
      </c>
      <c r="S116" s="1">
        <v>0.17777777777777778</v>
      </c>
      <c r="T116" s="1">
        <v>0.13333333333333333</v>
      </c>
      <c r="U116" s="1">
        <v>6.6666666666666666E-2</v>
      </c>
      <c r="V116" s="1">
        <v>0</v>
      </c>
      <c r="W116" s="1">
        <v>0</v>
      </c>
      <c r="X116" s="3">
        <v>6.6666666666666666E-2</v>
      </c>
      <c r="Y116" s="2">
        <v>0</v>
      </c>
      <c r="Z116" s="315">
        <f t="shared" si="10"/>
        <v>-1</v>
      </c>
    </row>
    <row r="117" spans="1:26">
      <c r="A117" s="124">
        <f t="shared" si="9"/>
        <v>112</v>
      </c>
      <c r="B117" s="122">
        <f t="shared" si="6"/>
        <v>8</v>
      </c>
      <c r="C117" s="399">
        <f t="shared" si="7"/>
        <v>0.95268780001725106</v>
      </c>
      <c r="D117" s="84">
        <v>0.95268780001725106</v>
      </c>
      <c r="E117" s="298">
        <v>1</v>
      </c>
      <c r="F117" s="315">
        <v>1</v>
      </c>
      <c r="G117" s="379">
        <v>0</v>
      </c>
      <c r="H117" s="380">
        <v>-1</v>
      </c>
      <c r="I117" s="380">
        <v>-1</v>
      </c>
      <c r="J117" s="380">
        <v>0</v>
      </c>
      <c r="K117" s="380">
        <v>0</v>
      </c>
      <c r="L117" s="380">
        <v>0</v>
      </c>
      <c r="M117" s="380">
        <v>1</v>
      </c>
      <c r="N117" s="380">
        <v>1</v>
      </c>
      <c r="O117" s="303">
        <v>0</v>
      </c>
      <c r="P117" s="19">
        <v>2.4E-2</v>
      </c>
      <c r="Q117" s="1">
        <v>0</v>
      </c>
      <c r="R117" s="1">
        <v>0</v>
      </c>
      <c r="S117" s="1">
        <v>8.0000000000000002E-3</v>
      </c>
      <c r="T117" s="1">
        <v>8.0000000000000002E-3</v>
      </c>
      <c r="U117" s="1">
        <v>8.0000000000000002E-3</v>
      </c>
      <c r="V117" s="1">
        <v>0</v>
      </c>
      <c r="W117" s="1">
        <v>0</v>
      </c>
      <c r="X117" s="3">
        <v>0.95199999999999996</v>
      </c>
      <c r="Y117" s="2">
        <v>0</v>
      </c>
      <c r="Z117" s="315">
        <f t="shared" si="10"/>
        <v>1</v>
      </c>
    </row>
    <row r="118" spans="1:26">
      <c r="A118" s="124">
        <f t="shared" si="9"/>
        <v>113</v>
      </c>
      <c r="B118" s="122">
        <f t="shared" si="6"/>
        <v>105</v>
      </c>
      <c r="C118" s="399">
        <f t="shared" si="7"/>
        <v>0.58279786172737214</v>
      </c>
      <c r="D118" s="84">
        <v>0.58279786172737214</v>
      </c>
      <c r="E118" s="298">
        <v>1</v>
      </c>
      <c r="F118" s="315">
        <v>1</v>
      </c>
      <c r="G118" s="379">
        <v>0</v>
      </c>
      <c r="H118" s="380">
        <v>0</v>
      </c>
      <c r="I118" s="380">
        <v>0</v>
      </c>
      <c r="J118" s="380">
        <v>0</v>
      </c>
      <c r="K118" s="380">
        <v>0</v>
      </c>
      <c r="L118" s="380">
        <v>0</v>
      </c>
      <c r="M118" s="380">
        <v>0</v>
      </c>
      <c r="N118" s="380">
        <v>0</v>
      </c>
      <c r="O118" s="303">
        <v>0</v>
      </c>
      <c r="P118" s="19">
        <v>0.13953488372093023</v>
      </c>
      <c r="Q118" s="1">
        <v>6.9767441860465115E-2</v>
      </c>
      <c r="R118" s="1">
        <v>0.13953488372093023</v>
      </c>
      <c r="S118" s="1">
        <v>9.3023255813953487E-2</v>
      </c>
      <c r="T118" s="1">
        <v>9.3023255813953487E-2</v>
      </c>
      <c r="U118" s="1">
        <v>9.3023255813953487E-2</v>
      </c>
      <c r="V118" s="1">
        <v>0.13953488372093023</v>
      </c>
      <c r="W118" s="1">
        <v>0.13953488372093023</v>
      </c>
      <c r="X118" s="3">
        <v>9.3023255813953487E-2</v>
      </c>
      <c r="Y118" s="2">
        <v>0</v>
      </c>
      <c r="Z118" s="315">
        <f t="shared" si="10"/>
        <v>1</v>
      </c>
    </row>
    <row r="119" spans="1:26">
      <c r="A119" s="124">
        <f t="shared" si="9"/>
        <v>114</v>
      </c>
      <c r="B119" s="122">
        <f t="shared" si="6"/>
        <v>101</v>
      </c>
      <c r="C119" s="399">
        <f t="shared" si="7"/>
        <v>0.59583730547022562</v>
      </c>
      <c r="D119" s="84">
        <v>0.59583730547022562</v>
      </c>
      <c r="E119" s="298">
        <v>-1</v>
      </c>
      <c r="F119" s="315">
        <v>1</v>
      </c>
      <c r="G119" s="379">
        <v>0</v>
      </c>
      <c r="H119" s="380">
        <v>0</v>
      </c>
      <c r="I119" s="380">
        <v>0</v>
      </c>
      <c r="J119" s="380">
        <v>0</v>
      </c>
      <c r="K119" s="380">
        <v>0</v>
      </c>
      <c r="L119" s="380">
        <v>0</v>
      </c>
      <c r="M119" s="380">
        <v>0</v>
      </c>
      <c r="N119" s="380">
        <v>-1</v>
      </c>
      <c r="O119" s="303">
        <v>0</v>
      </c>
      <c r="P119" s="19">
        <v>0.14634146341463414</v>
      </c>
      <c r="Q119" s="1">
        <v>9.7560975609756101E-2</v>
      </c>
      <c r="R119" s="1">
        <v>0.12195121951219512</v>
      </c>
      <c r="S119" s="1">
        <v>0.14634146341463414</v>
      </c>
      <c r="T119" s="1">
        <v>9.7560975609756101E-2</v>
      </c>
      <c r="U119" s="1">
        <v>0.14634146341463414</v>
      </c>
      <c r="V119" s="1">
        <v>0.14634146341463414</v>
      </c>
      <c r="W119" s="1">
        <v>0</v>
      </c>
      <c r="X119" s="3">
        <v>9.7560975609756101E-2</v>
      </c>
      <c r="Y119" s="2">
        <v>0</v>
      </c>
      <c r="Z119" s="315">
        <f t="shared" si="10"/>
        <v>-1</v>
      </c>
    </row>
    <row r="120" spans="1:26">
      <c r="A120" s="124">
        <f t="shared" si="9"/>
        <v>115</v>
      </c>
      <c r="B120" s="122">
        <f t="shared" si="6"/>
        <v>66</v>
      </c>
      <c r="C120" s="399">
        <f t="shared" si="7"/>
        <v>0.71538848647655418</v>
      </c>
      <c r="D120" s="84">
        <v>0.71538848647655418</v>
      </c>
      <c r="E120" s="298">
        <v>1</v>
      </c>
      <c r="F120" s="315">
        <v>1</v>
      </c>
      <c r="G120" s="379">
        <v>0</v>
      </c>
      <c r="H120" s="380">
        <v>0</v>
      </c>
      <c r="I120" s="380">
        <v>0</v>
      </c>
      <c r="J120" s="380">
        <v>0</v>
      </c>
      <c r="K120" s="380">
        <v>0</v>
      </c>
      <c r="L120" s="380">
        <v>-1</v>
      </c>
      <c r="M120" s="380">
        <v>0</v>
      </c>
      <c r="N120" s="380">
        <v>1</v>
      </c>
      <c r="O120" s="303">
        <v>0</v>
      </c>
      <c r="P120" s="19">
        <v>0.16666666666666666</v>
      </c>
      <c r="Q120" s="1">
        <v>9.5238095238095233E-2</v>
      </c>
      <c r="R120" s="1">
        <v>0.16666666666666666</v>
      </c>
      <c r="S120" s="1">
        <v>9.5238095238095233E-2</v>
      </c>
      <c r="T120" s="1">
        <v>0.26190476190476192</v>
      </c>
      <c r="U120" s="1">
        <v>0</v>
      </c>
      <c r="V120" s="1">
        <v>0.11904761904761904</v>
      </c>
      <c r="W120" s="1">
        <v>0</v>
      </c>
      <c r="X120" s="3">
        <v>9.5238095238095233E-2</v>
      </c>
      <c r="Y120" s="2">
        <v>0</v>
      </c>
      <c r="Z120" s="315">
        <f t="shared" si="10"/>
        <v>1</v>
      </c>
    </row>
    <row r="121" spans="1:26">
      <c r="A121" s="124">
        <f t="shared" si="9"/>
        <v>116</v>
      </c>
      <c r="B121" s="122">
        <f t="shared" si="6"/>
        <v>28</v>
      </c>
      <c r="C121" s="399">
        <f t="shared" si="7"/>
        <v>0.88036578864145443</v>
      </c>
      <c r="D121" s="84">
        <v>0.88036578864145443</v>
      </c>
      <c r="E121" s="298">
        <v>-1</v>
      </c>
      <c r="F121" s="315">
        <v>1</v>
      </c>
      <c r="G121" s="379">
        <v>0</v>
      </c>
      <c r="H121" s="380">
        <v>0</v>
      </c>
      <c r="I121" s="380">
        <v>0</v>
      </c>
      <c r="J121" s="380">
        <v>0</v>
      </c>
      <c r="K121" s="380">
        <v>0</v>
      </c>
      <c r="L121" s="380">
        <v>1</v>
      </c>
      <c r="M121" s="380">
        <v>-1</v>
      </c>
      <c r="N121" s="380">
        <v>-1</v>
      </c>
      <c r="O121" s="303">
        <v>0</v>
      </c>
      <c r="P121" s="19">
        <v>0.21951219512195122</v>
      </c>
      <c r="Q121" s="1">
        <v>7.3170731707317069E-2</v>
      </c>
      <c r="R121" s="1">
        <v>7.3170731707317069E-2</v>
      </c>
      <c r="S121" s="1">
        <v>0.21951219512195122</v>
      </c>
      <c r="T121" s="1">
        <v>0.21951219512195122</v>
      </c>
      <c r="U121" s="1">
        <v>0</v>
      </c>
      <c r="V121" s="1">
        <v>0</v>
      </c>
      <c r="W121" s="1">
        <v>0</v>
      </c>
      <c r="X121" s="3">
        <v>0.1951219512195122</v>
      </c>
      <c r="Y121" s="2">
        <v>0</v>
      </c>
      <c r="Z121" s="315">
        <f t="shared" si="10"/>
        <v>-1</v>
      </c>
    </row>
    <row r="122" spans="1:26">
      <c r="A122" s="124">
        <f t="shared" si="9"/>
        <v>117</v>
      </c>
      <c r="B122" s="122">
        <f t="shared" si="6"/>
        <v>13</v>
      </c>
      <c r="C122" s="399">
        <f t="shared" si="7"/>
        <v>0.93769739911770489</v>
      </c>
      <c r="D122" s="84">
        <v>0.93769739911770489</v>
      </c>
      <c r="E122" s="298">
        <v>1</v>
      </c>
      <c r="F122" s="315">
        <v>1</v>
      </c>
      <c r="G122" s="379">
        <v>0</v>
      </c>
      <c r="H122" s="380">
        <v>0</v>
      </c>
      <c r="I122" s="380">
        <v>0</v>
      </c>
      <c r="J122" s="380">
        <v>0</v>
      </c>
      <c r="K122" s="380">
        <v>-1</v>
      </c>
      <c r="L122" s="380">
        <v>-1</v>
      </c>
      <c r="M122" s="380">
        <v>1</v>
      </c>
      <c r="N122" s="380">
        <v>1</v>
      </c>
      <c r="O122" s="303">
        <v>0</v>
      </c>
      <c r="P122" s="19">
        <v>2.5210084033613446E-2</v>
      </c>
      <c r="Q122" s="1">
        <v>1.680672268907563E-2</v>
      </c>
      <c r="R122" s="1">
        <v>1.680672268907563E-2</v>
      </c>
      <c r="S122" s="1">
        <v>1.680672268907563E-2</v>
      </c>
      <c r="T122" s="1">
        <v>0</v>
      </c>
      <c r="U122" s="1">
        <v>0</v>
      </c>
      <c r="V122" s="1">
        <v>0</v>
      </c>
      <c r="W122" s="1">
        <v>0</v>
      </c>
      <c r="X122" s="3">
        <v>0.92436974789915971</v>
      </c>
      <c r="Y122" s="2">
        <v>0</v>
      </c>
      <c r="Z122" s="315">
        <f t="shared" si="10"/>
        <v>1</v>
      </c>
    </row>
    <row r="123" spans="1:26">
      <c r="A123" s="124">
        <f t="shared" si="9"/>
        <v>118</v>
      </c>
      <c r="B123" s="122">
        <f t="shared" si="6"/>
        <v>194</v>
      </c>
      <c r="C123" s="399">
        <f t="shared" si="7"/>
        <v>0.23510698431619292</v>
      </c>
      <c r="D123" s="84">
        <v>0.23510698431619292</v>
      </c>
      <c r="E123" s="298">
        <v>-1</v>
      </c>
      <c r="F123" s="315">
        <v>1</v>
      </c>
      <c r="G123" s="379">
        <v>0</v>
      </c>
      <c r="H123" s="380">
        <v>0</v>
      </c>
      <c r="I123" s="380">
        <v>0</v>
      </c>
      <c r="J123" s="380">
        <v>-1</v>
      </c>
      <c r="K123" s="380">
        <v>1</v>
      </c>
      <c r="L123" s="380">
        <v>1</v>
      </c>
      <c r="M123" s="380">
        <v>-1</v>
      </c>
      <c r="N123" s="380">
        <v>-1</v>
      </c>
      <c r="O123" s="303">
        <v>0</v>
      </c>
      <c r="P123" s="19">
        <v>0.61904761904761907</v>
      </c>
      <c r="Q123" s="1">
        <v>0.14285714285714285</v>
      </c>
      <c r="R123" s="1">
        <v>0.14285714285714285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3">
        <v>9.5238095238095233E-2</v>
      </c>
      <c r="Y123" s="2">
        <v>0</v>
      </c>
      <c r="Z123" s="315">
        <f t="shared" si="10"/>
        <v>-1</v>
      </c>
    </row>
    <row r="124" spans="1:26">
      <c r="A124" s="124">
        <f t="shared" si="9"/>
        <v>119</v>
      </c>
      <c r="B124" s="122">
        <f t="shared" si="6"/>
        <v>78</v>
      </c>
      <c r="C124" s="399">
        <f t="shared" si="7"/>
        <v>0.67990324558575332</v>
      </c>
      <c r="D124" s="84">
        <v>0.67990324558575332</v>
      </c>
      <c r="E124" s="298">
        <v>1</v>
      </c>
      <c r="F124" s="315">
        <v>1</v>
      </c>
      <c r="G124" s="379">
        <v>0</v>
      </c>
      <c r="H124" s="380">
        <v>0</v>
      </c>
      <c r="I124" s="380">
        <v>-1</v>
      </c>
      <c r="J124" s="380">
        <v>1</v>
      </c>
      <c r="K124" s="380">
        <v>-1</v>
      </c>
      <c r="L124" s="380">
        <v>-1</v>
      </c>
      <c r="M124" s="380">
        <v>1</v>
      </c>
      <c r="N124" s="380">
        <v>1</v>
      </c>
      <c r="O124" s="303">
        <v>0</v>
      </c>
      <c r="P124" s="19">
        <v>0.61240310077519378</v>
      </c>
      <c r="Q124" s="1">
        <v>3.1007751937984496E-2</v>
      </c>
      <c r="R124" s="1">
        <v>0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3">
        <v>0.35658914728682173</v>
      </c>
      <c r="Y124" s="2">
        <v>0</v>
      </c>
      <c r="Z124" s="315">
        <f t="shared" si="10"/>
        <v>1</v>
      </c>
    </row>
    <row r="125" spans="1:26">
      <c r="A125" s="124">
        <f t="shared" si="9"/>
        <v>120</v>
      </c>
      <c r="B125" s="122">
        <f t="shared" si="6"/>
        <v>50</v>
      </c>
      <c r="C125" s="399">
        <f t="shared" si="7"/>
        <v>0.78639378468692966</v>
      </c>
      <c r="D125" s="84">
        <v>0.78639378468692966</v>
      </c>
      <c r="E125" s="298">
        <v>1</v>
      </c>
      <c r="F125" s="315">
        <v>0</v>
      </c>
      <c r="G125" s="379">
        <v>0</v>
      </c>
      <c r="H125" s="380">
        <v>0</v>
      </c>
      <c r="I125" s="380">
        <v>0</v>
      </c>
      <c r="J125" s="380">
        <v>0</v>
      </c>
      <c r="K125" s="380">
        <v>0</v>
      </c>
      <c r="L125" s="380">
        <v>0</v>
      </c>
      <c r="M125" s="380">
        <v>0</v>
      </c>
      <c r="N125" s="380">
        <v>0</v>
      </c>
      <c r="O125" s="303">
        <v>0</v>
      </c>
      <c r="P125" s="19">
        <v>0.13953488372093023</v>
      </c>
      <c r="Q125" s="1">
        <v>6.9767441860465115E-2</v>
      </c>
      <c r="R125" s="1">
        <v>0.13953488372093023</v>
      </c>
      <c r="S125" s="1">
        <v>9.3023255813953487E-2</v>
      </c>
      <c r="T125" s="1">
        <v>9.3023255813953487E-2</v>
      </c>
      <c r="U125" s="1">
        <v>0.13953488372093023</v>
      </c>
      <c r="V125" s="1">
        <v>9.3023255813953487E-2</v>
      </c>
      <c r="W125" s="1">
        <v>0.13953488372093023</v>
      </c>
      <c r="X125" s="3">
        <v>9.3023255813953487E-2</v>
      </c>
      <c r="Y125" s="2">
        <v>0</v>
      </c>
      <c r="Z125" s="315">
        <f t="shared" si="10"/>
        <v>0</v>
      </c>
    </row>
    <row r="126" spans="1:26">
      <c r="A126" s="124">
        <f t="shared" si="9"/>
        <v>121</v>
      </c>
      <c r="B126" s="122">
        <f t="shared" si="6"/>
        <v>46</v>
      </c>
      <c r="C126" s="399">
        <f t="shared" si="7"/>
        <v>0.80198316790640733</v>
      </c>
      <c r="D126" s="84">
        <v>0.80198316790640733</v>
      </c>
      <c r="E126" s="298">
        <v>-1</v>
      </c>
      <c r="F126" s="315">
        <v>0</v>
      </c>
      <c r="G126" s="379">
        <v>0</v>
      </c>
      <c r="H126" s="380">
        <v>0</v>
      </c>
      <c r="I126" s="380">
        <v>0</v>
      </c>
      <c r="J126" s="380">
        <v>0</v>
      </c>
      <c r="K126" s="380">
        <v>0</v>
      </c>
      <c r="L126" s="380">
        <v>0</v>
      </c>
      <c r="M126" s="380">
        <v>0</v>
      </c>
      <c r="N126" s="380">
        <v>0</v>
      </c>
      <c r="O126" s="303">
        <v>-1</v>
      </c>
      <c r="P126" s="19">
        <v>0.14634146341463414</v>
      </c>
      <c r="Q126" s="1">
        <v>9.7560975609756101E-2</v>
      </c>
      <c r="R126" s="1">
        <v>0.14634146341463414</v>
      </c>
      <c r="S126" s="1">
        <v>0.14634146341463414</v>
      </c>
      <c r="T126" s="1">
        <v>0.12195121951219512</v>
      </c>
      <c r="U126" s="1">
        <v>9.7560975609756101E-2</v>
      </c>
      <c r="V126" s="1">
        <v>9.7560975609756101E-2</v>
      </c>
      <c r="W126" s="1">
        <v>0.14634146341463414</v>
      </c>
      <c r="X126" s="3">
        <v>0</v>
      </c>
      <c r="Y126" s="2">
        <v>0</v>
      </c>
      <c r="Z126" s="315">
        <f t="shared" si="10"/>
        <v>0</v>
      </c>
    </row>
    <row r="127" spans="1:26">
      <c r="A127" s="124">
        <f t="shared" si="9"/>
        <v>122</v>
      </c>
      <c r="B127" s="122">
        <f t="shared" si="6"/>
        <v>185</v>
      </c>
      <c r="C127" s="399">
        <f t="shared" si="7"/>
        <v>0.26581870975254662</v>
      </c>
      <c r="D127" s="84">
        <v>0.26581870975254662</v>
      </c>
      <c r="E127" s="298">
        <v>1</v>
      </c>
      <c r="F127" s="315">
        <v>0</v>
      </c>
      <c r="G127" s="379">
        <v>0</v>
      </c>
      <c r="H127" s="380">
        <v>0</v>
      </c>
      <c r="I127" s="380">
        <v>0</v>
      </c>
      <c r="J127" s="380">
        <v>0</v>
      </c>
      <c r="K127" s="380">
        <v>-1</v>
      </c>
      <c r="L127" s="380">
        <v>0</v>
      </c>
      <c r="M127" s="380">
        <v>0</v>
      </c>
      <c r="N127" s="380">
        <v>0</v>
      </c>
      <c r="O127" s="303">
        <v>1</v>
      </c>
      <c r="P127" s="19">
        <v>0.14634146341463414</v>
      </c>
      <c r="Q127" s="1">
        <v>0.21951219512195122</v>
      </c>
      <c r="R127" s="1">
        <v>0.12195121951219512</v>
      </c>
      <c r="S127" s="1">
        <v>0.12195121951219512</v>
      </c>
      <c r="T127" s="1">
        <v>0</v>
      </c>
      <c r="U127" s="1">
        <v>0.12195121951219512</v>
      </c>
      <c r="V127" s="1">
        <v>0.12195121951219512</v>
      </c>
      <c r="W127" s="1">
        <v>0.14634146341463414</v>
      </c>
      <c r="X127" s="3">
        <v>0</v>
      </c>
      <c r="Y127" s="2">
        <v>0</v>
      </c>
      <c r="Z127" s="315">
        <f t="shared" si="10"/>
        <v>0</v>
      </c>
    </row>
    <row r="128" spans="1:26">
      <c r="A128" s="124">
        <f t="shared" si="9"/>
        <v>123</v>
      </c>
      <c r="B128" s="122">
        <f t="shared" si="6"/>
        <v>237</v>
      </c>
      <c r="C128" s="399">
        <f t="shared" si="7"/>
        <v>7.8643126418561526E-2</v>
      </c>
      <c r="D128" s="84">
        <v>7.8643126418561526E-2</v>
      </c>
      <c r="E128" s="298">
        <v>-1</v>
      </c>
      <c r="F128" s="315">
        <v>0</v>
      </c>
      <c r="G128" s="379">
        <v>-1</v>
      </c>
      <c r="H128" s="380">
        <v>0</v>
      </c>
      <c r="I128" s="380">
        <v>0</v>
      </c>
      <c r="J128" s="380">
        <v>0</v>
      </c>
      <c r="K128" s="380">
        <v>1</v>
      </c>
      <c r="L128" s="380">
        <v>0</v>
      </c>
      <c r="M128" s="380">
        <v>0</v>
      </c>
      <c r="N128" s="380">
        <v>0</v>
      </c>
      <c r="O128" s="303">
        <v>-1</v>
      </c>
      <c r="P128" s="19">
        <v>0</v>
      </c>
      <c r="Q128" s="1">
        <v>7.3170731707317069E-2</v>
      </c>
      <c r="R128" s="1">
        <v>0.12195121951219512</v>
      </c>
      <c r="S128" s="1">
        <v>0.1951219512195122</v>
      </c>
      <c r="T128" s="1">
        <v>0</v>
      </c>
      <c r="U128" s="1">
        <v>0.12195121951219512</v>
      </c>
      <c r="V128" s="1">
        <v>0.21951219512195122</v>
      </c>
      <c r="W128" s="1">
        <v>0.26829268292682928</v>
      </c>
      <c r="X128" s="3">
        <v>0</v>
      </c>
      <c r="Y128" s="2">
        <v>0</v>
      </c>
      <c r="Z128" s="315">
        <f t="shared" si="10"/>
        <v>0</v>
      </c>
    </row>
    <row r="129" spans="1:26">
      <c r="A129" s="124">
        <f t="shared" si="9"/>
        <v>124</v>
      </c>
      <c r="B129" s="122">
        <f t="shared" si="6"/>
        <v>96</v>
      </c>
      <c r="C129" s="399">
        <f t="shared" si="7"/>
        <v>0.60988224171141237</v>
      </c>
      <c r="D129" s="84">
        <v>0.60988224171141237</v>
      </c>
      <c r="E129" s="298">
        <v>1</v>
      </c>
      <c r="F129" s="315">
        <v>0</v>
      </c>
      <c r="G129" s="379">
        <v>1</v>
      </c>
      <c r="H129" s="380">
        <v>0</v>
      </c>
      <c r="I129" s="380">
        <v>0</v>
      </c>
      <c r="J129" s="380">
        <v>0</v>
      </c>
      <c r="K129" s="380">
        <v>-1</v>
      </c>
      <c r="L129" s="380">
        <v>0</v>
      </c>
      <c r="M129" s="380">
        <v>0</v>
      </c>
      <c r="N129" s="380">
        <v>-1</v>
      </c>
      <c r="O129" s="303">
        <v>1</v>
      </c>
      <c r="P129" s="19">
        <v>0</v>
      </c>
      <c r="Q129" s="1">
        <v>0.875</v>
      </c>
      <c r="R129" s="1">
        <v>3.125E-2</v>
      </c>
      <c r="S129" s="1">
        <v>3.125E-2</v>
      </c>
      <c r="T129" s="1">
        <v>0</v>
      </c>
      <c r="U129" s="1">
        <v>3.125E-2</v>
      </c>
      <c r="V129" s="1">
        <v>3.125E-2</v>
      </c>
      <c r="W129" s="1">
        <v>0</v>
      </c>
      <c r="X129" s="3">
        <v>0</v>
      </c>
      <c r="Y129" s="2">
        <v>0</v>
      </c>
      <c r="Z129" s="315">
        <f t="shared" si="10"/>
        <v>0</v>
      </c>
    </row>
    <row r="130" spans="1:26">
      <c r="A130" s="124">
        <f t="shared" si="9"/>
        <v>125</v>
      </c>
      <c r="B130" s="122">
        <f t="shared" si="6"/>
        <v>209</v>
      </c>
      <c r="C130" s="399">
        <f t="shared" si="7"/>
        <v>0.17620216472813222</v>
      </c>
      <c r="D130" s="84">
        <v>0.17620216472813222</v>
      </c>
      <c r="E130" s="298">
        <v>-1</v>
      </c>
      <c r="F130" s="315">
        <v>0</v>
      </c>
      <c r="G130" s="379">
        <v>-1</v>
      </c>
      <c r="H130" s="380">
        <v>-1</v>
      </c>
      <c r="I130" s="380">
        <v>0</v>
      </c>
      <c r="J130" s="380">
        <v>0</v>
      </c>
      <c r="K130" s="380">
        <v>1</v>
      </c>
      <c r="L130" s="380">
        <v>0</v>
      </c>
      <c r="M130" s="380">
        <v>0</v>
      </c>
      <c r="N130" s="380">
        <v>1</v>
      </c>
      <c r="O130" s="303">
        <v>-1</v>
      </c>
      <c r="P130" s="19">
        <v>0</v>
      </c>
      <c r="Q130" s="1">
        <v>0</v>
      </c>
      <c r="R130" s="1">
        <v>0.91891891891891897</v>
      </c>
      <c r="S130" s="1">
        <v>2.7027027027027029E-2</v>
      </c>
      <c r="T130" s="1">
        <v>0</v>
      </c>
      <c r="U130" s="1">
        <v>2.7027027027027029E-2</v>
      </c>
      <c r="V130" s="1">
        <v>2.7027027027027029E-2</v>
      </c>
      <c r="W130" s="1">
        <v>0</v>
      </c>
      <c r="X130" s="3">
        <v>0</v>
      </c>
      <c r="Y130" s="2">
        <v>0</v>
      </c>
      <c r="Z130" s="315">
        <f t="shared" si="10"/>
        <v>0</v>
      </c>
    </row>
    <row r="131" spans="1:26">
      <c r="A131" s="124">
        <f t="shared" si="9"/>
        <v>126</v>
      </c>
      <c r="B131" s="122">
        <f t="shared" si="6"/>
        <v>249</v>
      </c>
      <c r="C131" s="399">
        <f t="shared" si="7"/>
        <v>3.3063020836153756E-2</v>
      </c>
      <c r="D131" s="84">
        <v>3.3063020836153756E-2</v>
      </c>
      <c r="E131" s="298">
        <v>1</v>
      </c>
      <c r="F131" s="315">
        <v>0</v>
      </c>
      <c r="G131" s="379">
        <v>1</v>
      </c>
      <c r="H131" s="380">
        <v>1</v>
      </c>
      <c r="I131" s="380">
        <v>-1</v>
      </c>
      <c r="J131" s="380">
        <v>0</v>
      </c>
      <c r="K131" s="380">
        <v>-1</v>
      </c>
      <c r="L131" s="380">
        <v>0</v>
      </c>
      <c r="M131" s="380">
        <v>0</v>
      </c>
      <c r="N131" s="380">
        <v>-1</v>
      </c>
      <c r="O131" s="303">
        <v>1</v>
      </c>
      <c r="P131" s="19">
        <v>0</v>
      </c>
      <c r="Q131" s="1">
        <v>0</v>
      </c>
      <c r="R131" s="1">
        <v>0</v>
      </c>
      <c r="S131" s="1">
        <v>0.10638297872340426</v>
      </c>
      <c r="T131" s="1">
        <v>0</v>
      </c>
      <c r="U131" s="1">
        <v>8.5106382978723402E-2</v>
      </c>
      <c r="V131" s="1">
        <v>0.80851063829787229</v>
      </c>
      <c r="W131" s="1">
        <v>0</v>
      </c>
      <c r="X131" s="3">
        <v>0</v>
      </c>
      <c r="Y131" s="2">
        <v>0</v>
      </c>
      <c r="Z131" s="315">
        <f t="shared" si="10"/>
        <v>0</v>
      </c>
    </row>
    <row r="132" spans="1:26">
      <c r="A132" s="124">
        <f t="shared" si="9"/>
        <v>127</v>
      </c>
      <c r="B132" s="122">
        <f t="shared" si="6"/>
        <v>233</v>
      </c>
      <c r="C132" s="399">
        <f t="shared" si="7"/>
        <v>8.636046900633465E-2</v>
      </c>
      <c r="D132" s="84">
        <v>8.636046900633465E-2</v>
      </c>
      <c r="E132" s="298">
        <v>-1</v>
      </c>
      <c r="F132" s="315">
        <v>0</v>
      </c>
      <c r="G132" s="379">
        <v>-1</v>
      </c>
      <c r="H132" s="380">
        <v>-1</v>
      </c>
      <c r="I132" s="380">
        <v>1</v>
      </c>
      <c r="J132" s="380">
        <v>0</v>
      </c>
      <c r="K132" s="380">
        <v>1</v>
      </c>
      <c r="L132" s="380">
        <v>0</v>
      </c>
      <c r="M132" s="380">
        <v>-1</v>
      </c>
      <c r="N132" s="380">
        <v>1</v>
      </c>
      <c r="O132" s="303">
        <v>-1</v>
      </c>
      <c r="P132" s="19">
        <v>0</v>
      </c>
      <c r="Q132" s="1">
        <v>0</v>
      </c>
      <c r="R132" s="1">
        <v>0</v>
      </c>
      <c r="S132" s="1">
        <v>0.94029850746268662</v>
      </c>
      <c r="T132" s="1">
        <v>0</v>
      </c>
      <c r="U132" s="1">
        <v>5.9701492537313432E-2</v>
      </c>
      <c r="V132" s="1">
        <v>0</v>
      </c>
      <c r="W132" s="1">
        <v>0</v>
      </c>
      <c r="X132" s="3">
        <v>0</v>
      </c>
      <c r="Y132" s="2">
        <v>0</v>
      </c>
      <c r="Z132" s="315">
        <f t="shared" si="10"/>
        <v>0</v>
      </c>
    </row>
    <row r="133" spans="1:26">
      <c r="A133" s="124">
        <f t="shared" si="9"/>
        <v>128</v>
      </c>
      <c r="B133" s="122">
        <f t="shared" si="6"/>
        <v>17</v>
      </c>
      <c r="C133" s="399">
        <f t="shared" si="7"/>
        <v>0.93072064265031873</v>
      </c>
      <c r="D133" s="84">
        <v>0.93072064265031873</v>
      </c>
      <c r="E133" s="298">
        <v>1</v>
      </c>
      <c r="F133" s="315">
        <v>0</v>
      </c>
      <c r="G133" s="379">
        <v>1</v>
      </c>
      <c r="H133" s="380">
        <v>1</v>
      </c>
      <c r="I133" s="380">
        <v>-1</v>
      </c>
      <c r="J133" s="380">
        <v>-1</v>
      </c>
      <c r="K133" s="380">
        <v>-1</v>
      </c>
      <c r="L133" s="380">
        <v>0</v>
      </c>
      <c r="M133" s="380">
        <v>1</v>
      </c>
      <c r="N133" s="380">
        <v>-1</v>
      </c>
      <c r="O133" s="303">
        <v>1</v>
      </c>
      <c r="P133" s="19">
        <v>0</v>
      </c>
      <c r="Q133" s="1">
        <v>0</v>
      </c>
      <c r="R133" s="1">
        <v>0</v>
      </c>
      <c r="S133" s="1">
        <v>0</v>
      </c>
      <c r="T133" s="1">
        <v>0</v>
      </c>
      <c r="U133" s="1">
        <v>1</v>
      </c>
      <c r="V133" s="1">
        <v>0</v>
      </c>
      <c r="W133" s="1">
        <v>0</v>
      </c>
      <c r="X133" s="3">
        <v>0</v>
      </c>
      <c r="Y133" s="2">
        <v>0</v>
      </c>
      <c r="Z133" s="315">
        <f t="shared" si="10"/>
        <v>0</v>
      </c>
    </row>
    <row r="134" spans="1:26">
      <c r="A134" s="124">
        <f t="shared" si="9"/>
        <v>129</v>
      </c>
      <c r="B134" s="122">
        <f t="shared" ref="B134:B197" si="11">RANK(C134,$C$5:$C$260)-1</f>
        <v>224</v>
      </c>
      <c r="C134" s="399">
        <f t="shared" ref="C134:C197" si="12">IF(F134="","",D134)</f>
        <v>0.12054100511273602</v>
      </c>
      <c r="D134" s="84">
        <v>0.12054100511273602</v>
      </c>
      <c r="E134" s="298">
        <v>1</v>
      </c>
      <c r="F134" s="315">
        <v>1</v>
      </c>
      <c r="G134" s="379">
        <v>0</v>
      </c>
      <c r="H134" s="380">
        <v>0</v>
      </c>
      <c r="I134" s="380">
        <v>0</v>
      </c>
      <c r="J134" s="380">
        <v>0</v>
      </c>
      <c r="K134" s="380">
        <v>0</v>
      </c>
      <c r="L134" s="380">
        <v>0</v>
      </c>
      <c r="M134" s="380">
        <v>0</v>
      </c>
      <c r="N134" s="380">
        <v>0</v>
      </c>
      <c r="O134" s="303">
        <v>0</v>
      </c>
      <c r="P134" s="19">
        <v>0.14285714285714285</v>
      </c>
      <c r="Q134" s="1">
        <v>7.1428571428571425E-2</v>
      </c>
      <c r="R134" s="1">
        <v>0.14285714285714285</v>
      </c>
      <c r="S134" s="1">
        <v>0.11904761904761904</v>
      </c>
      <c r="T134" s="1">
        <v>9.5238095238095233E-2</v>
      </c>
      <c r="U134" s="1">
        <v>9.5238095238095233E-2</v>
      </c>
      <c r="V134" s="1">
        <v>9.5238095238095233E-2</v>
      </c>
      <c r="W134" s="1">
        <v>0.14285714285714285</v>
      </c>
      <c r="X134" s="3">
        <v>9.5238095238095233E-2</v>
      </c>
      <c r="Y134" s="2">
        <v>0</v>
      </c>
      <c r="Z134" s="315">
        <f t="shared" si="10"/>
        <v>1</v>
      </c>
    </row>
    <row r="135" spans="1:26">
      <c r="A135" s="124">
        <f t="shared" ref="A135:A198" si="13">A134+1</f>
        <v>130</v>
      </c>
      <c r="B135" s="122">
        <f t="shared" si="11"/>
        <v>44</v>
      </c>
      <c r="C135" s="399">
        <f t="shared" si="12"/>
        <v>0.80962835499109964</v>
      </c>
      <c r="D135" s="84">
        <v>0.80962835499109964</v>
      </c>
      <c r="E135" s="298">
        <v>-1</v>
      </c>
      <c r="F135" s="315">
        <v>1</v>
      </c>
      <c r="G135" s="379">
        <v>-1</v>
      </c>
      <c r="H135" s="380">
        <v>0</v>
      </c>
      <c r="I135" s="380">
        <v>0</v>
      </c>
      <c r="J135" s="380">
        <v>0</v>
      </c>
      <c r="K135" s="380">
        <v>0</v>
      </c>
      <c r="L135" s="380">
        <v>0</v>
      </c>
      <c r="M135" s="380">
        <v>0</v>
      </c>
      <c r="N135" s="380">
        <v>0</v>
      </c>
      <c r="O135" s="303">
        <v>0</v>
      </c>
      <c r="P135" s="19">
        <v>0</v>
      </c>
      <c r="Q135" s="1">
        <v>0.14634146341463414</v>
      </c>
      <c r="R135" s="1">
        <v>0.12195121951219512</v>
      </c>
      <c r="S135" s="1">
        <v>7.3170731707317069E-2</v>
      </c>
      <c r="T135" s="1">
        <v>0.12195121951219512</v>
      </c>
      <c r="U135" s="1">
        <v>0.14634146341463414</v>
      </c>
      <c r="V135" s="1">
        <v>0.14634146341463414</v>
      </c>
      <c r="W135" s="1">
        <v>0.14634146341463414</v>
      </c>
      <c r="X135" s="3">
        <v>9.7560975609756101E-2</v>
      </c>
      <c r="Y135" s="2">
        <v>0</v>
      </c>
      <c r="Z135" s="315">
        <f t="shared" si="10"/>
        <v>-1</v>
      </c>
    </row>
    <row r="136" spans="1:26">
      <c r="A136" s="124">
        <f t="shared" si="13"/>
        <v>131</v>
      </c>
      <c r="B136" s="122">
        <f t="shared" si="11"/>
        <v>102</v>
      </c>
      <c r="C136" s="399">
        <f t="shared" si="12"/>
        <v>0.58818282853343429</v>
      </c>
      <c r="D136" s="84">
        <v>0.58818282853343429</v>
      </c>
      <c r="E136" s="298">
        <v>1</v>
      </c>
      <c r="F136" s="315">
        <v>1</v>
      </c>
      <c r="G136" s="379">
        <v>1</v>
      </c>
      <c r="H136" s="380">
        <v>0</v>
      </c>
      <c r="I136" s="380">
        <v>-1</v>
      </c>
      <c r="J136" s="380">
        <v>0</v>
      </c>
      <c r="K136" s="380">
        <v>0</v>
      </c>
      <c r="L136" s="380">
        <v>0</v>
      </c>
      <c r="M136" s="380">
        <v>0</v>
      </c>
      <c r="N136" s="380">
        <v>0</v>
      </c>
      <c r="O136" s="303">
        <v>0</v>
      </c>
      <c r="P136" s="19">
        <v>0</v>
      </c>
      <c r="Q136" s="1">
        <v>0.11904761904761904</v>
      </c>
      <c r="R136" s="1">
        <v>0</v>
      </c>
      <c r="S136" s="1">
        <v>0.19047619047619047</v>
      </c>
      <c r="T136" s="1">
        <v>9.5238095238095233E-2</v>
      </c>
      <c r="U136" s="1">
        <v>9.5238095238095233E-2</v>
      </c>
      <c r="V136" s="1">
        <v>0.26190476190476192</v>
      </c>
      <c r="W136" s="1">
        <v>0.14285714285714285</v>
      </c>
      <c r="X136" s="3">
        <v>9.5238095238095233E-2</v>
      </c>
      <c r="Y136" s="2">
        <v>0</v>
      </c>
      <c r="Z136" s="315">
        <f t="shared" si="10"/>
        <v>1</v>
      </c>
    </row>
    <row r="137" spans="1:26">
      <c r="A137" s="124">
        <f t="shared" si="13"/>
        <v>132</v>
      </c>
      <c r="B137" s="122">
        <f t="shared" si="11"/>
        <v>134</v>
      </c>
      <c r="C137" s="399">
        <f t="shared" si="12"/>
        <v>0.49164122659526677</v>
      </c>
      <c r="D137" s="84">
        <v>0.49164122659526677</v>
      </c>
      <c r="E137" s="298">
        <v>-1</v>
      </c>
      <c r="F137" s="315">
        <v>1</v>
      </c>
      <c r="G137" s="379">
        <v>-1</v>
      </c>
      <c r="H137" s="380">
        <v>0</v>
      </c>
      <c r="I137" s="380">
        <v>1</v>
      </c>
      <c r="J137" s="380">
        <v>0</v>
      </c>
      <c r="K137" s="380">
        <v>0</v>
      </c>
      <c r="L137" s="380">
        <v>0</v>
      </c>
      <c r="M137" s="380">
        <v>-1</v>
      </c>
      <c r="N137" s="380">
        <v>0</v>
      </c>
      <c r="O137" s="303">
        <v>0</v>
      </c>
      <c r="P137" s="19">
        <v>0</v>
      </c>
      <c r="Q137" s="1">
        <v>2.5000000000000001E-2</v>
      </c>
      <c r="R137" s="1">
        <v>0</v>
      </c>
      <c r="S137" s="1">
        <v>0.42499999999999999</v>
      </c>
      <c r="T137" s="1">
        <v>0.15</v>
      </c>
      <c r="U137" s="1">
        <v>0.125</v>
      </c>
      <c r="V137" s="1">
        <v>0</v>
      </c>
      <c r="W137" s="1">
        <v>0.125</v>
      </c>
      <c r="X137" s="3">
        <v>0.15</v>
      </c>
      <c r="Y137" s="2">
        <v>0</v>
      </c>
      <c r="Z137" s="315">
        <f t="shared" si="10"/>
        <v>-1</v>
      </c>
    </row>
    <row r="138" spans="1:26">
      <c r="A138" s="124">
        <f t="shared" si="13"/>
        <v>133</v>
      </c>
      <c r="B138" s="122">
        <f t="shared" si="11"/>
        <v>112</v>
      </c>
      <c r="C138" s="399">
        <f t="shared" si="12"/>
        <v>0.56142400943696946</v>
      </c>
      <c r="D138" s="84">
        <v>0.56142400943696946</v>
      </c>
      <c r="E138" s="298">
        <v>1</v>
      </c>
      <c r="F138" s="315">
        <v>1</v>
      </c>
      <c r="G138" s="379">
        <v>1</v>
      </c>
      <c r="H138" s="380">
        <v>0</v>
      </c>
      <c r="I138" s="380">
        <v>-1</v>
      </c>
      <c r="J138" s="380">
        <v>0</v>
      </c>
      <c r="K138" s="380">
        <v>0</v>
      </c>
      <c r="L138" s="380">
        <v>-1</v>
      </c>
      <c r="M138" s="380">
        <v>1</v>
      </c>
      <c r="N138" s="380">
        <v>0</v>
      </c>
      <c r="O138" s="303">
        <v>0</v>
      </c>
      <c r="P138" s="19">
        <v>0</v>
      </c>
      <c r="Q138" s="1">
        <v>1.7857142857142856E-2</v>
      </c>
      <c r="R138" s="1">
        <v>0</v>
      </c>
      <c r="S138" s="1">
        <v>0.8839285714285714</v>
      </c>
      <c r="T138" s="1">
        <v>3.5714285714285712E-2</v>
      </c>
      <c r="U138" s="1">
        <v>0</v>
      </c>
      <c r="V138" s="1">
        <v>0</v>
      </c>
      <c r="W138" s="1">
        <v>3.5714285714285712E-2</v>
      </c>
      <c r="X138" s="3">
        <v>2.6785714285714284E-2</v>
      </c>
      <c r="Y138" s="2">
        <v>0</v>
      </c>
      <c r="Z138" s="315">
        <f t="shared" si="10"/>
        <v>1</v>
      </c>
    </row>
    <row r="139" spans="1:26">
      <c r="A139" s="124">
        <f t="shared" si="13"/>
        <v>134</v>
      </c>
      <c r="B139" s="122">
        <f t="shared" si="11"/>
        <v>246</v>
      </c>
      <c r="C139" s="399">
        <f t="shared" si="12"/>
        <v>5.6972996944085308E-2</v>
      </c>
      <c r="D139" s="84">
        <v>5.6972996944085308E-2</v>
      </c>
      <c r="E139" s="298">
        <v>1</v>
      </c>
      <c r="F139" s="315">
        <v>1</v>
      </c>
      <c r="G139" s="379">
        <v>0</v>
      </c>
      <c r="H139" s="380">
        <v>0</v>
      </c>
      <c r="I139" s="380">
        <v>0</v>
      </c>
      <c r="J139" s="380">
        <v>0</v>
      </c>
      <c r="K139" s="380">
        <v>0</v>
      </c>
      <c r="L139" s="380">
        <v>0</v>
      </c>
      <c r="M139" s="380">
        <v>0</v>
      </c>
      <c r="N139" s="380">
        <v>0</v>
      </c>
      <c r="O139" s="303">
        <v>0</v>
      </c>
      <c r="P139" s="19">
        <v>0.13953488372093023</v>
      </c>
      <c r="Q139" s="1">
        <v>9.3023255813953487E-2</v>
      </c>
      <c r="R139" s="1">
        <v>6.9767441860465115E-2</v>
      </c>
      <c r="S139" s="1">
        <v>0.13953488372093023</v>
      </c>
      <c r="T139" s="1">
        <v>9.3023255813953487E-2</v>
      </c>
      <c r="U139" s="1">
        <v>0.13953488372093023</v>
      </c>
      <c r="V139" s="1">
        <v>9.3023255813953487E-2</v>
      </c>
      <c r="W139" s="1">
        <v>0.13953488372093023</v>
      </c>
      <c r="X139" s="3">
        <v>9.3023255813953487E-2</v>
      </c>
      <c r="Y139" s="2">
        <v>0</v>
      </c>
      <c r="Z139" s="315">
        <f t="shared" si="10"/>
        <v>1</v>
      </c>
    </row>
    <row r="140" spans="1:26">
      <c r="A140" s="124">
        <f t="shared" si="13"/>
        <v>135</v>
      </c>
      <c r="B140" s="122">
        <f t="shared" si="11"/>
        <v>123</v>
      </c>
      <c r="C140" s="399">
        <f t="shared" si="12"/>
        <v>0.51945450741827437</v>
      </c>
      <c r="D140" s="84">
        <v>0.51945450741827437</v>
      </c>
      <c r="E140" s="298">
        <v>-1</v>
      </c>
      <c r="F140" s="315">
        <v>1</v>
      </c>
      <c r="G140" s="379">
        <v>0</v>
      </c>
      <c r="H140" s="380">
        <v>0</v>
      </c>
      <c r="I140" s="380">
        <v>0</v>
      </c>
      <c r="J140" s="380">
        <v>0</v>
      </c>
      <c r="K140" s="380">
        <v>-1</v>
      </c>
      <c r="L140" s="380">
        <v>0</v>
      </c>
      <c r="M140" s="380">
        <v>0</v>
      </c>
      <c r="N140" s="380">
        <v>0</v>
      </c>
      <c r="O140" s="303">
        <v>0</v>
      </c>
      <c r="P140" s="19">
        <v>0.17073170731707318</v>
      </c>
      <c r="Q140" s="1">
        <v>9.7560975609756101E-2</v>
      </c>
      <c r="R140" s="1">
        <v>0.12195121951219512</v>
      </c>
      <c r="S140" s="1">
        <v>0.12195121951219512</v>
      </c>
      <c r="T140" s="1">
        <v>0</v>
      </c>
      <c r="U140" s="1">
        <v>0.12195121951219512</v>
      </c>
      <c r="V140" s="1">
        <v>0.12195121951219512</v>
      </c>
      <c r="W140" s="1">
        <v>0.14634146341463414</v>
      </c>
      <c r="X140" s="3">
        <v>9.7560975609756101E-2</v>
      </c>
      <c r="Y140" s="2">
        <v>0</v>
      </c>
      <c r="Z140" s="315">
        <f t="shared" si="10"/>
        <v>-1</v>
      </c>
    </row>
    <row r="141" spans="1:26">
      <c r="A141" s="124">
        <f t="shared" si="13"/>
        <v>136</v>
      </c>
      <c r="B141" s="122">
        <f t="shared" si="11"/>
        <v>104</v>
      </c>
      <c r="C141" s="399">
        <f t="shared" si="12"/>
        <v>0.5844530602761574</v>
      </c>
      <c r="D141" s="84">
        <v>0.5844530602761574</v>
      </c>
      <c r="E141" s="298">
        <v>1</v>
      </c>
      <c r="F141" s="315">
        <v>1</v>
      </c>
      <c r="G141" s="379">
        <v>0</v>
      </c>
      <c r="H141" s="380">
        <v>0</v>
      </c>
      <c r="I141" s="380">
        <v>0</v>
      </c>
      <c r="J141" s="380">
        <v>0</v>
      </c>
      <c r="K141" s="380">
        <v>1</v>
      </c>
      <c r="L141" s="380">
        <v>0</v>
      </c>
      <c r="M141" s="380">
        <v>0</v>
      </c>
      <c r="N141" s="380">
        <v>0</v>
      </c>
      <c r="O141" s="303">
        <v>-1</v>
      </c>
      <c r="P141" s="19">
        <v>0.16666666666666666</v>
      </c>
      <c r="Q141" s="1">
        <v>7.1428571428571425E-2</v>
      </c>
      <c r="R141" s="1">
        <v>0.14285714285714285</v>
      </c>
      <c r="S141" s="1">
        <v>0.14285714285714285</v>
      </c>
      <c r="T141" s="1">
        <v>0</v>
      </c>
      <c r="U141" s="1">
        <v>0.11904761904761904</v>
      </c>
      <c r="V141" s="1">
        <v>0.14285714285714285</v>
      </c>
      <c r="W141" s="1">
        <v>0.21428571428571427</v>
      </c>
      <c r="X141" s="3">
        <v>0</v>
      </c>
      <c r="Y141" s="2">
        <v>0</v>
      </c>
      <c r="Z141" s="315">
        <f t="shared" si="10"/>
        <v>1</v>
      </c>
    </row>
    <row r="142" spans="1:26">
      <c r="A142" s="124">
        <f t="shared" si="13"/>
        <v>137</v>
      </c>
      <c r="B142" s="122">
        <f t="shared" si="11"/>
        <v>35</v>
      </c>
      <c r="C142" s="399">
        <f t="shared" si="12"/>
        <v>0.83556851785812203</v>
      </c>
      <c r="D142" s="84">
        <v>0.83556851785812203</v>
      </c>
      <c r="E142" s="298">
        <v>-1</v>
      </c>
      <c r="F142" s="315">
        <v>1</v>
      </c>
      <c r="G142" s="379">
        <v>0</v>
      </c>
      <c r="H142" s="380">
        <v>0</v>
      </c>
      <c r="I142" s="380">
        <v>0</v>
      </c>
      <c r="J142" s="380">
        <v>0</v>
      </c>
      <c r="K142" s="380">
        <v>-1</v>
      </c>
      <c r="L142" s="380">
        <v>-1</v>
      </c>
      <c r="M142" s="380">
        <v>0</v>
      </c>
      <c r="N142" s="380">
        <v>0</v>
      </c>
      <c r="O142" s="303">
        <v>1</v>
      </c>
      <c r="P142" s="19">
        <v>0.1951219512195122</v>
      </c>
      <c r="Q142" s="1">
        <v>7.3170731707317069E-2</v>
      </c>
      <c r="R142" s="1">
        <v>9.7560975609756101E-2</v>
      </c>
      <c r="S142" s="1">
        <v>0.24390243902439024</v>
      </c>
      <c r="T142" s="1">
        <v>0</v>
      </c>
      <c r="U142" s="1">
        <v>0</v>
      </c>
      <c r="V142" s="1">
        <v>0.1951219512195122</v>
      </c>
      <c r="W142" s="1">
        <v>0.1951219512195122</v>
      </c>
      <c r="X142" s="3">
        <v>0</v>
      </c>
      <c r="Y142" s="2">
        <v>0</v>
      </c>
      <c r="Z142" s="315">
        <f t="shared" si="10"/>
        <v>-1</v>
      </c>
    </row>
    <row r="143" spans="1:26">
      <c r="A143" s="124">
        <f t="shared" si="13"/>
        <v>138</v>
      </c>
      <c r="B143" s="122">
        <f t="shared" si="11"/>
        <v>252</v>
      </c>
      <c r="C143" s="399">
        <f t="shared" si="12"/>
        <v>2.7628602821452519E-2</v>
      </c>
      <c r="D143" s="84">
        <v>2.7628602821452519E-2</v>
      </c>
      <c r="E143" s="298">
        <v>1</v>
      </c>
      <c r="F143" s="315">
        <v>1</v>
      </c>
      <c r="G143" s="379">
        <v>0</v>
      </c>
      <c r="H143" s="380">
        <v>0</v>
      </c>
      <c r="I143" s="380">
        <v>0</v>
      </c>
      <c r="J143" s="380">
        <v>0</v>
      </c>
      <c r="K143" s="380">
        <v>1</v>
      </c>
      <c r="L143" s="380">
        <v>1</v>
      </c>
      <c r="M143" s="380">
        <v>-1</v>
      </c>
      <c r="N143" s="380">
        <v>0</v>
      </c>
      <c r="O143" s="303">
        <v>-1</v>
      </c>
      <c r="P143" s="19">
        <v>1.7094017094017096E-2</v>
      </c>
      <c r="Q143" s="1">
        <v>1.7094017094017096E-2</v>
      </c>
      <c r="R143" s="1">
        <v>1.7094017094017096E-2</v>
      </c>
      <c r="S143" s="1">
        <v>0.92307692307692313</v>
      </c>
      <c r="T143" s="1">
        <v>0</v>
      </c>
      <c r="U143" s="1">
        <v>0</v>
      </c>
      <c r="V143" s="1">
        <v>0</v>
      </c>
      <c r="W143" s="1">
        <v>2.564102564102564E-2</v>
      </c>
      <c r="X143" s="3">
        <v>0</v>
      </c>
      <c r="Y143" s="2">
        <v>0</v>
      </c>
      <c r="Z143" s="315">
        <f t="shared" si="10"/>
        <v>1</v>
      </c>
    </row>
    <row r="144" spans="1:26">
      <c r="A144" s="124">
        <f t="shared" si="13"/>
        <v>139</v>
      </c>
      <c r="B144" s="122">
        <f t="shared" si="11"/>
        <v>139</v>
      </c>
      <c r="C144" s="399">
        <f t="shared" si="12"/>
        <v>0.47298209946974701</v>
      </c>
      <c r="D144" s="84">
        <v>0.47298209946974701</v>
      </c>
      <c r="E144" s="298">
        <v>1</v>
      </c>
      <c r="F144" s="315">
        <v>1</v>
      </c>
      <c r="G144" s="379">
        <v>0</v>
      </c>
      <c r="H144" s="380">
        <v>0</v>
      </c>
      <c r="I144" s="380">
        <v>0</v>
      </c>
      <c r="J144" s="380">
        <v>0</v>
      </c>
      <c r="K144" s="380">
        <v>0</v>
      </c>
      <c r="L144" s="380">
        <v>0</v>
      </c>
      <c r="M144" s="380">
        <v>0</v>
      </c>
      <c r="N144" s="380">
        <v>0</v>
      </c>
      <c r="O144" s="303">
        <v>0</v>
      </c>
      <c r="P144" s="19">
        <v>0.14285714285714285</v>
      </c>
      <c r="Q144" s="1">
        <v>0.11904761904761904</v>
      </c>
      <c r="R144" s="1">
        <v>7.1428571428571425E-2</v>
      </c>
      <c r="S144" s="1">
        <v>9.5238095238095233E-2</v>
      </c>
      <c r="T144" s="1">
        <v>0.11904761904761904</v>
      </c>
      <c r="U144" s="1">
        <v>0.11904761904761904</v>
      </c>
      <c r="V144" s="1">
        <v>9.5238095238095233E-2</v>
      </c>
      <c r="W144" s="1">
        <v>0.14285714285714285</v>
      </c>
      <c r="X144" s="3">
        <v>9.5238095238095233E-2</v>
      </c>
      <c r="Y144" s="2">
        <v>0</v>
      </c>
      <c r="Z144" s="315">
        <f t="shared" si="10"/>
        <v>1</v>
      </c>
    </row>
    <row r="145" spans="1:26">
      <c r="A145" s="124">
        <f t="shared" si="13"/>
        <v>140</v>
      </c>
      <c r="B145" s="122">
        <f t="shared" si="11"/>
        <v>31</v>
      </c>
      <c r="C145" s="399">
        <f t="shared" si="12"/>
        <v>0.86747573196359062</v>
      </c>
      <c r="D145" s="84">
        <v>0.86747573196359062</v>
      </c>
      <c r="E145" s="298">
        <v>-1</v>
      </c>
      <c r="F145" s="315">
        <v>1</v>
      </c>
      <c r="G145" s="379">
        <v>0</v>
      </c>
      <c r="H145" s="380">
        <v>0</v>
      </c>
      <c r="I145" s="380">
        <v>0</v>
      </c>
      <c r="J145" s="380">
        <v>0</v>
      </c>
      <c r="K145" s="380">
        <v>0</v>
      </c>
      <c r="L145" s="380">
        <v>0</v>
      </c>
      <c r="M145" s="380">
        <v>-1</v>
      </c>
      <c r="N145" s="380">
        <v>0</v>
      </c>
      <c r="O145" s="303">
        <v>0</v>
      </c>
      <c r="P145" s="19">
        <v>0.16666666666666666</v>
      </c>
      <c r="Q145" s="1">
        <v>7.1428571428571425E-2</v>
      </c>
      <c r="R145" s="1">
        <v>7.1428571428571425E-2</v>
      </c>
      <c r="S145" s="1">
        <v>0.14285714285714285</v>
      </c>
      <c r="T145" s="1">
        <v>0.14285714285714285</v>
      </c>
      <c r="U145" s="1">
        <v>0.16666666666666666</v>
      </c>
      <c r="V145" s="1">
        <v>0</v>
      </c>
      <c r="W145" s="1">
        <v>0.14285714285714285</v>
      </c>
      <c r="X145" s="3">
        <v>9.5238095238095233E-2</v>
      </c>
      <c r="Y145" s="2">
        <v>0</v>
      </c>
      <c r="Z145" s="315">
        <f t="shared" si="10"/>
        <v>-1</v>
      </c>
    </row>
    <row r="146" spans="1:26">
      <c r="A146" s="124">
        <f t="shared" si="13"/>
        <v>141</v>
      </c>
      <c r="B146" s="122">
        <f t="shared" si="11"/>
        <v>107</v>
      </c>
      <c r="C146" s="399">
        <f t="shared" si="12"/>
        <v>0.5781721734668881</v>
      </c>
      <c r="D146" s="84">
        <v>0.5781721734668881</v>
      </c>
      <c r="E146" s="298">
        <v>1</v>
      </c>
      <c r="F146" s="315">
        <v>1</v>
      </c>
      <c r="G146" s="379">
        <v>0</v>
      </c>
      <c r="H146" s="380">
        <v>0</v>
      </c>
      <c r="I146" s="380">
        <v>0</v>
      </c>
      <c r="J146" s="380">
        <v>0</v>
      </c>
      <c r="K146" s="380">
        <v>0</v>
      </c>
      <c r="L146" s="380">
        <v>-1</v>
      </c>
      <c r="M146" s="380">
        <v>1</v>
      </c>
      <c r="N146" s="380">
        <v>0</v>
      </c>
      <c r="O146" s="303">
        <v>0</v>
      </c>
      <c r="P146" s="19">
        <v>0.10256410256410256</v>
      </c>
      <c r="Q146" s="1">
        <v>0.10256410256410256</v>
      </c>
      <c r="R146" s="1">
        <v>0.15384615384615385</v>
      </c>
      <c r="S146" s="1">
        <v>0.4358974358974359</v>
      </c>
      <c r="T146" s="1">
        <v>7.6923076923076927E-2</v>
      </c>
      <c r="U146" s="1">
        <v>0</v>
      </c>
      <c r="V146" s="1">
        <v>0</v>
      </c>
      <c r="W146" s="1">
        <v>7.6923076923076927E-2</v>
      </c>
      <c r="X146" s="3">
        <v>5.128205128205128E-2</v>
      </c>
      <c r="Y146" s="2">
        <v>0</v>
      </c>
      <c r="Z146" s="315">
        <f t="shared" si="10"/>
        <v>1</v>
      </c>
    </row>
    <row r="147" spans="1:26">
      <c r="A147" s="124">
        <f t="shared" si="13"/>
        <v>142</v>
      </c>
      <c r="B147" s="122">
        <f t="shared" si="11"/>
        <v>245</v>
      </c>
      <c r="C147" s="399">
        <f t="shared" si="12"/>
        <v>5.7248112380859251E-2</v>
      </c>
      <c r="D147" s="84">
        <v>5.7248112380859251E-2</v>
      </c>
      <c r="E147" s="298">
        <v>-1</v>
      </c>
      <c r="F147" s="315">
        <v>1</v>
      </c>
      <c r="G147" s="379">
        <v>-1</v>
      </c>
      <c r="H147" s="380">
        <v>0</v>
      </c>
      <c r="I147" s="380">
        <v>0</v>
      </c>
      <c r="J147" s="380">
        <v>0</v>
      </c>
      <c r="K147" s="380">
        <v>0</v>
      </c>
      <c r="L147" s="380">
        <v>1</v>
      </c>
      <c r="M147" s="380">
        <v>-1</v>
      </c>
      <c r="N147" s="380">
        <v>0</v>
      </c>
      <c r="O147" s="303">
        <v>0</v>
      </c>
      <c r="P147" s="19">
        <v>0</v>
      </c>
      <c r="Q147" s="1">
        <v>9.3023255813953487E-2</v>
      </c>
      <c r="R147" s="1">
        <v>0.13953488372093023</v>
      </c>
      <c r="S147" s="1">
        <v>0.37209302325581395</v>
      </c>
      <c r="T147" s="1">
        <v>9.3023255813953487E-2</v>
      </c>
      <c r="U147" s="1">
        <v>0</v>
      </c>
      <c r="V147" s="1">
        <v>0</v>
      </c>
      <c r="W147" s="1">
        <v>9.3023255813953487E-2</v>
      </c>
      <c r="X147" s="3">
        <v>0.20930232558139536</v>
      </c>
      <c r="Y147" s="2">
        <v>0</v>
      </c>
      <c r="Z147" s="315">
        <f t="shared" si="10"/>
        <v>-1</v>
      </c>
    </row>
    <row r="148" spans="1:26">
      <c r="A148" s="124">
        <f t="shared" si="13"/>
        <v>143</v>
      </c>
      <c r="B148" s="122">
        <f t="shared" si="11"/>
        <v>231</v>
      </c>
      <c r="C148" s="399">
        <f t="shared" si="12"/>
        <v>8.9351685528275548E-2</v>
      </c>
      <c r="D148" s="84">
        <v>8.9351685528275548E-2</v>
      </c>
      <c r="E148" s="298">
        <v>1</v>
      </c>
      <c r="F148" s="315">
        <v>1</v>
      </c>
      <c r="G148" s="379">
        <v>1</v>
      </c>
      <c r="H148" s="380">
        <v>-1</v>
      </c>
      <c r="I148" s="380">
        <v>0</v>
      </c>
      <c r="J148" s="380">
        <v>0</v>
      </c>
      <c r="K148" s="380">
        <v>0</v>
      </c>
      <c r="L148" s="380">
        <v>-1</v>
      </c>
      <c r="M148" s="380">
        <v>1</v>
      </c>
      <c r="N148" s="380">
        <v>0</v>
      </c>
      <c r="O148" s="303">
        <v>0</v>
      </c>
      <c r="P148" s="19">
        <v>0</v>
      </c>
      <c r="Q148" s="1">
        <v>0</v>
      </c>
      <c r="R148" s="1">
        <v>0.31818181818181818</v>
      </c>
      <c r="S148" s="1">
        <v>0.45454545454545453</v>
      </c>
      <c r="T148" s="1">
        <v>0.16666666666666666</v>
      </c>
      <c r="U148" s="1">
        <v>0</v>
      </c>
      <c r="V148" s="1">
        <v>0</v>
      </c>
      <c r="W148" s="1">
        <v>4.5454545454545456E-2</v>
      </c>
      <c r="X148" s="3">
        <v>1.5151515151515152E-2</v>
      </c>
      <c r="Y148" s="2">
        <v>0</v>
      </c>
      <c r="Z148" s="315">
        <f t="shared" si="10"/>
        <v>1</v>
      </c>
    </row>
    <row r="149" spans="1:26">
      <c r="A149" s="124">
        <f t="shared" si="13"/>
        <v>144</v>
      </c>
      <c r="B149" s="122">
        <f t="shared" si="11"/>
        <v>133</v>
      </c>
      <c r="C149" s="399">
        <f t="shared" si="12"/>
        <v>0.49232585266588613</v>
      </c>
      <c r="D149" s="84">
        <v>0.49232585266588613</v>
      </c>
      <c r="E149" s="298">
        <v>-1</v>
      </c>
      <c r="F149" s="315">
        <v>1</v>
      </c>
      <c r="G149" s="379">
        <v>-1</v>
      </c>
      <c r="H149" s="380">
        <v>1</v>
      </c>
      <c r="I149" s="380">
        <v>0</v>
      </c>
      <c r="J149" s="380">
        <v>0</v>
      </c>
      <c r="K149" s="380">
        <v>-1</v>
      </c>
      <c r="L149" s="380">
        <v>1</v>
      </c>
      <c r="M149" s="380">
        <v>-1</v>
      </c>
      <c r="N149" s="380">
        <v>0</v>
      </c>
      <c r="O149" s="303">
        <v>0</v>
      </c>
      <c r="P149" s="19">
        <v>0</v>
      </c>
      <c r="Q149" s="1">
        <v>0</v>
      </c>
      <c r="R149" s="1">
        <v>0.30303030303030304</v>
      </c>
      <c r="S149" s="1">
        <v>0.30303030303030304</v>
      </c>
      <c r="T149" s="1">
        <v>0</v>
      </c>
      <c r="U149" s="1">
        <v>0</v>
      </c>
      <c r="V149" s="1">
        <v>0</v>
      </c>
      <c r="W149" s="1">
        <v>0.24242424242424243</v>
      </c>
      <c r="X149" s="3">
        <v>0.15151515151515152</v>
      </c>
      <c r="Y149" s="2">
        <v>0</v>
      </c>
      <c r="Z149" s="315">
        <f t="shared" si="10"/>
        <v>-1</v>
      </c>
    </row>
    <row r="150" spans="1:26">
      <c r="A150" s="124">
        <f t="shared" si="13"/>
        <v>145</v>
      </c>
      <c r="B150" s="122">
        <f t="shared" si="11"/>
        <v>186</v>
      </c>
      <c r="C150" s="399">
        <f t="shared" si="12"/>
        <v>0.26387890216395771</v>
      </c>
      <c r="D150" s="84">
        <v>0.26387890216395771</v>
      </c>
      <c r="E150" s="298">
        <v>1</v>
      </c>
      <c r="F150" s="315">
        <v>1</v>
      </c>
      <c r="G150" s="379">
        <v>1</v>
      </c>
      <c r="H150" s="380">
        <v>-1</v>
      </c>
      <c r="I150" s="380">
        <v>-1</v>
      </c>
      <c r="J150" s="380">
        <v>0</v>
      </c>
      <c r="K150" s="380">
        <v>1</v>
      </c>
      <c r="L150" s="380">
        <v>-1</v>
      </c>
      <c r="M150" s="380">
        <v>1</v>
      </c>
      <c r="N150" s="380">
        <v>0</v>
      </c>
      <c r="O150" s="303">
        <v>0</v>
      </c>
      <c r="P150" s="19">
        <v>0</v>
      </c>
      <c r="Q150" s="1">
        <v>0</v>
      </c>
      <c r="R150" s="1">
        <v>0</v>
      </c>
      <c r="S150" s="1">
        <v>0.5736434108527132</v>
      </c>
      <c r="T150" s="1">
        <v>0</v>
      </c>
      <c r="U150" s="1">
        <v>0</v>
      </c>
      <c r="V150" s="1">
        <v>0</v>
      </c>
      <c r="W150" s="1">
        <v>3.1007751937984496E-2</v>
      </c>
      <c r="X150" s="3">
        <v>0.39534883720930231</v>
      </c>
      <c r="Y150" s="2">
        <v>0</v>
      </c>
      <c r="Z150" s="315">
        <f t="shared" si="10"/>
        <v>1</v>
      </c>
    </row>
    <row r="151" spans="1:26">
      <c r="A151" s="124">
        <f t="shared" si="13"/>
        <v>146</v>
      </c>
      <c r="B151" s="122">
        <f t="shared" si="11"/>
        <v>88</v>
      </c>
      <c r="C151" s="399">
        <f t="shared" si="12"/>
        <v>0.64391205080366665</v>
      </c>
      <c r="D151" s="84">
        <v>0.64391205080366665</v>
      </c>
      <c r="E151" s="298">
        <v>1</v>
      </c>
      <c r="F151" s="315">
        <v>0</v>
      </c>
      <c r="G151" s="379">
        <v>0</v>
      </c>
      <c r="H151" s="380">
        <v>0</v>
      </c>
      <c r="I151" s="380">
        <v>0</v>
      </c>
      <c r="J151" s="380">
        <v>0</v>
      </c>
      <c r="K151" s="380">
        <v>0</v>
      </c>
      <c r="L151" s="380">
        <v>0</v>
      </c>
      <c r="M151" s="380">
        <v>0</v>
      </c>
      <c r="N151" s="380">
        <v>0</v>
      </c>
      <c r="O151" s="303">
        <v>0</v>
      </c>
      <c r="P151" s="19">
        <v>0.14893617021276595</v>
      </c>
      <c r="Q151" s="1">
        <v>0.10638297872340426</v>
      </c>
      <c r="R151" s="1">
        <v>0.10638297872340426</v>
      </c>
      <c r="S151" s="1">
        <v>0.10638297872340426</v>
      </c>
      <c r="T151" s="1">
        <v>0.10638297872340426</v>
      </c>
      <c r="U151" s="1">
        <v>0.10638297872340426</v>
      </c>
      <c r="V151" s="1">
        <v>0.10638297872340426</v>
      </c>
      <c r="W151" s="1">
        <v>0.10638297872340426</v>
      </c>
      <c r="X151" s="3">
        <v>0.10638297872340426</v>
      </c>
      <c r="Y151" s="2">
        <v>0</v>
      </c>
      <c r="Z151" s="315">
        <f t="shared" si="10"/>
        <v>0</v>
      </c>
    </row>
    <row r="152" spans="1:26">
      <c r="A152" s="124">
        <f t="shared" si="13"/>
        <v>147</v>
      </c>
      <c r="B152" s="122">
        <f t="shared" si="11"/>
        <v>42</v>
      </c>
      <c r="C152" s="399">
        <f t="shared" si="12"/>
        <v>0.81847651910492358</v>
      </c>
      <c r="D152" s="84">
        <v>0.81847651910492358</v>
      </c>
      <c r="E152" s="298">
        <v>-1</v>
      </c>
      <c r="F152" s="315">
        <v>0</v>
      </c>
      <c r="G152" s="379">
        <v>0</v>
      </c>
      <c r="H152" s="380">
        <v>0</v>
      </c>
      <c r="I152" s="380">
        <v>-1</v>
      </c>
      <c r="J152" s="380">
        <v>0</v>
      </c>
      <c r="K152" s="380">
        <v>0</v>
      </c>
      <c r="L152" s="380">
        <v>0</v>
      </c>
      <c r="M152" s="380">
        <v>0</v>
      </c>
      <c r="N152" s="380">
        <v>0</v>
      </c>
      <c r="O152" s="303">
        <v>0</v>
      </c>
      <c r="P152" s="19">
        <v>0.19148936170212766</v>
      </c>
      <c r="Q152" s="1">
        <v>0.10638297872340426</v>
      </c>
      <c r="R152" s="1">
        <v>0</v>
      </c>
      <c r="S152" s="1">
        <v>0.10638297872340426</v>
      </c>
      <c r="T152" s="1">
        <v>0.10638297872340426</v>
      </c>
      <c r="U152" s="1">
        <v>0.1276595744680851</v>
      </c>
      <c r="V152" s="1">
        <v>0.10638297872340426</v>
      </c>
      <c r="W152" s="1">
        <v>0.1276595744680851</v>
      </c>
      <c r="X152" s="3">
        <v>0.1276595744680851</v>
      </c>
      <c r="Y152" s="2">
        <v>0</v>
      </c>
      <c r="Z152" s="315">
        <f t="shared" si="10"/>
        <v>0</v>
      </c>
    </row>
    <row r="153" spans="1:26">
      <c r="A153" s="124">
        <f t="shared" si="13"/>
        <v>148</v>
      </c>
      <c r="B153" s="122">
        <f t="shared" si="11"/>
        <v>242</v>
      </c>
      <c r="C153" s="399">
        <f t="shared" si="12"/>
        <v>6.909881179497035E-2</v>
      </c>
      <c r="D153" s="84">
        <v>6.909881179497035E-2</v>
      </c>
      <c r="E153" s="298">
        <v>1</v>
      </c>
      <c r="F153" s="315">
        <v>0</v>
      </c>
      <c r="G153" s="379">
        <v>0</v>
      </c>
      <c r="H153" s="380">
        <v>0</v>
      </c>
      <c r="I153" s="380">
        <v>1</v>
      </c>
      <c r="J153" s="380">
        <v>0</v>
      </c>
      <c r="K153" s="380">
        <v>0</v>
      </c>
      <c r="L153" s="380">
        <v>0</v>
      </c>
      <c r="M153" s="380">
        <v>-1</v>
      </c>
      <c r="N153" s="380">
        <v>0</v>
      </c>
      <c r="O153" s="303">
        <v>0</v>
      </c>
      <c r="P153" s="19">
        <v>0.57894736842105265</v>
      </c>
      <c r="Q153" s="1">
        <v>5.2631578947368418E-2</v>
      </c>
      <c r="R153" s="1">
        <v>0</v>
      </c>
      <c r="S153" s="1">
        <v>7.8947368421052627E-2</v>
      </c>
      <c r="T153" s="1">
        <v>7.8947368421052627E-2</v>
      </c>
      <c r="U153" s="1">
        <v>7.8947368421052627E-2</v>
      </c>
      <c r="V153" s="1">
        <v>0</v>
      </c>
      <c r="W153" s="1">
        <v>5.2631578947368418E-2</v>
      </c>
      <c r="X153" s="3">
        <v>7.8947368421052627E-2</v>
      </c>
      <c r="Y153" s="2">
        <v>0</v>
      </c>
      <c r="Z153" s="315">
        <f t="shared" si="10"/>
        <v>0</v>
      </c>
    </row>
    <row r="154" spans="1:26">
      <c r="A154" s="124">
        <f t="shared" si="13"/>
        <v>149</v>
      </c>
      <c r="B154" s="122">
        <f t="shared" si="11"/>
        <v>85</v>
      </c>
      <c r="C154" s="399">
        <f t="shared" si="12"/>
        <v>0.65271878319836441</v>
      </c>
      <c r="D154" s="84">
        <v>0.65271878319836441</v>
      </c>
      <c r="E154" s="298">
        <v>-1</v>
      </c>
      <c r="F154" s="315">
        <v>0</v>
      </c>
      <c r="G154" s="379">
        <v>-1</v>
      </c>
      <c r="H154" s="380">
        <v>0</v>
      </c>
      <c r="I154" s="380">
        <v>-1</v>
      </c>
      <c r="J154" s="380">
        <v>0</v>
      </c>
      <c r="K154" s="380">
        <v>0</v>
      </c>
      <c r="L154" s="380">
        <v>0</v>
      </c>
      <c r="M154" s="380">
        <v>1</v>
      </c>
      <c r="N154" s="380">
        <v>0</v>
      </c>
      <c r="O154" s="303">
        <v>0</v>
      </c>
      <c r="P154" s="19">
        <v>0</v>
      </c>
      <c r="Q154" s="1">
        <v>0.86111111111111116</v>
      </c>
      <c r="R154" s="1">
        <v>0</v>
      </c>
      <c r="S154" s="1">
        <v>2.7777777777777776E-2</v>
      </c>
      <c r="T154" s="1">
        <v>2.7777777777777776E-2</v>
      </c>
      <c r="U154" s="1">
        <v>2.7777777777777776E-2</v>
      </c>
      <c r="V154" s="1">
        <v>0</v>
      </c>
      <c r="W154" s="1">
        <v>2.7777777777777776E-2</v>
      </c>
      <c r="X154" s="3">
        <v>2.7777777777777776E-2</v>
      </c>
      <c r="Y154" s="2">
        <v>0</v>
      </c>
      <c r="Z154" s="315">
        <f t="shared" si="10"/>
        <v>0</v>
      </c>
    </row>
    <row r="155" spans="1:26">
      <c r="A155" s="124">
        <f t="shared" si="13"/>
        <v>150</v>
      </c>
      <c r="B155" s="122">
        <f t="shared" si="11"/>
        <v>124</v>
      </c>
      <c r="C155" s="399">
        <f t="shared" si="12"/>
        <v>0.51772264074702989</v>
      </c>
      <c r="D155" s="84">
        <v>0.51772264074702989</v>
      </c>
      <c r="E155" s="298">
        <v>1</v>
      </c>
      <c r="F155" s="315">
        <v>0</v>
      </c>
      <c r="G155" s="379">
        <v>1</v>
      </c>
      <c r="H155" s="380">
        <v>-1</v>
      </c>
      <c r="I155" s="380">
        <v>1</v>
      </c>
      <c r="J155" s="380">
        <v>0</v>
      </c>
      <c r="K155" s="380">
        <v>0</v>
      </c>
      <c r="L155" s="380">
        <v>0</v>
      </c>
      <c r="M155" s="380">
        <v>-1</v>
      </c>
      <c r="N155" s="380">
        <v>0</v>
      </c>
      <c r="O155" s="303">
        <v>0</v>
      </c>
      <c r="P155" s="19">
        <v>0</v>
      </c>
      <c r="Q155" s="1">
        <v>0</v>
      </c>
      <c r="R155" s="1">
        <v>0</v>
      </c>
      <c r="S155" s="1">
        <v>0.17499999999999999</v>
      </c>
      <c r="T155" s="1">
        <v>0.3</v>
      </c>
      <c r="U155" s="1">
        <v>0.15</v>
      </c>
      <c r="V155" s="1">
        <v>0</v>
      </c>
      <c r="W155" s="1">
        <v>0.17499999999999999</v>
      </c>
      <c r="X155" s="3">
        <v>0.2</v>
      </c>
      <c r="Y155" s="2">
        <v>0</v>
      </c>
      <c r="Z155" s="315">
        <f t="shared" si="10"/>
        <v>0</v>
      </c>
    </row>
    <row r="156" spans="1:26">
      <c r="A156" s="124">
        <f t="shared" si="13"/>
        <v>151</v>
      </c>
      <c r="B156" s="122">
        <f t="shared" si="11"/>
        <v>60</v>
      </c>
      <c r="C156" s="399">
        <f t="shared" si="12"/>
        <v>0.75620150225727345</v>
      </c>
      <c r="D156" s="84">
        <v>0.75620150225727345</v>
      </c>
      <c r="E156" s="298">
        <v>-1</v>
      </c>
      <c r="F156" s="315">
        <v>0</v>
      </c>
      <c r="G156" s="379">
        <v>-1</v>
      </c>
      <c r="H156" s="380">
        <v>1</v>
      </c>
      <c r="I156" s="380">
        <v>-1</v>
      </c>
      <c r="J156" s="380">
        <v>-1</v>
      </c>
      <c r="K156" s="380">
        <v>0</v>
      </c>
      <c r="L156" s="380">
        <v>0</v>
      </c>
      <c r="M156" s="380">
        <v>1</v>
      </c>
      <c r="N156" s="380">
        <v>0</v>
      </c>
      <c r="O156" s="303">
        <v>0</v>
      </c>
      <c r="P156" s="19">
        <v>0</v>
      </c>
      <c r="Q156" s="1">
        <v>0</v>
      </c>
      <c r="R156" s="1">
        <v>0</v>
      </c>
      <c r="S156" s="1">
        <v>0</v>
      </c>
      <c r="T156" s="1">
        <v>0.13333333333333333</v>
      </c>
      <c r="U156" s="1">
        <v>4.4444444444444446E-2</v>
      </c>
      <c r="V156" s="1">
        <v>0</v>
      </c>
      <c r="W156" s="1">
        <v>0.77777777777777779</v>
      </c>
      <c r="X156" s="3">
        <v>4.4444444444444446E-2</v>
      </c>
      <c r="Y156" s="2">
        <v>0</v>
      </c>
      <c r="Z156" s="315">
        <f t="shared" si="10"/>
        <v>0</v>
      </c>
    </row>
    <row r="157" spans="1:26">
      <c r="A157" s="124">
        <f t="shared" si="13"/>
        <v>152</v>
      </c>
      <c r="B157" s="122">
        <f t="shared" si="11"/>
        <v>218</v>
      </c>
      <c r="C157" s="399">
        <f t="shared" si="12"/>
        <v>0.14205877420795987</v>
      </c>
      <c r="D157" s="84">
        <v>0.14205877420795987</v>
      </c>
      <c r="E157" s="298">
        <v>1</v>
      </c>
      <c r="F157" s="315">
        <v>0</v>
      </c>
      <c r="G157" s="379">
        <v>1</v>
      </c>
      <c r="H157" s="380">
        <v>-1</v>
      </c>
      <c r="I157" s="380">
        <v>1</v>
      </c>
      <c r="J157" s="380">
        <v>1</v>
      </c>
      <c r="K157" s="380">
        <v>-1</v>
      </c>
      <c r="L157" s="380">
        <v>0</v>
      </c>
      <c r="M157" s="380">
        <v>-1</v>
      </c>
      <c r="N157" s="380">
        <v>0</v>
      </c>
      <c r="O157" s="303">
        <v>0</v>
      </c>
      <c r="P157" s="19">
        <v>0</v>
      </c>
      <c r="Q157" s="1">
        <v>0</v>
      </c>
      <c r="R157" s="1">
        <v>0</v>
      </c>
      <c r="S157" s="1">
        <v>0</v>
      </c>
      <c r="T157" s="1">
        <v>0</v>
      </c>
      <c r="U157" s="1">
        <v>4.2553191489361701E-2</v>
      </c>
      <c r="V157" s="1">
        <v>0</v>
      </c>
      <c r="W157" s="1">
        <v>0.85106382978723405</v>
      </c>
      <c r="X157" s="3">
        <v>0.10638297872340426</v>
      </c>
      <c r="Y157" s="2">
        <v>0</v>
      </c>
      <c r="Z157" s="315">
        <f t="shared" si="10"/>
        <v>0</v>
      </c>
    </row>
    <row r="158" spans="1:26">
      <c r="A158" s="124">
        <f t="shared" si="13"/>
        <v>153</v>
      </c>
      <c r="B158" s="122">
        <f t="shared" si="11"/>
        <v>51</v>
      </c>
      <c r="C158" s="399">
        <f t="shared" si="12"/>
        <v>0.78516235529048017</v>
      </c>
      <c r="D158" s="84">
        <v>0.78516235529048017</v>
      </c>
      <c r="E158" s="298">
        <v>-1</v>
      </c>
      <c r="F158" s="315">
        <v>0</v>
      </c>
      <c r="G158" s="379">
        <v>-1</v>
      </c>
      <c r="H158" s="380">
        <v>1</v>
      </c>
      <c r="I158" s="380">
        <v>-1</v>
      </c>
      <c r="J158" s="380">
        <v>-1</v>
      </c>
      <c r="K158" s="380">
        <v>1</v>
      </c>
      <c r="L158" s="380">
        <v>0</v>
      </c>
      <c r="M158" s="380">
        <v>1</v>
      </c>
      <c r="N158" s="380">
        <v>-1</v>
      </c>
      <c r="O158" s="303">
        <v>0</v>
      </c>
      <c r="P158" s="19">
        <v>0</v>
      </c>
      <c r="Q158" s="1">
        <v>0</v>
      </c>
      <c r="R158" s="1">
        <v>0</v>
      </c>
      <c r="S158" s="1">
        <v>0</v>
      </c>
      <c r="T158" s="1">
        <v>0</v>
      </c>
      <c r="U158" s="1">
        <v>0.4925373134328358</v>
      </c>
      <c r="V158" s="1">
        <v>0</v>
      </c>
      <c r="W158" s="1">
        <v>0</v>
      </c>
      <c r="X158" s="3">
        <v>0.5074626865671642</v>
      </c>
      <c r="Y158" s="2">
        <v>0</v>
      </c>
      <c r="Z158" s="315">
        <f t="shared" si="10"/>
        <v>0</v>
      </c>
    </row>
    <row r="159" spans="1:26">
      <c r="A159" s="124">
        <f t="shared" si="13"/>
        <v>154</v>
      </c>
      <c r="B159" s="122">
        <f t="shared" si="11"/>
        <v>142</v>
      </c>
      <c r="C159" s="399">
        <f t="shared" si="12"/>
        <v>0.46244122218503991</v>
      </c>
      <c r="D159" s="84">
        <v>0.46244122218503991</v>
      </c>
      <c r="E159" s="298">
        <v>1</v>
      </c>
      <c r="F159" s="315">
        <v>0</v>
      </c>
      <c r="G159" s="379">
        <v>1</v>
      </c>
      <c r="H159" s="380">
        <v>-1</v>
      </c>
      <c r="I159" s="380">
        <v>1</v>
      </c>
      <c r="J159" s="380">
        <v>1</v>
      </c>
      <c r="K159" s="380">
        <v>-1</v>
      </c>
      <c r="L159" s="380">
        <v>0</v>
      </c>
      <c r="M159" s="380">
        <v>-1</v>
      </c>
      <c r="N159" s="380">
        <v>1</v>
      </c>
      <c r="O159" s="303">
        <v>-1</v>
      </c>
      <c r="P159" s="19">
        <v>0</v>
      </c>
      <c r="Q159" s="1">
        <v>0</v>
      </c>
      <c r="R159" s="1">
        <v>0</v>
      </c>
      <c r="S159" s="1">
        <v>0</v>
      </c>
      <c r="T159" s="1">
        <v>0</v>
      </c>
      <c r="U159" s="1">
        <v>1</v>
      </c>
      <c r="V159" s="1">
        <v>0</v>
      </c>
      <c r="W159" s="1">
        <v>0</v>
      </c>
      <c r="X159" s="3">
        <v>0</v>
      </c>
      <c r="Y159" s="2">
        <v>0</v>
      </c>
      <c r="Z159" s="315">
        <f t="shared" si="10"/>
        <v>0</v>
      </c>
    </row>
    <row r="160" spans="1:26">
      <c r="A160" s="124">
        <f t="shared" si="13"/>
        <v>155</v>
      </c>
      <c r="B160" s="122">
        <f t="shared" si="11"/>
        <v>26</v>
      </c>
      <c r="C160" s="399">
        <f t="shared" si="12"/>
        <v>0.88549625707316149</v>
      </c>
      <c r="D160" s="84">
        <v>0.88549625707316149</v>
      </c>
      <c r="E160" s="298">
        <v>1</v>
      </c>
      <c r="F160" s="315">
        <v>0</v>
      </c>
      <c r="G160" s="379">
        <v>0</v>
      </c>
      <c r="H160" s="380">
        <v>0</v>
      </c>
      <c r="I160" s="380">
        <v>0</v>
      </c>
      <c r="J160" s="380">
        <v>0</v>
      </c>
      <c r="K160" s="380">
        <v>0</v>
      </c>
      <c r="L160" s="380">
        <v>0</v>
      </c>
      <c r="M160" s="380">
        <v>0</v>
      </c>
      <c r="N160" s="380">
        <v>0</v>
      </c>
      <c r="O160" s="303">
        <v>0</v>
      </c>
      <c r="P160" s="19">
        <v>0.1702127659574468</v>
      </c>
      <c r="Q160" s="1">
        <v>0.10638297872340426</v>
      </c>
      <c r="R160" s="1">
        <v>8.5106382978723402E-2</v>
      </c>
      <c r="S160" s="1">
        <v>0.10638297872340426</v>
      </c>
      <c r="T160" s="1">
        <v>0.10638297872340426</v>
      </c>
      <c r="U160" s="1">
        <v>0.10638297872340426</v>
      </c>
      <c r="V160" s="1">
        <v>0.10638297872340426</v>
      </c>
      <c r="W160" s="1">
        <v>0.10638297872340426</v>
      </c>
      <c r="X160" s="3">
        <v>0.10638297872340426</v>
      </c>
      <c r="Y160" s="2">
        <v>0</v>
      </c>
      <c r="Z160" s="315">
        <f t="shared" si="10"/>
        <v>0</v>
      </c>
    </row>
    <row r="161" spans="1:26">
      <c r="A161" s="124">
        <f t="shared" si="13"/>
        <v>156</v>
      </c>
      <c r="B161" s="122">
        <f t="shared" si="11"/>
        <v>19</v>
      </c>
      <c r="C161" s="399">
        <f t="shared" si="12"/>
        <v>0.92740676435453284</v>
      </c>
      <c r="D161" s="84">
        <v>0.92740676435453284</v>
      </c>
      <c r="E161" s="298">
        <v>-1</v>
      </c>
      <c r="F161" s="315">
        <v>0</v>
      </c>
      <c r="G161" s="379">
        <v>0</v>
      </c>
      <c r="H161" s="380">
        <v>0</v>
      </c>
      <c r="I161" s="380">
        <v>0</v>
      </c>
      <c r="J161" s="380">
        <v>0</v>
      </c>
      <c r="K161" s="380">
        <v>-1</v>
      </c>
      <c r="L161" s="380">
        <v>0</v>
      </c>
      <c r="M161" s="380">
        <v>0</v>
      </c>
      <c r="N161" s="380">
        <v>0</v>
      </c>
      <c r="O161" s="303">
        <v>0</v>
      </c>
      <c r="P161" s="19">
        <v>0.19148936170212766</v>
      </c>
      <c r="Q161" s="1">
        <v>0.1276595744680851</v>
      </c>
      <c r="R161" s="1">
        <v>0.10638297872340426</v>
      </c>
      <c r="S161" s="1">
        <v>0.10638297872340426</v>
      </c>
      <c r="T161" s="1">
        <v>0</v>
      </c>
      <c r="U161" s="1">
        <v>0.1276595744680851</v>
      </c>
      <c r="V161" s="1">
        <v>0.10638297872340426</v>
      </c>
      <c r="W161" s="1">
        <v>0.10638297872340426</v>
      </c>
      <c r="X161" s="3">
        <v>0.1276595744680851</v>
      </c>
      <c r="Y161" s="2">
        <v>0</v>
      </c>
      <c r="Z161" s="315">
        <f t="shared" si="10"/>
        <v>0</v>
      </c>
    </row>
    <row r="162" spans="1:26">
      <c r="A162" s="124">
        <f t="shared" si="13"/>
        <v>157</v>
      </c>
      <c r="B162" s="122">
        <f t="shared" si="11"/>
        <v>180</v>
      </c>
      <c r="C162" s="399">
        <f t="shared" si="12"/>
        <v>0.28716998758172629</v>
      </c>
      <c r="D162" s="84">
        <v>0.28716998758172629</v>
      </c>
      <c r="E162" s="298">
        <v>1</v>
      </c>
      <c r="F162" s="315">
        <v>0</v>
      </c>
      <c r="G162" s="379">
        <v>0</v>
      </c>
      <c r="H162" s="380">
        <v>-1</v>
      </c>
      <c r="I162" s="380">
        <v>0</v>
      </c>
      <c r="J162" s="380">
        <v>0</v>
      </c>
      <c r="K162" s="380">
        <v>1</v>
      </c>
      <c r="L162" s="380">
        <v>0</v>
      </c>
      <c r="M162" s="380">
        <v>0</v>
      </c>
      <c r="N162" s="380">
        <v>0</v>
      </c>
      <c r="O162" s="303">
        <v>0</v>
      </c>
      <c r="P162" s="19">
        <v>0.15909090909090909</v>
      </c>
      <c r="Q162" s="1">
        <v>0</v>
      </c>
      <c r="R162" s="1">
        <v>6.8181818181818177E-2</v>
      </c>
      <c r="S162" s="1">
        <v>6.8181818181818177E-2</v>
      </c>
      <c r="T162" s="1">
        <v>0</v>
      </c>
      <c r="U162" s="1">
        <v>9.0909090909090912E-2</v>
      </c>
      <c r="V162" s="1">
        <v>0.22727272727272727</v>
      </c>
      <c r="W162" s="1">
        <v>0.11363636363636363</v>
      </c>
      <c r="X162" s="3">
        <v>0.27272727272727271</v>
      </c>
      <c r="Y162" s="2">
        <v>0</v>
      </c>
      <c r="Z162" s="315">
        <f t="shared" si="10"/>
        <v>0</v>
      </c>
    </row>
    <row r="163" spans="1:26">
      <c r="A163" s="124">
        <f t="shared" si="13"/>
        <v>158</v>
      </c>
      <c r="B163" s="122">
        <f t="shared" si="11"/>
        <v>143</v>
      </c>
      <c r="C163" s="399">
        <f t="shared" si="12"/>
        <v>0.45516598895515092</v>
      </c>
      <c r="D163" s="84">
        <v>0.45516598895515092</v>
      </c>
      <c r="E163" s="298">
        <v>-1</v>
      </c>
      <c r="F163" s="315">
        <v>0</v>
      </c>
      <c r="G163" s="379">
        <v>0</v>
      </c>
      <c r="H163" s="380">
        <v>1</v>
      </c>
      <c r="I163" s="380">
        <v>0</v>
      </c>
      <c r="J163" s="380">
        <v>0</v>
      </c>
      <c r="K163" s="380">
        <v>-1</v>
      </c>
      <c r="L163" s="380">
        <v>0</v>
      </c>
      <c r="M163" s="380">
        <v>0</v>
      </c>
      <c r="N163" s="380">
        <v>0</v>
      </c>
      <c r="O163" s="303">
        <v>-1</v>
      </c>
      <c r="P163" s="19">
        <v>0.86111111111111116</v>
      </c>
      <c r="Q163" s="1">
        <v>0</v>
      </c>
      <c r="R163" s="1">
        <v>2.7777777777777776E-2</v>
      </c>
      <c r="S163" s="1">
        <v>2.7777777777777776E-2</v>
      </c>
      <c r="T163" s="1">
        <v>0</v>
      </c>
      <c r="U163" s="1">
        <v>2.7777777777777776E-2</v>
      </c>
      <c r="V163" s="1">
        <v>2.7777777777777776E-2</v>
      </c>
      <c r="W163" s="1">
        <v>2.7777777777777776E-2</v>
      </c>
      <c r="X163" s="3">
        <v>0</v>
      </c>
      <c r="Y163" s="2">
        <v>0</v>
      </c>
      <c r="Z163" s="315">
        <f t="shared" si="10"/>
        <v>0</v>
      </c>
    </row>
    <row r="164" spans="1:26">
      <c r="A164" s="124">
        <f t="shared" si="13"/>
        <v>159</v>
      </c>
      <c r="B164" s="122">
        <f t="shared" si="11"/>
        <v>59</v>
      </c>
      <c r="C164" s="399">
        <f t="shared" si="12"/>
        <v>0.76077922897711159</v>
      </c>
      <c r="D164" s="84">
        <v>0.76077922897711159</v>
      </c>
      <c r="E164" s="298">
        <v>1</v>
      </c>
      <c r="F164" s="315">
        <v>0</v>
      </c>
      <c r="G164" s="379">
        <v>-1</v>
      </c>
      <c r="H164" s="380">
        <v>-1</v>
      </c>
      <c r="I164" s="380">
        <v>0</v>
      </c>
      <c r="J164" s="380">
        <v>0</v>
      </c>
      <c r="K164" s="380">
        <v>1</v>
      </c>
      <c r="L164" s="380">
        <v>0</v>
      </c>
      <c r="M164" s="380">
        <v>0</v>
      </c>
      <c r="N164" s="380">
        <v>0</v>
      </c>
      <c r="O164" s="303">
        <v>1</v>
      </c>
      <c r="P164" s="19">
        <v>0</v>
      </c>
      <c r="Q164" s="1">
        <v>0</v>
      </c>
      <c r="R164" s="1">
        <v>0.90909090909090906</v>
      </c>
      <c r="S164" s="1">
        <v>2.2727272727272728E-2</v>
      </c>
      <c r="T164" s="1">
        <v>0</v>
      </c>
      <c r="U164" s="1">
        <v>2.2727272727272728E-2</v>
      </c>
      <c r="V164" s="1">
        <v>2.2727272727272728E-2</v>
      </c>
      <c r="W164" s="1">
        <v>2.2727272727272728E-2</v>
      </c>
      <c r="X164" s="3">
        <v>0</v>
      </c>
      <c r="Y164" s="2">
        <v>0</v>
      </c>
      <c r="Z164" s="315">
        <f t="shared" si="10"/>
        <v>0</v>
      </c>
    </row>
    <row r="165" spans="1:26">
      <c r="A165" s="124">
        <f t="shared" si="13"/>
        <v>160</v>
      </c>
      <c r="B165" s="122">
        <f t="shared" si="11"/>
        <v>111</v>
      </c>
      <c r="C165" s="399">
        <f t="shared" si="12"/>
        <v>0.56601608467905384</v>
      </c>
      <c r="D165" s="84">
        <v>0.56601608467905384</v>
      </c>
      <c r="E165" s="298">
        <v>-1</v>
      </c>
      <c r="F165" s="315">
        <v>0</v>
      </c>
      <c r="G165" s="379">
        <v>1</v>
      </c>
      <c r="H165" s="380">
        <v>1</v>
      </c>
      <c r="I165" s="380">
        <v>-1</v>
      </c>
      <c r="J165" s="380">
        <v>0</v>
      </c>
      <c r="K165" s="380">
        <v>-1</v>
      </c>
      <c r="L165" s="380">
        <v>0</v>
      </c>
      <c r="M165" s="380">
        <v>0</v>
      </c>
      <c r="N165" s="380">
        <v>0</v>
      </c>
      <c r="O165" s="303">
        <v>-1</v>
      </c>
      <c r="P165" s="19">
        <v>0</v>
      </c>
      <c r="Q165" s="1">
        <v>0</v>
      </c>
      <c r="R165" s="1">
        <v>0</v>
      </c>
      <c r="S165" s="1">
        <v>0.125</v>
      </c>
      <c r="T165" s="1">
        <v>0</v>
      </c>
      <c r="U165" s="1">
        <v>0.265625</v>
      </c>
      <c r="V165" s="1">
        <v>0.359375</v>
      </c>
      <c r="W165" s="1">
        <v>0.25</v>
      </c>
      <c r="X165" s="3">
        <v>0</v>
      </c>
      <c r="Y165" s="2">
        <v>0</v>
      </c>
      <c r="Z165" s="315">
        <f t="shared" si="10"/>
        <v>0</v>
      </c>
    </row>
    <row r="166" spans="1:26">
      <c r="A166" s="124">
        <f t="shared" si="13"/>
        <v>161</v>
      </c>
      <c r="B166" s="122">
        <f t="shared" si="11"/>
        <v>38</v>
      </c>
      <c r="C166" s="399">
        <f t="shared" si="12"/>
        <v>0.83194667469361638</v>
      </c>
      <c r="D166" s="84">
        <v>0.83194667469361638</v>
      </c>
      <c r="E166" s="298">
        <v>1</v>
      </c>
      <c r="F166" s="315">
        <v>0</v>
      </c>
      <c r="G166" s="379">
        <v>-1</v>
      </c>
      <c r="H166" s="380">
        <v>-1</v>
      </c>
      <c r="I166" s="380">
        <v>1</v>
      </c>
      <c r="J166" s="380">
        <v>0</v>
      </c>
      <c r="K166" s="380">
        <v>1</v>
      </c>
      <c r="L166" s="380">
        <v>0</v>
      </c>
      <c r="M166" s="380">
        <v>-1</v>
      </c>
      <c r="N166" s="380">
        <v>0</v>
      </c>
      <c r="O166" s="303">
        <v>1</v>
      </c>
      <c r="P166" s="19">
        <v>0</v>
      </c>
      <c r="Q166" s="1">
        <v>0</v>
      </c>
      <c r="R166" s="1">
        <v>0</v>
      </c>
      <c r="S166" s="1">
        <v>4.065040650406504E-2</v>
      </c>
      <c r="T166" s="1">
        <v>0</v>
      </c>
      <c r="U166" s="1">
        <v>0.94308943089430897</v>
      </c>
      <c r="V166" s="1">
        <v>0</v>
      </c>
      <c r="W166" s="1">
        <v>1.6260162601626018E-2</v>
      </c>
      <c r="X166" s="3">
        <v>0</v>
      </c>
      <c r="Y166" s="2">
        <v>0</v>
      </c>
      <c r="Z166" s="315">
        <f t="shared" si="10"/>
        <v>0</v>
      </c>
    </row>
    <row r="167" spans="1:26">
      <c r="A167" s="124">
        <f t="shared" si="13"/>
        <v>162</v>
      </c>
      <c r="B167" s="122">
        <f t="shared" si="11"/>
        <v>189</v>
      </c>
      <c r="C167" s="399">
        <f t="shared" si="12"/>
        <v>0.25108542654962629</v>
      </c>
      <c r="D167" s="84">
        <v>0.25108542654962629</v>
      </c>
      <c r="E167" s="298">
        <v>-1</v>
      </c>
      <c r="F167" s="315">
        <v>0</v>
      </c>
      <c r="G167" s="379">
        <v>1</v>
      </c>
      <c r="H167" s="380">
        <v>1</v>
      </c>
      <c r="I167" s="380">
        <v>-1</v>
      </c>
      <c r="J167" s="380">
        <v>0</v>
      </c>
      <c r="K167" s="380">
        <v>-1</v>
      </c>
      <c r="L167" s="380">
        <v>0</v>
      </c>
      <c r="M167" s="380">
        <v>1</v>
      </c>
      <c r="N167" s="380">
        <v>-1</v>
      </c>
      <c r="O167" s="303">
        <v>-1</v>
      </c>
      <c r="P167" s="19">
        <v>0</v>
      </c>
      <c r="Q167" s="1">
        <v>0</v>
      </c>
      <c r="R167" s="1">
        <v>0</v>
      </c>
      <c r="S167" s="1">
        <v>0.953125</v>
      </c>
      <c r="T167" s="1">
        <v>0</v>
      </c>
      <c r="U167" s="1">
        <v>4.6875E-2</v>
      </c>
      <c r="V167" s="1">
        <v>0</v>
      </c>
      <c r="W167" s="1">
        <v>0</v>
      </c>
      <c r="X167" s="3">
        <v>0</v>
      </c>
      <c r="Y167" s="2">
        <v>0</v>
      </c>
      <c r="Z167" s="315">
        <f t="shared" si="10"/>
        <v>0</v>
      </c>
    </row>
    <row r="168" spans="1:26">
      <c r="A168" s="124">
        <f t="shared" si="13"/>
        <v>163</v>
      </c>
      <c r="B168" s="122">
        <f t="shared" si="11"/>
        <v>141</v>
      </c>
      <c r="C168" s="399">
        <f t="shared" si="12"/>
        <v>0.46441267082878146</v>
      </c>
      <c r="D168" s="84">
        <v>0.46441267082878146</v>
      </c>
      <c r="E168" s="298">
        <v>1</v>
      </c>
      <c r="F168" s="315">
        <v>0</v>
      </c>
      <c r="G168" s="379">
        <v>-1</v>
      </c>
      <c r="H168" s="380">
        <v>-1</v>
      </c>
      <c r="I168" s="380">
        <v>1</v>
      </c>
      <c r="J168" s="380">
        <v>0</v>
      </c>
      <c r="K168" s="380">
        <v>1</v>
      </c>
      <c r="L168" s="380">
        <v>-1</v>
      </c>
      <c r="M168" s="380">
        <v>-1</v>
      </c>
      <c r="N168" s="380">
        <v>1</v>
      </c>
      <c r="O168" s="303">
        <v>1</v>
      </c>
      <c r="P168" s="19">
        <v>0</v>
      </c>
      <c r="Q168" s="1">
        <v>0</v>
      </c>
      <c r="R168" s="1">
        <v>0</v>
      </c>
      <c r="S168" s="1">
        <v>1</v>
      </c>
      <c r="T168" s="1">
        <v>0</v>
      </c>
      <c r="U168" s="1">
        <v>0</v>
      </c>
      <c r="V168" s="1">
        <v>0</v>
      </c>
      <c r="W168" s="1">
        <v>0</v>
      </c>
      <c r="X168" s="3">
        <v>0</v>
      </c>
      <c r="Y168" s="2">
        <v>0</v>
      </c>
      <c r="Z168" s="315">
        <f t="shared" ref="Z168:Z231" si="14">F168*E168</f>
        <v>0</v>
      </c>
    </row>
    <row r="169" spans="1:26">
      <c r="A169" s="124">
        <f t="shared" si="13"/>
        <v>164</v>
      </c>
      <c r="B169" s="122">
        <f t="shared" si="11"/>
        <v>16</v>
      </c>
      <c r="C169" s="399">
        <f t="shared" si="12"/>
        <v>0.93177142327032569</v>
      </c>
      <c r="D169" s="84">
        <v>0.93177142327032569</v>
      </c>
      <c r="E169" s="298">
        <v>1</v>
      </c>
      <c r="F169" s="315">
        <v>1</v>
      </c>
      <c r="G169" s="379">
        <v>0</v>
      </c>
      <c r="H169" s="380">
        <v>0</v>
      </c>
      <c r="I169" s="380">
        <v>0</v>
      </c>
      <c r="J169" s="380">
        <v>0</v>
      </c>
      <c r="K169" s="380">
        <v>0</v>
      </c>
      <c r="L169" s="380">
        <v>0</v>
      </c>
      <c r="M169" s="380">
        <v>0</v>
      </c>
      <c r="N169" s="380">
        <v>0</v>
      </c>
      <c r="O169" s="303">
        <v>0</v>
      </c>
      <c r="P169" s="19">
        <v>0.14893617021276595</v>
      </c>
      <c r="Q169" s="1">
        <v>0.10638297872340426</v>
      </c>
      <c r="R169" s="1">
        <v>0.10638297872340426</v>
      </c>
      <c r="S169" s="1">
        <v>0.10638297872340426</v>
      </c>
      <c r="T169" s="1">
        <v>8.5106382978723402E-2</v>
      </c>
      <c r="U169" s="1">
        <v>0.10638297872340426</v>
      </c>
      <c r="V169" s="1">
        <v>0.10638297872340426</v>
      </c>
      <c r="W169" s="1">
        <v>0.10638297872340426</v>
      </c>
      <c r="X169" s="3">
        <v>0.1276595744680851</v>
      </c>
      <c r="Y169" s="2">
        <v>0</v>
      </c>
      <c r="Z169" s="315">
        <f t="shared" si="14"/>
        <v>1</v>
      </c>
    </row>
    <row r="170" spans="1:26">
      <c r="A170" s="124">
        <f t="shared" si="13"/>
        <v>165</v>
      </c>
      <c r="B170" s="122">
        <f t="shared" si="11"/>
        <v>95</v>
      </c>
      <c r="C170" s="399">
        <f t="shared" si="12"/>
        <v>0.62184516621127139</v>
      </c>
      <c r="D170" s="84">
        <v>0.62184516621127139</v>
      </c>
      <c r="E170" s="298">
        <v>-1</v>
      </c>
      <c r="F170" s="315">
        <v>1</v>
      </c>
      <c r="G170" s="379">
        <v>0</v>
      </c>
      <c r="H170" s="380">
        <v>0</v>
      </c>
      <c r="I170" s="380">
        <v>0</v>
      </c>
      <c r="J170" s="380">
        <v>0</v>
      </c>
      <c r="K170" s="380">
        <v>0</v>
      </c>
      <c r="L170" s="380">
        <v>0</v>
      </c>
      <c r="M170" s="380">
        <v>0</v>
      </c>
      <c r="N170" s="380">
        <v>-1</v>
      </c>
      <c r="O170" s="303">
        <v>0</v>
      </c>
      <c r="P170" s="19">
        <v>0.19148936170212766</v>
      </c>
      <c r="Q170" s="1">
        <v>0.10638297872340426</v>
      </c>
      <c r="R170" s="1">
        <v>0.1276595744680851</v>
      </c>
      <c r="S170" s="1">
        <v>0.1276595744680851</v>
      </c>
      <c r="T170" s="1">
        <v>0.10638297872340426</v>
      </c>
      <c r="U170" s="1">
        <v>0.10638297872340426</v>
      </c>
      <c r="V170" s="1">
        <v>0.10638297872340426</v>
      </c>
      <c r="W170" s="1">
        <v>0</v>
      </c>
      <c r="X170" s="3">
        <v>0.1276595744680851</v>
      </c>
      <c r="Y170" s="2">
        <v>0</v>
      </c>
      <c r="Z170" s="315">
        <f t="shared" si="14"/>
        <v>-1</v>
      </c>
    </row>
    <row r="171" spans="1:26">
      <c r="A171" s="124">
        <f t="shared" si="13"/>
        <v>166</v>
      </c>
      <c r="B171" s="122">
        <f t="shared" si="11"/>
        <v>225</v>
      </c>
      <c r="C171" s="399">
        <f t="shared" si="12"/>
        <v>0.10814127254990413</v>
      </c>
      <c r="D171" s="84">
        <v>0.10814127254990413</v>
      </c>
      <c r="E171" s="298">
        <v>1</v>
      </c>
      <c r="F171" s="315">
        <v>1</v>
      </c>
      <c r="G171" s="379">
        <v>0</v>
      </c>
      <c r="H171" s="380">
        <v>0</v>
      </c>
      <c r="I171" s="380">
        <v>0</v>
      </c>
      <c r="J171" s="380">
        <v>0</v>
      </c>
      <c r="K171" s="380">
        <v>0</v>
      </c>
      <c r="L171" s="380">
        <v>0</v>
      </c>
      <c r="M171" s="380">
        <v>-1</v>
      </c>
      <c r="N171" s="380">
        <v>1</v>
      </c>
      <c r="O171" s="303">
        <v>0</v>
      </c>
      <c r="P171" s="19">
        <v>0.17777777777777778</v>
      </c>
      <c r="Q171" s="1">
        <v>0.1111111111111111</v>
      </c>
      <c r="R171" s="1">
        <v>0.1111111111111111</v>
      </c>
      <c r="S171" s="1">
        <v>0.1111111111111111</v>
      </c>
      <c r="T171" s="1">
        <v>0.24444444444444444</v>
      </c>
      <c r="U171" s="1">
        <v>0.1111111111111111</v>
      </c>
      <c r="V171" s="1">
        <v>0</v>
      </c>
      <c r="W171" s="1">
        <v>0</v>
      </c>
      <c r="X171" s="3">
        <v>0.13333333333333333</v>
      </c>
      <c r="Y171" s="2">
        <v>0</v>
      </c>
      <c r="Z171" s="315">
        <f t="shared" si="14"/>
        <v>1</v>
      </c>
    </row>
    <row r="172" spans="1:26">
      <c r="A172" s="124">
        <f t="shared" si="13"/>
        <v>167</v>
      </c>
      <c r="B172" s="122">
        <f t="shared" si="11"/>
        <v>34</v>
      </c>
      <c r="C172" s="399">
        <f t="shared" si="12"/>
        <v>0.8447260785348446</v>
      </c>
      <c r="D172" s="84">
        <v>0.8447260785348446</v>
      </c>
      <c r="E172" s="298">
        <v>-1</v>
      </c>
      <c r="F172" s="315">
        <v>1</v>
      </c>
      <c r="G172" s="379">
        <v>0</v>
      </c>
      <c r="H172" s="380">
        <v>0</v>
      </c>
      <c r="I172" s="380">
        <v>0</v>
      </c>
      <c r="J172" s="380">
        <v>0</v>
      </c>
      <c r="K172" s="380">
        <v>0</v>
      </c>
      <c r="L172" s="380">
        <v>0</v>
      </c>
      <c r="M172" s="380">
        <v>1</v>
      </c>
      <c r="N172" s="380">
        <v>-1</v>
      </c>
      <c r="O172" s="303">
        <v>-1</v>
      </c>
      <c r="P172" s="19">
        <v>0.15384615384615385</v>
      </c>
      <c r="Q172" s="1">
        <v>7.6923076923076927E-2</v>
      </c>
      <c r="R172" s="1">
        <v>0.10256410256410256</v>
      </c>
      <c r="S172" s="1">
        <v>0.48717948717948717</v>
      </c>
      <c r="T172" s="1">
        <v>7.6923076923076927E-2</v>
      </c>
      <c r="U172" s="1">
        <v>0.10256410256410256</v>
      </c>
      <c r="V172" s="1">
        <v>0</v>
      </c>
      <c r="W172" s="1">
        <v>0</v>
      </c>
      <c r="X172" s="3">
        <v>0</v>
      </c>
      <c r="Y172" s="2">
        <v>0</v>
      </c>
      <c r="Z172" s="315">
        <f t="shared" si="14"/>
        <v>-1</v>
      </c>
    </row>
    <row r="173" spans="1:26">
      <c r="A173" s="124">
        <f t="shared" si="13"/>
        <v>168</v>
      </c>
      <c r="B173" s="122">
        <f t="shared" si="11"/>
        <v>235</v>
      </c>
      <c r="C173" s="399">
        <f t="shared" si="12"/>
        <v>8.3818984871982471E-2</v>
      </c>
      <c r="D173" s="84">
        <v>8.3818984871982471E-2</v>
      </c>
      <c r="E173" s="298">
        <v>1</v>
      </c>
      <c r="F173" s="315">
        <v>1</v>
      </c>
      <c r="G173" s="379">
        <v>0</v>
      </c>
      <c r="H173" s="380">
        <v>0</v>
      </c>
      <c r="I173" s="380">
        <v>-1</v>
      </c>
      <c r="J173" s="380">
        <v>0</v>
      </c>
      <c r="K173" s="380">
        <v>0</v>
      </c>
      <c r="L173" s="380">
        <v>0</v>
      </c>
      <c r="M173" s="380">
        <v>-1</v>
      </c>
      <c r="N173" s="380">
        <v>1</v>
      </c>
      <c r="O173" s="303">
        <v>1</v>
      </c>
      <c r="P173" s="19">
        <v>6.6666666666666666E-2</v>
      </c>
      <c r="Q173" s="1">
        <v>4.4444444444444446E-2</v>
      </c>
      <c r="R173" s="1">
        <v>0</v>
      </c>
      <c r="S173" s="1">
        <v>2.2222222222222223E-2</v>
      </c>
      <c r="T173" s="1">
        <v>0.84444444444444444</v>
      </c>
      <c r="U173" s="1">
        <v>2.2222222222222223E-2</v>
      </c>
      <c r="V173" s="1">
        <v>0</v>
      </c>
      <c r="W173" s="1">
        <v>0</v>
      </c>
      <c r="X173" s="3">
        <v>0</v>
      </c>
      <c r="Y173" s="2">
        <v>0</v>
      </c>
      <c r="Z173" s="315">
        <f t="shared" si="14"/>
        <v>1</v>
      </c>
    </row>
    <row r="174" spans="1:26">
      <c r="A174" s="124">
        <f t="shared" si="13"/>
        <v>169</v>
      </c>
      <c r="B174" s="122">
        <f t="shared" si="11"/>
        <v>41</v>
      </c>
      <c r="C174" s="399">
        <f t="shared" si="12"/>
        <v>0.82472611079450964</v>
      </c>
      <c r="D174" s="84">
        <v>0.82472611079450964</v>
      </c>
      <c r="E174" s="298">
        <v>-1</v>
      </c>
      <c r="F174" s="315">
        <v>1</v>
      </c>
      <c r="G174" s="379">
        <v>0</v>
      </c>
      <c r="H174" s="380">
        <v>0</v>
      </c>
      <c r="I174" s="380">
        <v>1</v>
      </c>
      <c r="J174" s="380">
        <v>0</v>
      </c>
      <c r="K174" s="380">
        <v>-1</v>
      </c>
      <c r="L174" s="380">
        <v>0</v>
      </c>
      <c r="M174" s="380">
        <v>1</v>
      </c>
      <c r="N174" s="380">
        <v>-1</v>
      </c>
      <c r="O174" s="303">
        <v>-1</v>
      </c>
      <c r="P174" s="19">
        <v>0.56060606060606055</v>
      </c>
      <c r="Q174" s="1">
        <v>0.15151515151515152</v>
      </c>
      <c r="R174" s="1">
        <v>0</v>
      </c>
      <c r="S174" s="1">
        <v>0.15151515151515152</v>
      </c>
      <c r="T174" s="1">
        <v>0</v>
      </c>
      <c r="U174" s="1">
        <v>0.13636363636363635</v>
      </c>
      <c r="V174" s="1">
        <v>0</v>
      </c>
      <c r="W174" s="1">
        <v>0</v>
      </c>
      <c r="X174" s="3">
        <v>0</v>
      </c>
      <c r="Y174" s="2">
        <v>0</v>
      </c>
      <c r="Z174" s="315">
        <f t="shared" si="14"/>
        <v>-1</v>
      </c>
    </row>
    <row r="175" spans="1:26">
      <c r="A175" s="124">
        <f t="shared" si="13"/>
        <v>170</v>
      </c>
      <c r="B175" s="122">
        <f t="shared" si="11"/>
        <v>75</v>
      </c>
      <c r="C175" s="399">
        <f t="shared" si="12"/>
        <v>0.69087898076482701</v>
      </c>
      <c r="D175" s="84">
        <v>0.69087898076482701</v>
      </c>
      <c r="E175" s="298">
        <v>1</v>
      </c>
      <c r="F175" s="315">
        <v>1</v>
      </c>
      <c r="G175" s="379">
        <v>0</v>
      </c>
      <c r="H175" s="380">
        <v>-1</v>
      </c>
      <c r="I175" s="380">
        <v>-1</v>
      </c>
      <c r="J175" s="380">
        <v>0</v>
      </c>
      <c r="K175" s="380">
        <v>1</v>
      </c>
      <c r="L175" s="380">
        <v>0</v>
      </c>
      <c r="M175" s="380">
        <v>-1</v>
      </c>
      <c r="N175" s="380">
        <v>1</v>
      </c>
      <c r="O175" s="303">
        <v>1</v>
      </c>
      <c r="P175" s="19">
        <v>0.98484848484848486</v>
      </c>
      <c r="Q175" s="1">
        <v>0</v>
      </c>
      <c r="R175" s="1">
        <v>0</v>
      </c>
      <c r="S175" s="1">
        <v>7.575757575757576E-3</v>
      </c>
      <c r="T175" s="1">
        <v>0</v>
      </c>
      <c r="U175" s="1">
        <v>7.575757575757576E-3</v>
      </c>
      <c r="V175" s="1">
        <v>0</v>
      </c>
      <c r="W175" s="1">
        <v>0</v>
      </c>
      <c r="X175" s="3">
        <v>0</v>
      </c>
      <c r="Y175" s="2">
        <v>0</v>
      </c>
      <c r="Z175" s="315">
        <f t="shared" si="14"/>
        <v>1</v>
      </c>
    </row>
    <row r="176" spans="1:26">
      <c r="A176" s="124">
        <f t="shared" si="13"/>
        <v>171</v>
      </c>
      <c r="B176" s="122">
        <f t="shared" si="11"/>
        <v>53</v>
      </c>
      <c r="C176" s="399">
        <f t="shared" si="12"/>
        <v>0.77584092018221751</v>
      </c>
      <c r="D176" s="84">
        <v>0.77584092018221751</v>
      </c>
      <c r="E176" s="298">
        <v>1</v>
      </c>
      <c r="F176" s="315">
        <v>1</v>
      </c>
      <c r="G176" s="379">
        <v>0</v>
      </c>
      <c r="H176" s="380">
        <v>0</v>
      </c>
      <c r="I176" s="380">
        <v>0</v>
      </c>
      <c r="J176" s="380">
        <v>0</v>
      </c>
      <c r="K176" s="380">
        <v>0</v>
      </c>
      <c r="L176" s="380">
        <v>0</v>
      </c>
      <c r="M176" s="380">
        <v>0</v>
      </c>
      <c r="N176" s="380">
        <v>0</v>
      </c>
      <c r="O176" s="303">
        <v>0</v>
      </c>
      <c r="P176" s="19">
        <v>0.14893617021276595</v>
      </c>
      <c r="Q176" s="1">
        <v>0.10638297872340426</v>
      </c>
      <c r="R176" s="1">
        <v>0.10638297872340426</v>
      </c>
      <c r="S176" s="1">
        <v>0.10638297872340426</v>
      </c>
      <c r="T176" s="1">
        <v>8.5106382978723402E-2</v>
      </c>
      <c r="U176" s="1">
        <v>0.10638297872340426</v>
      </c>
      <c r="V176" s="1">
        <v>8.5106382978723402E-2</v>
      </c>
      <c r="W176" s="1">
        <v>0.1276595744680851</v>
      </c>
      <c r="X176" s="3">
        <v>0.1276595744680851</v>
      </c>
      <c r="Y176" s="2">
        <v>0</v>
      </c>
      <c r="Z176" s="315">
        <f t="shared" si="14"/>
        <v>1</v>
      </c>
    </row>
    <row r="177" spans="1:26">
      <c r="A177" s="124">
        <f t="shared" si="13"/>
        <v>172</v>
      </c>
      <c r="B177" s="122">
        <f t="shared" si="11"/>
        <v>214</v>
      </c>
      <c r="C177" s="399">
        <f t="shared" si="12"/>
        <v>0.160254201823538</v>
      </c>
      <c r="D177" s="84">
        <v>0.160254201823538</v>
      </c>
      <c r="E177" s="298">
        <v>-1</v>
      </c>
      <c r="F177" s="315">
        <v>1</v>
      </c>
      <c r="G177" s="379">
        <v>0</v>
      </c>
      <c r="H177" s="380">
        <v>0</v>
      </c>
      <c r="I177" s="380">
        <v>0</v>
      </c>
      <c r="J177" s="380">
        <v>0</v>
      </c>
      <c r="K177" s="380">
        <v>0</v>
      </c>
      <c r="L177" s="380">
        <v>0</v>
      </c>
      <c r="M177" s="380">
        <v>-1</v>
      </c>
      <c r="N177" s="380">
        <v>0</v>
      </c>
      <c r="O177" s="303">
        <v>0</v>
      </c>
      <c r="P177" s="19">
        <v>0.19148936170212766</v>
      </c>
      <c r="Q177" s="1">
        <v>0.10638297872340426</v>
      </c>
      <c r="R177" s="1">
        <v>0.1276595744680851</v>
      </c>
      <c r="S177" s="1">
        <v>0.10638297872340426</v>
      </c>
      <c r="T177" s="1">
        <v>0.10638297872340426</v>
      </c>
      <c r="U177" s="1">
        <v>0.10638297872340426</v>
      </c>
      <c r="V177" s="1">
        <v>0</v>
      </c>
      <c r="W177" s="1">
        <v>0.1276595744680851</v>
      </c>
      <c r="X177" s="3">
        <v>0.1276595744680851</v>
      </c>
      <c r="Y177" s="2">
        <v>0</v>
      </c>
      <c r="Z177" s="315">
        <f t="shared" si="14"/>
        <v>-1</v>
      </c>
    </row>
    <row r="178" spans="1:26">
      <c r="A178" s="124">
        <f t="shared" si="13"/>
        <v>173</v>
      </c>
      <c r="B178" s="122">
        <f t="shared" si="11"/>
        <v>200</v>
      </c>
      <c r="C178" s="399">
        <f t="shared" si="12"/>
        <v>0.21699734790095948</v>
      </c>
      <c r="D178" s="84">
        <v>0.21699734790095948</v>
      </c>
      <c r="E178" s="298">
        <v>1</v>
      </c>
      <c r="F178" s="315">
        <v>1</v>
      </c>
      <c r="G178" s="379">
        <v>0</v>
      </c>
      <c r="H178" s="380">
        <v>0</v>
      </c>
      <c r="I178" s="380">
        <v>0</v>
      </c>
      <c r="J178" s="380">
        <v>0</v>
      </c>
      <c r="K178" s="380">
        <v>0</v>
      </c>
      <c r="L178" s="380">
        <v>0</v>
      </c>
      <c r="M178" s="380">
        <v>1</v>
      </c>
      <c r="N178" s="380">
        <v>0</v>
      </c>
      <c r="O178" s="303">
        <v>-1</v>
      </c>
      <c r="P178" s="19">
        <v>0.10256410256410256</v>
      </c>
      <c r="Q178" s="1">
        <v>7.6923076923076927E-2</v>
      </c>
      <c r="R178" s="1">
        <v>5.128205128205128E-2</v>
      </c>
      <c r="S178" s="1">
        <v>0.5641025641025641</v>
      </c>
      <c r="T178" s="1">
        <v>7.6923076923076927E-2</v>
      </c>
      <c r="U178" s="1">
        <v>5.128205128205128E-2</v>
      </c>
      <c r="V178" s="1">
        <v>0</v>
      </c>
      <c r="W178" s="1">
        <v>7.6923076923076927E-2</v>
      </c>
      <c r="X178" s="3">
        <v>0</v>
      </c>
      <c r="Y178" s="2">
        <v>0</v>
      </c>
      <c r="Z178" s="315">
        <f t="shared" si="14"/>
        <v>1</v>
      </c>
    </row>
    <row r="179" spans="1:26">
      <c r="A179" s="124">
        <f t="shared" si="13"/>
        <v>174</v>
      </c>
      <c r="B179" s="122">
        <f t="shared" si="11"/>
        <v>58</v>
      </c>
      <c r="C179" s="399">
        <f t="shared" si="12"/>
        <v>0.76448518815535693</v>
      </c>
      <c r="D179" s="84">
        <v>0.76448518815535693</v>
      </c>
      <c r="E179" s="298">
        <v>-1</v>
      </c>
      <c r="F179" s="315">
        <v>1</v>
      </c>
      <c r="G179" s="379">
        <v>-1</v>
      </c>
      <c r="H179" s="380">
        <v>0</v>
      </c>
      <c r="I179" s="380">
        <v>0</v>
      </c>
      <c r="J179" s="380">
        <v>0</v>
      </c>
      <c r="K179" s="380">
        <v>0</v>
      </c>
      <c r="L179" s="380">
        <v>0</v>
      </c>
      <c r="M179" s="380">
        <v>-1</v>
      </c>
      <c r="N179" s="380">
        <v>0</v>
      </c>
      <c r="O179" s="303">
        <v>1</v>
      </c>
      <c r="P179" s="19">
        <v>0</v>
      </c>
      <c r="Q179" s="1">
        <v>0.16</v>
      </c>
      <c r="R179" s="1">
        <v>0.14000000000000001</v>
      </c>
      <c r="S179" s="1">
        <v>0.22</v>
      </c>
      <c r="T179" s="1">
        <v>0.16</v>
      </c>
      <c r="U179" s="1">
        <v>0.18</v>
      </c>
      <c r="V179" s="1">
        <v>0</v>
      </c>
      <c r="W179" s="1">
        <v>0.14000000000000001</v>
      </c>
      <c r="X179" s="3">
        <v>0</v>
      </c>
      <c r="Y179" s="2">
        <v>0</v>
      </c>
      <c r="Z179" s="315">
        <f t="shared" si="14"/>
        <v>-1</v>
      </c>
    </row>
    <row r="180" spans="1:26">
      <c r="A180" s="124">
        <f t="shared" si="13"/>
        <v>175</v>
      </c>
      <c r="B180" s="122">
        <f t="shared" si="11"/>
        <v>251</v>
      </c>
      <c r="C180" s="399">
        <f t="shared" si="12"/>
        <v>2.9631880587628778E-2</v>
      </c>
      <c r="D180" s="84">
        <v>2.9631880587628778E-2</v>
      </c>
      <c r="E180" s="298">
        <v>1</v>
      </c>
      <c r="F180" s="315">
        <v>1</v>
      </c>
      <c r="G180" s="379">
        <v>1</v>
      </c>
      <c r="H180" s="380">
        <v>0</v>
      </c>
      <c r="I180" s="380">
        <v>0</v>
      </c>
      <c r="J180" s="380">
        <v>-1</v>
      </c>
      <c r="K180" s="380">
        <v>0</v>
      </c>
      <c r="L180" s="380">
        <v>0</v>
      </c>
      <c r="M180" s="380">
        <v>1</v>
      </c>
      <c r="N180" s="380">
        <v>0</v>
      </c>
      <c r="O180" s="303">
        <v>-1</v>
      </c>
      <c r="P180" s="19">
        <v>0</v>
      </c>
      <c r="Q180" s="1">
        <v>2.1739130434782608E-2</v>
      </c>
      <c r="R180" s="1">
        <v>0.89130434782608692</v>
      </c>
      <c r="S180" s="1">
        <v>0</v>
      </c>
      <c r="T180" s="1">
        <v>2.1739130434782608E-2</v>
      </c>
      <c r="U180" s="1">
        <v>2.1739130434782608E-2</v>
      </c>
      <c r="V180" s="1">
        <v>0</v>
      </c>
      <c r="W180" s="1">
        <v>4.3478260869565216E-2</v>
      </c>
      <c r="X180" s="3">
        <v>0</v>
      </c>
      <c r="Y180" s="2">
        <v>0</v>
      </c>
      <c r="Z180" s="315">
        <f t="shared" si="14"/>
        <v>1</v>
      </c>
    </row>
    <row r="181" spans="1:26">
      <c r="A181" s="124">
        <f t="shared" si="13"/>
        <v>176</v>
      </c>
      <c r="B181" s="122">
        <f t="shared" si="11"/>
        <v>146</v>
      </c>
      <c r="C181" s="399">
        <f t="shared" si="12"/>
        <v>0.44645145941657893</v>
      </c>
      <c r="D181" s="84">
        <v>0.44645145941657893</v>
      </c>
      <c r="E181" s="298">
        <v>-1</v>
      </c>
      <c r="F181" s="315">
        <v>1</v>
      </c>
      <c r="G181" s="379">
        <v>-1</v>
      </c>
      <c r="H181" s="380">
        <v>0</v>
      </c>
      <c r="I181" s="380">
        <v>-1</v>
      </c>
      <c r="J181" s="380">
        <v>1</v>
      </c>
      <c r="K181" s="380">
        <v>0</v>
      </c>
      <c r="L181" s="380">
        <v>0</v>
      </c>
      <c r="M181" s="380">
        <v>-1</v>
      </c>
      <c r="N181" s="380">
        <v>0</v>
      </c>
      <c r="O181" s="303">
        <v>1</v>
      </c>
      <c r="P181" s="19">
        <v>0</v>
      </c>
      <c r="Q181" s="1">
        <v>0.18461538461538463</v>
      </c>
      <c r="R181" s="1">
        <v>0</v>
      </c>
      <c r="S181" s="1">
        <v>0</v>
      </c>
      <c r="T181" s="1">
        <v>0.29230769230769232</v>
      </c>
      <c r="U181" s="1">
        <v>0.24615384615384617</v>
      </c>
      <c r="V181" s="1">
        <v>0</v>
      </c>
      <c r="W181" s="1">
        <v>0.27692307692307694</v>
      </c>
      <c r="X181" s="3">
        <v>0</v>
      </c>
      <c r="Y181" s="2">
        <v>0</v>
      </c>
      <c r="Z181" s="315">
        <f t="shared" si="14"/>
        <v>-1</v>
      </c>
    </row>
    <row r="182" spans="1:26">
      <c r="A182" s="124">
        <f t="shared" si="13"/>
        <v>177</v>
      </c>
      <c r="B182" s="122">
        <f t="shared" si="11"/>
        <v>202</v>
      </c>
      <c r="C182" s="399">
        <f t="shared" si="12"/>
        <v>0.21463948706281222</v>
      </c>
      <c r="D182" s="84">
        <v>0.21463948706281222</v>
      </c>
      <c r="E182" s="298">
        <v>1</v>
      </c>
      <c r="F182" s="315">
        <v>1</v>
      </c>
      <c r="G182" s="379">
        <v>1</v>
      </c>
      <c r="H182" s="380">
        <v>0</v>
      </c>
      <c r="I182" s="380">
        <v>1</v>
      </c>
      <c r="J182" s="380">
        <v>-1</v>
      </c>
      <c r="K182" s="380">
        <v>0</v>
      </c>
      <c r="L182" s="380">
        <v>0</v>
      </c>
      <c r="M182" s="380">
        <v>1</v>
      </c>
      <c r="N182" s="380">
        <v>-1</v>
      </c>
      <c r="O182" s="303">
        <v>-1</v>
      </c>
      <c r="P182" s="19">
        <v>0</v>
      </c>
      <c r="Q182" s="1">
        <v>0.3707865168539326</v>
      </c>
      <c r="R182" s="1">
        <v>0</v>
      </c>
      <c r="S182" s="1">
        <v>0</v>
      </c>
      <c r="T182" s="1">
        <v>0.3707865168539326</v>
      </c>
      <c r="U182" s="1">
        <v>0.25842696629213485</v>
      </c>
      <c r="V182" s="1">
        <v>0</v>
      </c>
      <c r="W182" s="1">
        <v>0</v>
      </c>
      <c r="X182" s="3">
        <v>0</v>
      </c>
      <c r="Y182" s="2">
        <v>0</v>
      </c>
      <c r="Z182" s="315">
        <f t="shared" si="14"/>
        <v>1</v>
      </c>
    </row>
    <row r="183" spans="1:26">
      <c r="A183" s="124">
        <f t="shared" si="13"/>
        <v>178</v>
      </c>
      <c r="B183" s="122">
        <f t="shared" si="11"/>
        <v>83</v>
      </c>
      <c r="C183" s="399">
        <f t="shared" si="12"/>
        <v>0.65944502117290615</v>
      </c>
      <c r="D183" s="84">
        <v>0.65944502117290615</v>
      </c>
      <c r="E183" s="298">
        <v>1</v>
      </c>
      <c r="F183" s="315">
        <v>-1</v>
      </c>
      <c r="G183" s="379">
        <v>0</v>
      </c>
      <c r="H183" s="380">
        <v>0</v>
      </c>
      <c r="I183" s="380">
        <v>0</v>
      </c>
      <c r="J183" s="380">
        <v>0</v>
      </c>
      <c r="K183" s="380">
        <v>0</v>
      </c>
      <c r="L183" s="380">
        <v>0</v>
      </c>
      <c r="M183" s="380">
        <v>0</v>
      </c>
      <c r="N183" s="380">
        <v>0</v>
      </c>
      <c r="O183" s="303">
        <v>0</v>
      </c>
      <c r="P183" s="19">
        <v>0.14893617021276595</v>
      </c>
      <c r="Q183" s="1">
        <v>0.10638297872340426</v>
      </c>
      <c r="R183" s="1">
        <v>0.10638297872340426</v>
      </c>
      <c r="S183" s="1">
        <v>0.10638297872340426</v>
      </c>
      <c r="T183" s="1">
        <v>0.10638297872340426</v>
      </c>
      <c r="U183" s="1">
        <v>0.10638297872340426</v>
      </c>
      <c r="V183" s="1">
        <v>0.10638297872340426</v>
      </c>
      <c r="W183" s="1">
        <v>0.10638297872340426</v>
      </c>
      <c r="X183" s="3">
        <v>0.10638297872340426</v>
      </c>
      <c r="Y183" s="2">
        <v>0</v>
      </c>
      <c r="Z183" s="315">
        <f t="shared" si="14"/>
        <v>-1</v>
      </c>
    </row>
    <row r="184" spans="1:26">
      <c r="A184" s="124">
        <f t="shared" si="13"/>
        <v>179</v>
      </c>
      <c r="B184" s="122">
        <f t="shared" si="11"/>
        <v>36</v>
      </c>
      <c r="C184" s="399">
        <f t="shared" si="12"/>
        <v>0.83428353854704107</v>
      </c>
      <c r="D184" s="84">
        <v>0.83428353854704107</v>
      </c>
      <c r="E184" s="298">
        <v>-1</v>
      </c>
      <c r="F184" s="315">
        <v>-1</v>
      </c>
      <c r="G184" s="379">
        <v>0</v>
      </c>
      <c r="H184" s="380">
        <v>0</v>
      </c>
      <c r="I184" s="380">
        <v>0</v>
      </c>
      <c r="J184" s="380">
        <v>0</v>
      </c>
      <c r="K184" s="380">
        <v>0</v>
      </c>
      <c r="L184" s="380">
        <v>0</v>
      </c>
      <c r="M184" s="380">
        <v>0</v>
      </c>
      <c r="N184" s="380">
        <v>-1</v>
      </c>
      <c r="O184" s="303">
        <v>0</v>
      </c>
      <c r="P184" s="19">
        <v>0.1702127659574468</v>
      </c>
      <c r="Q184" s="1">
        <v>0.10638297872340426</v>
      </c>
      <c r="R184" s="1">
        <v>0.1276595744680851</v>
      </c>
      <c r="S184" s="1">
        <v>0.10638297872340426</v>
      </c>
      <c r="T184" s="1">
        <v>0.10638297872340426</v>
      </c>
      <c r="U184" s="1">
        <v>0.1276595744680851</v>
      </c>
      <c r="V184" s="1">
        <v>0.1276595744680851</v>
      </c>
      <c r="W184" s="1">
        <v>0</v>
      </c>
      <c r="X184" s="3">
        <v>0.1276595744680851</v>
      </c>
      <c r="Y184" s="2">
        <v>0</v>
      </c>
      <c r="Z184" s="315">
        <f t="shared" si="14"/>
        <v>1</v>
      </c>
    </row>
    <row r="185" spans="1:26">
      <c r="A185" s="124">
        <f t="shared" si="13"/>
        <v>180</v>
      </c>
      <c r="B185" s="122">
        <f t="shared" si="11"/>
        <v>216</v>
      </c>
      <c r="C185" s="399">
        <f t="shared" si="12"/>
        <v>0.15232373384762654</v>
      </c>
      <c r="D185" s="84">
        <v>0.15232373384762654</v>
      </c>
      <c r="E185" s="298">
        <v>1</v>
      </c>
      <c r="F185" s="315">
        <v>-1</v>
      </c>
      <c r="G185" s="379">
        <v>0</v>
      </c>
      <c r="H185" s="380">
        <v>-1</v>
      </c>
      <c r="I185" s="380">
        <v>0</v>
      </c>
      <c r="J185" s="380">
        <v>0</v>
      </c>
      <c r="K185" s="380">
        <v>0</v>
      </c>
      <c r="L185" s="380">
        <v>0</v>
      </c>
      <c r="M185" s="380">
        <v>0</v>
      </c>
      <c r="N185" s="380">
        <v>1</v>
      </c>
      <c r="O185" s="303">
        <v>0</v>
      </c>
      <c r="P185" s="19">
        <v>0.19565217391304349</v>
      </c>
      <c r="Q185" s="1">
        <v>0</v>
      </c>
      <c r="R185" s="1">
        <v>0.13043478260869565</v>
      </c>
      <c r="S185" s="1">
        <v>0.13043478260869565</v>
      </c>
      <c r="T185" s="1">
        <v>0.13043478260869565</v>
      </c>
      <c r="U185" s="1">
        <v>0.13043478260869565</v>
      </c>
      <c r="V185" s="1">
        <v>0.10869565217391304</v>
      </c>
      <c r="W185" s="1">
        <v>0</v>
      </c>
      <c r="X185" s="3">
        <v>0.17391304347826086</v>
      </c>
      <c r="Y185" s="2">
        <v>0</v>
      </c>
      <c r="Z185" s="315">
        <f t="shared" si="14"/>
        <v>-1</v>
      </c>
    </row>
    <row r="186" spans="1:26">
      <c r="A186" s="124">
        <f t="shared" si="13"/>
        <v>181</v>
      </c>
      <c r="B186" s="122">
        <f t="shared" si="11"/>
        <v>54</v>
      </c>
      <c r="C186" s="399">
        <f t="shared" si="12"/>
        <v>0.77479812591387243</v>
      </c>
      <c r="D186" s="84">
        <v>0.77479812591387243</v>
      </c>
      <c r="E186" s="298">
        <v>-1</v>
      </c>
      <c r="F186" s="315">
        <v>-1</v>
      </c>
      <c r="G186" s="379">
        <v>0</v>
      </c>
      <c r="H186" s="380">
        <v>1</v>
      </c>
      <c r="I186" s="380">
        <v>0</v>
      </c>
      <c r="J186" s="380">
        <v>0</v>
      </c>
      <c r="K186" s="380">
        <v>0</v>
      </c>
      <c r="L186" s="380">
        <v>0</v>
      </c>
      <c r="M186" s="380">
        <v>-1</v>
      </c>
      <c r="N186" s="380">
        <v>-1</v>
      </c>
      <c r="O186" s="303">
        <v>0</v>
      </c>
      <c r="P186" s="19">
        <v>9.7560975609756101E-2</v>
      </c>
      <c r="Q186" s="1">
        <v>0</v>
      </c>
      <c r="R186" s="1">
        <v>9.7560975609756101E-2</v>
      </c>
      <c r="S186" s="1">
        <v>7.3170731707317069E-2</v>
      </c>
      <c r="T186" s="1">
        <v>7.3170731707317069E-2</v>
      </c>
      <c r="U186" s="1">
        <v>7.3170731707317069E-2</v>
      </c>
      <c r="V186" s="1">
        <v>0</v>
      </c>
      <c r="W186" s="1">
        <v>0</v>
      </c>
      <c r="X186" s="3">
        <v>0.58536585365853655</v>
      </c>
      <c r="Y186" s="2">
        <v>0</v>
      </c>
      <c r="Z186" s="315">
        <f t="shared" si="14"/>
        <v>1</v>
      </c>
    </row>
    <row r="187" spans="1:26">
      <c r="A187" s="124">
        <f t="shared" si="13"/>
        <v>182</v>
      </c>
      <c r="B187" s="122">
        <f t="shared" si="11"/>
        <v>109</v>
      </c>
      <c r="C187" s="399">
        <f t="shared" si="12"/>
        <v>0.57061419194227547</v>
      </c>
      <c r="D187" s="84">
        <v>0.57061419194227547</v>
      </c>
      <c r="E187" s="298">
        <v>1</v>
      </c>
      <c r="F187" s="315">
        <v>-1</v>
      </c>
      <c r="G187" s="379">
        <v>0</v>
      </c>
      <c r="H187" s="380">
        <v>-1</v>
      </c>
      <c r="I187" s="380">
        <v>0</v>
      </c>
      <c r="J187" s="380">
        <v>0</v>
      </c>
      <c r="K187" s="380">
        <v>0</v>
      </c>
      <c r="L187" s="380">
        <v>0</v>
      </c>
      <c r="M187" s="380">
        <v>1</v>
      </c>
      <c r="N187" s="380">
        <v>1</v>
      </c>
      <c r="O187" s="303">
        <v>-1</v>
      </c>
      <c r="P187" s="19">
        <v>0.42499999999999999</v>
      </c>
      <c r="Q187" s="1">
        <v>0</v>
      </c>
      <c r="R187" s="1">
        <v>0.1</v>
      </c>
      <c r="S187" s="1">
        <v>0.2</v>
      </c>
      <c r="T187" s="1">
        <v>0.17499999999999999</v>
      </c>
      <c r="U187" s="1">
        <v>0.1</v>
      </c>
      <c r="V187" s="1">
        <v>0</v>
      </c>
      <c r="W187" s="1">
        <v>0</v>
      </c>
      <c r="X187" s="3">
        <v>0</v>
      </c>
      <c r="Y187" s="2">
        <v>0</v>
      </c>
      <c r="Z187" s="315">
        <f t="shared" si="14"/>
        <v>-1</v>
      </c>
    </row>
    <row r="188" spans="1:26">
      <c r="A188" s="124">
        <f t="shared" si="13"/>
        <v>183</v>
      </c>
      <c r="B188" s="122">
        <f t="shared" si="11"/>
        <v>222</v>
      </c>
      <c r="C188" s="399">
        <f t="shared" si="12"/>
        <v>0.13029147326333401</v>
      </c>
      <c r="D188" s="84">
        <v>0.13029147326333401</v>
      </c>
      <c r="E188" s="298">
        <v>-1</v>
      </c>
      <c r="F188" s="315">
        <v>-1</v>
      </c>
      <c r="G188" s="379">
        <v>0</v>
      </c>
      <c r="H188" s="380">
        <v>1</v>
      </c>
      <c r="I188" s="380">
        <v>0</v>
      </c>
      <c r="J188" s="380">
        <v>-1</v>
      </c>
      <c r="K188" s="380">
        <v>0</v>
      </c>
      <c r="L188" s="380">
        <v>0</v>
      </c>
      <c r="M188" s="380">
        <v>-1</v>
      </c>
      <c r="N188" s="380">
        <v>-1</v>
      </c>
      <c r="O188" s="303">
        <v>1</v>
      </c>
      <c r="P188" s="19">
        <v>0.93333333333333335</v>
      </c>
      <c r="Q188" s="1">
        <v>0</v>
      </c>
      <c r="R188" s="1">
        <v>2.2222222222222223E-2</v>
      </c>
      <c r="S188" s="1">
        <v>0</v>
      </c>
      <c r="T188" s="1">
        <v>2.2222222222222223E-2</v>
      </c>
      <c r="U188" s="1">
        <v>2.2222222222222223E-2</v>
      </c>
      <c r="V188" s="1">
        <v>0</v>
      </c>
      <c r="W188" s="1">
        <v>0</v>
      </c>
      <c r="X188" s="3">
        <v>0</v>
      </c>
      <c r="Y188" s="2">
        <v>0</v>
      </c>
      <c r="Z188" s="315">
        <f t="shared" si="14"/>
        <v>1</v>
      </c>
    </row>
    <row r="189" spans="1:26">
      <c r="A189" s="124">
        <f t="shared" si="13"/>
        <v>184</v>
      </c>
      <c r="B189" s="122">
        <f t="shared" si="11"/>
        <v>164</v>
      </c>
      <c r="C189" s="399">
        <f t="shared" si="12"/>
        <v>0.35477589887468719</v>
      </c>
      <c r="D189" s="84">
        <v>0.35477589887468719</v>
      </c>
      <c r="E189" s="298">
        <v>1</v>
      </c>
      <c r="F189" s="315">
        <v>-1</v>
      </c>
      <c r="G189" s="379">
        <v>-1</v>
      </c>
      <c r="H189" s="380">
        <v>-1</v>
      </c>
      <c r="I189" s="380">
        <v>0</v>
      </c>
      <c r="J189" s="380">
        <v>1</v>
      </c>
      <c r="K189" s="380">
        <v>0</v>
      </c>
      <c r="L189" s="380">
        <v>0</v>
      </c>
      <c r="M189" s="380">
        <v>1</v>
      </c>
      <c r="N189" s="380">
        <v>1</v>
      </c>
      <c r="O189" s="303">
        <v>-1</v>
      </c>
      <c r="P189" s="19">
        <v>0</v>
      </c>
      <c r="Q189" s="1">
        <v>0</v>
      </c>
      <c r="R189" s="1">
        <v>0.37878787878787878</v>
      </c>
      <c r="S189" s="1">
        <v>0</v>
      </c>
      <c r="T189" s="1">
        <v>0.37878787878787878</v>
      </c>
      <c r="U189" s="1">
        <v>0.24242424242424243</v>
      </c>
      <c r="V189" s="1">
        <v>0</v>
      </c>
      <c r="W189" s="1">
        <v>0</v>
      </c>
      <c r="X189" s="3">
        <v>0</v>
      </c>
      <c r="Y189" s="2">
        <v>0</v>
      </c>
      <c r="Z189" s="315">
        <f t="shared" si="14"/>
        <v>-1</v>
      </c>
    </row>
    <row r="190" spans="1:26">
      <c r="A190" s="124">
        <f t="shared" si="13"/>
        <v>185</v>
      </c>
      <c r="B190" s="122">
        <f t="shared" si="11"/>
        <v>149</v>
      </c>
      <c r="C190" s="399">
        <f t="shared" si="12"/>
        <v>0.39625543002362473</v>
      </c>
      <c r="D190" s="84">
        <v>0.39625543002362473</v>
      </c>
      <c r="E190" s="298">
        <v>-1</v>
      </c>
      <c r="F190" s="315">
        <v>-1</v>
      </c>
      <c r="G190" s="379">
        <v>1</v>
      </c>
      <c r="H190" s="380">
        <v>1</v>
      </c>
      <c r="I190" s="380">
        <v>0</v>
      </c>
      <c r="J190" s="380">
        <v>-1</v>
      </c>
      <c r="K190" s="380">
        <v>0</v>
      </c>
      <c r="L190" s="380">
        <v>-1</v>
      </c>
      <c r="M190" s="380">
        <v>-1</v>
      </c>
      <c r="N190" s="380">
        <v>-1</v>
      </c>
      <c r="O190" s="303">
        <v>1</v>
      </c>
      <c r="P190" s="19">
        <v>0</v>
      </c>
      <c r="Q190" s="1">
        <v>0</v>
      </c>
      <c r="R190" s="1">
        <v>0.5074626865671642</v>
      </c>
      <c r="S190" s="1">
        <v>0</v>
      </c>
      <c r="T190" s="1">
        <v>0.4925373134328358</v>
      </c>
      <c r="U190" s="1">
        <v>0</v>
      </c>
      <c r="V190" s="1">
        <v>0</v>
      </c>
      <c r="W190" s="1">
        <v>0</v>
      </c>
      <c r="X190" s="3">
        <v>0</v>
      </c>
      <c r="Y190" s="2">
        <v>0</v>
      </c>
      <c r="Z190" s="315">
        <f t="shared" si="14"/>
        <v>1</v>
      </c>
    </row>
    <row r="191" spans="1:26">
      <c r="A191" s="124">
        <f t="shared" si="13"/>
        <v>186</v>
      </c>
      <c r="B191" s="122">
        <f t="shared" si="11"/>
        <v>98</v>
      </c>
      <c r="C191" s="399">
        <f t="shared" si="12"/>
        <v>0.6052275664904061</v>
      </c>
      <c r="D191" s="84">
        <v>0.6052275664904061</v>
      </c>
      <c r="E191" s="298">
        <v>1</v>
      </c>
      <c r="F191" s="315">
        <v>1</v>
      </c>
      <c r="G191" s="379">
        <v>0</v>
      </c>
      <c r="H191" s="380">
        <v>0</v>
      </c>
      <c r="I191" s="380">
        <v>0</v>
      </c>
      <c r="J191" s="380">
        <v>0</v>
      </c>
      <c r="K191" s="380">
        <v>0</v>
      </c>
      <c r="L191" s="380">
        <v>0</v>
      </c>
      <c r="M191" s="380">
        <v>0</v>
      </c>
      <c r="N191" s="380">
        <v>0</v>
      </c>
      <c r="O191" s="303">
        <v>0</v>
      </c>
      <c r="P191" s="19">
        <v>0.14893617021276595</v>
      </c>
      <c r="Q191" s="1">
        <v>0.10638297872340426</v>
      </c>
      <c r="R191" s="1">
        <v>0.10638297872340426</v>
      </c>
      <c r="S191" s="1">
        <v>0.10638297872340426</v>
      </c>
      <c r="T191" s="1">
        <v>0.10638297872340426</v>
      </c>
      <c r="U191" s="1">
        <v>0.10638297872340426</v>
      </c>
      <c r="V191" s="1">
        <v>0.10638297872340426</v>
      </c>
      <c r="W191" s="1">
        <v>0.10638297872340426</v>
      </c>
      <c r="X191" s="3">
        <v>0.10638297872340426</v>
      </c>
      <c r="Y191" s="2">
        <v>0</v>
      </c>
      <c r="Z191" s="315">
        <f t="shared" si="14"/>
        <v>1</v>
      </c>
    </row>
    <row r="192" spans="1:26">
      <c r="A192" s="124">
        <f t="shared" si="13"/>
        <v>187</v>
      </c>
      <c r="B192" s="122">
        <f t="shared" si="11"/>
        <v>14</v>
      </c>
      <c r="C192" s="399">
        <f t="shared" si="12"/>
        <v>0.93606264287712426</v>
      </c>
      <c r="D192" s="84">
        <v>0.93606264287712426</v>
      </c>
      <c r="E192" s="298">
        <v>-1</v>
      </c>
      <c r="F192" s="315">
        <v>1</v>
      </c>
      <c r="G192" s="379">
        <v>0</v>
      </c>
      <c r="H192" s="380">
        <v>0</v>
      </c>
      <c r="I192" s="380">
        <v>-1</v>
      </c>
      <c r="J192" s="380">
        <v>0</v>
      </c>
      <c r="K192" s="380">
        <v>0</v>
      </c>
      <c r="L192" s="380">
        <v>0</v>
      </c>
      <c r="M192" s="380">
        <v>0</v>
      </c>
      <c r="N192" s="380">
        <v>0</v>
      </c>
      <c r="O192" s="303">
        <v>0</v>
      </c>
      <c r="P192" s="19">
        <v>0.19148936170212766</v>
      </c>
      <c r="Q192" s="1">
        <v>0.1276595744680851</v>
      </c>
      <c r="R192" s="1">
        <v>0</v>
      </c>
      <c r="S192" s="1">
        <v>0.10638297872340426</v>
      </c>
      <c r="T192" s="1">
        <v>0.10638297872340426</v>
      </c>
      <c r="U192" s="1">
        <v>0.1276595744680851</v>
      </c>
      <c r="V192" s="1">
        <v>0.10638297872340426</v>
      </c>
      <c r="W192" s="1">
        <v>0.1276595744680851</v>
      </c>
      <c r="X192" s="3">
        <v>0.10638297872340426</v>
      </c>
      <c r="Y192" s="2">
        <v>0</v>
      </c>
      <c r="Z192" s="315">
        <f t="shared" si="14"/>
        <v>-1</v>
      </c>
    </row>
    <row r="193" spans="1:26">
      <c r="A193" s="124">
        <f t="shared" si="13"/>
        <v>188</v>
      </c>
      <c r="B193" s="122">
        <f t="shared" si="11"/>
        <v>182</v>
      </c>
      <c r="C193" s="399">
        <f t="shared" si="12"/>
        <v>0.28017259606109757</v>
      </c>
      <c r="D193" s="84">
        <v>0.28017259606109757</v>
      </c>
      <c r="E193" s="298">
        <v>1</v>
      </c>
      <c r="F193" s="315">
        <v>1</v>
      </c>
      <c r="G193" s="379">
        <v>0</v>
      </c>
      <c r="H193" s="380">
        <v>0</v>
      </c>
      <c r="I193" s="380">
        <v>1</v>
      </c>
      <c r="J193" s="380">
        <v>0</v>
      </c>
      <c r="K193" s="380">
        <v>0</v>
      </c>
      <c r="L193" s="380">
        <v>-1</v>
      </c>
      <c r="M193" s="380">
        <v>0</v>
      </c>
      <c r="N193" s="380">
        <v>0</v>
      </c>
      <c r="O193" s="303">
        <v>0</v>
      </c>
      <c r="P193" s="19">
        <v>0.66666666666666663</v>
      </c>
      <c r="Q193" s="1">
        <v>5.5555555555555552E-2</v>
      </c>
      <c r="R193" s="1">
        <v>0</v>
      </c>
      <c r="S193" s="1">
        <v>5.5555555555555552E-2</v>
      </c>
      <c r="T193" s="1">
        <v>5.5555555555555552E-2</v>
      </c>
      <c r="U193" s="1">
        <v>0</v>
      </c>
      <c r="V193" s="1">
        <v>5.5555555555555552E-2</v>
      </c>
      <c r="W193" s="1">
        <v>5.5555555555555552E-2</v>
      </c>
      <c r="X193" s="3">
        <v>5.5555555555555552E-2</v>
      </c>
      <c r="Y193" s="2">
        <v>0</v>
      </c>
      <c r="Z193" s="315">
        <f t="shared" si="14"/>
        <v>1</v>
      </c>
    </row>
    <row r="194" spans="1:26">
      <c r="A194" s="124">
        <f t="shared" si="13"/>
        <v>189</v>
      </c>
      <c r="B194" s="122">
        <f t="shared" si="11"/>
        <v>57</v>
      </c>
      <c r="C194" s="399">
        <f t="shared" si="12"/>
        <v>0.76674760505331652</v>
      </c>
      <c r="D194" s="84">
        <v>0.76674760505331652</v>
      </c>
      <c r="E194" s="298">
        <v>-1</v>
      </c>
      <c r="F194" s="315">
        <v>1</v>
      </c>
      <c r="G194" s="379">
        <v>-1</v>
      </c>
      <c r="H194" s="380">
        <v>0</v>
      </c>
      <c r="I194" s="380">
        <v>-1</v>
      </c>
      <c r="J194" s="380">
        <v>0</v>
      </c>
      <c r="K194" s="380">
        <v>0</v>
      </c>
      <c r="L194" s="380">
        <v>1</v>
      </c>
      <c r="M194" s="380">
        <v>0</v>
      </c>
      <c r="N194" s="380">
        <v>0</v>
      </c>
      <c r="O194" s="303">
        <v>0</v>
      </c>
      <c r="P194" s="19">
        <v>0</v>
      </c>
      <c r="Q194" s="1">
        <v>0.75</v>
      </c>
      <c r="R194" s="1">
        <v>0</v>
      </c>
      <c r="S194" s="1">
        <v>0.05</v>
      </c>
      <c r="T194" s="1">
        <v>0.05</v>
      </c>
      <c r="U194" s="1">
        <v>0</v>
      </c>
      <c r="V194" s="1">
        <v>0.05</v>
      </c>
      <c r="W194" s="1">
        <v>0.05</v>
      </c>
      <c r="X194" s="3">
        <v>0.05</v>
      </c>
      <c r="Y194" s="2">
        <v>0</v>
      </c>
      <c r="Z194" s="315">
        <f t="shared" si="14"/>
        <v>-1</v>
      </c>
    </row>
    <row r="195" spans="1:26">
      <c r="A195" s="124">
        <f t="shared" si="13"/>
        <v>190</v>
      </c>
      <c r="B195" s="122">
        <f t="shared" si="11"/>
        <v>48</v>
      </c>
      <c r="C195" s="399">
        <f t="shared" si="12"/>
        <v>0.79426410371712997</v>
      </c>
      <c r="D195" s="84">
        <v>0.79426410371712997</v>
      </c>
      <c r="E195" s="298">
        <v>1</v>
      </c>
      <c r="F195" s="315">
        <v>1</v>
      </c>
      <c r="G195" s="379">
        <v>1</v>
      </c>
      <c r="H195" s="380">
        <v>-1</v>
      </c>
      <c r="I195" s="380">
        <v>1</v>
      </c>
      <c r="J195" s="380">
        <v>0</v>
      </c>
      <c r="K195" s="380">
        <v>0</v>
      </c>
      <c r="L195" s="380">
        <v>-1</v>
      </c>
      <c r="M195" s="380">
        <v>0</v>
      </c>
      <c r="N195" s="380">
        <v>0</v>
      </c>
      <c r="O195" s="303">
        <v>0</v>
      </c>
      <c r="P195" s="19">
        <v>0</v>
      </c>
      <c r="Q195" s="1">
        <v>0</v>
      </c>
      <c r="R195" s="1">
        <v>0</v>
      </c>
      <c r="S195" s="1">
        <v>2.1739130434782608E-2</v>
      </c>
      <c r="T195" s="1">
        <v>2.1739130434782608E-2</v>
      </c>
      <c r="U195" s="1">
        <v>0</v>
      </c>
      <c r="V195" s="1">
        <v>0.89130434782608692</v>
      </c>
      <c r="W195" s="1">
        <v>4.3478260869565216E-2</v>
      </c>
      <c r="X195" s="3">
        <v>2.1739130434782608E-2</v>
      </c>
      <c r="Y195" s="2">
        <v>0</v>
      </c>
      <c r="Z195" s="315">
        <f t="shared" si="14"/>
        <v>1</v>
      </c>
    </row>
    <row r="196" spans="1:26">
      <c r="A196" s="124">
        <f t="shared" si="13"/>
        <v>191</v>
      </c>
      <c r="B196" s="122">
        <f t="shared" si="11"/>
        <v>135</v>
      </c>
      <c r="C196" s="399">
        <f t="shared" si="12"/>
        <v>0.4915792618318513</v>
      </c>
      <c r="D196" s="84">
        <v>0.4915792618318513</v>
      </c>
      <c r="E196" s="298">
        <v>-1</v>
      </c>
      <c r="F196" s="315">
        <v>1</v>
      </c>
      <c r="G196" s="379">
        <v>-1</v>
      </c>
      <c r="H196" s="380">
        <v>1</v>
      </c>
      <c r="I196" s="380">
        <v>-1</v>
      </c>
      <c r="J196" s="380">
        <v>0</v>
      </c>
      <c r="K196" s="380">
        <v>0</v>
      </c>
      <c r="L196" s="380">
        <v>1</v>
      </c>
      <c r="M196" s="380">
        <v>-1</v>
      </c>
      <c r="N196" s="380">
        <v>0</v>
      </c>
      <c r="O196" s="303">
        <v>0</v>
      </c>
      <c r="P196" s="19">
        <v>0</v>
      </c>
      <c r="Q196" s="1">
        <v>0</v>
      </c>
      <c r="R196" s="1">
        <v>0</v>
      </c>
      <c r="S196" s="1">
        <v>0.46153846153846156</v>
      </c>
      <c r="T196" s="1">
        <v>0.16923076923076924</v>
      </c>
      <c r="U196" s="1">
        <v>0</v>
      </c>
      <c r="V196" s="1">
        <v>0</v>
      </c>
      <c r="W196" s="1">
        <v>0.18461538461538463</v>
      </c>
      <c r="X196" s="3">
        <v>0.18461538461538463</v>
      </c>
      <c r="Y196" s="2">
        <v>0</v>
      </c>
      <c r="Z196" s="315">
        <f t="shared" si="14"/>
        <v>-1</v>
      </c>
    </row>
    <row r="197" spans="1:26">
      <c r="A197" s="124">
        <f t="shared" si="13"/>
        <v>192</v>
      </c>
      <c r="B197" s="122">
        <f t="shared" si="11"/>
        <v>117</v>
      </c>
      <c r="C197" s="399">
        <f t="shared" si="12"/>
        <v>0.54569030803126517</v>
      </c>
      <c r="D197" s="84">
        <v>0.54569030803126517</v>
      </c>
      <c r="E197" s="298">
        <v>1</v>
      </c>
      <c r="F197" s="315">
        <v>1</v>
      </c>
      <c r="G197" s="379">
        <v>1</v>
      </c>
      <c r="H197" s="380">
        <v>-1</v>
      </c>
      <c r="I197" s="380">
        <v>1</v>
      </c>
      <c r="J197" s="380">
        <v>-1</v>
      </c>
      <c r="K197" s="380">
        <v>0</v>
      </c>
      <c r="L197" s="380">
        <v>-1</v>
      </c>
      <c r="M197" s="380">
        <v>1</v>
      </c>
      <c r="N197" s="380">
        <v>0</v>
      </c>
      <c r="O197" s="303">
        <v>0</v>
      </c>
      <c r="P197" s="19">
        <v>0</v>
      </c>
      <c r="Q197" s="1">
        <v>0</v>
      </c>
      <c r="R197" s="1">
        <v>0</v>
      </c>
      <c r="S197" s="1">
        <v>0</v>
      </c>
      <c r="T197" s="1">
        <v>0.96923076923076923</v>
      </c>
      <c r="U197" s="1">
        <v>0</v>
      </c>
      <c r="V197" s="1">
        <v>0</v>
      </c>
      <c r="W197" s="1">
        <v>1.5384615384615385E-2</v>
      </c>
      <c r="X197" s="3">
        <v>1.5384615384615385E-2</v>
      </c>
      <c r="Y197" s="2">
        <v>0</v>
      </c>
      <c r="Z197" s="315">
        <f t="shared" si="14"/>
        <v>1</v>
      </c>
    </row>
    <row r="198" spans="1:26">
      <c r="A198" s="124">
        <f t="shared" si="13"/>
        <v>193</v>
      </c>
      <c r="B198" s="122">
        <f t="shared" ref="B198:B260" si="15">RANK(C198,$C$5:$C$260)-1</f>
        <v>137</v>
      </c>
      <c r="C198" s="399">
        <f t="shared" ref="C198:C260" si="16">IF(F198="","",D198)</f>
        <v>0.48572746019941782</v>
      </c>
      <c r="D198" s="84">
        <v>0.48572746019941782</v>
      </c>
      <c r="E198" s="298">
        <v>1</v>
      </c>
      <c r="F198" s="315">
        <v>1</v>
      </c>
      <c r="G198" s="379">
        <v>0</v>
      </c>
      <c r="H198" s="380">
        <v>0</v>
      </c>
      <c r="I198" s="380">
        <v>0</v>
      </c>
      <c r="J198" s="380">
        <v>0</v>
      </c>
      <c r="K198" s="380">
        <v>0</v>
      </c>
      <c r="L198" s="380">
        <v>0</v>
      </c>
      <c r="M198" s="380">
        <v>0</v>
      </c>
      <c r="N198" s="380">
        <v>0</v>
      </c>
      <c r="O198" s="303">
        <v>0</v>
      </c>
      <c r="P198" s="19">
        <v>0.14893617021276595</v>
      </c>
      <c r="Q198" s="1">
        <v>0.10638297872340426</v>
      </c>
      <c r="R198" s="1">
        <v>0.10638297872340426</v>
      </c>
      <c r="S198" s="1">
        <v>0.10638297872340426</v>
      </c>
      <c r="T198" s="1">
        <v>0.10638297872340426</v>
      </c>
      <c r="U198" s="1">
        <v>0.10638297872340426</v>
      </c>
      <c r="V198" s="1">
        <v>0.10638297872340426</v>
      </c>
      <c r="W198" s="1">
        <v>0.10638297872340426</v>
      </c>
      <c r="X198" s="3">
        <v>0.10638297872340426</v>
      </c>
      <c r="Y198" s="2">
        <v>0</v>
      </c>
      <c r="Z198" s="315">
        <f t="shared" si="14"/>
        <v>1</v>
      </c>
    </row>
    <row r="199" spans="1:26">
      <c r="A199" s="124">
        <f t="shared" ref="A199:A260" si="17">A198+1</f>
        <v>194</v>
      </c>
      <c r="B199" s="122">
        <f t="shared" si="15"/>
        <v>204</v>
      </c>
      <c r="C199" s="399">
        <f t="shared" si="16"/>
        <v>0.1948254402467362</v>
      </c>
      <c r="D199" s="84">
        <v>0.1948254402467362</v>
      </c>
      <c r="E199" s="298">
        <v>-1</v>
      </c>
      <c r="F199" s="315">
        <v>1</v>
      </c>
      <c r="G199" s="379">
        <v>0</v>
      </c>
      <c r="H199" s="380">
        <v>0</v>
      </c>
      <c r="I199" s="380">
        <v>0</v>
      </c>
      <c r="J199" s="380">
        <v>0</v>
      </c>
      <c r="K199" s="380">
        <v>0</v>
      </c>
      <c r="L199" s="380">
        <v>0</v>
      </c>
      <c r="M199" s="380">
        <v>0</v>
      </c>
      <c r="N199" s="380">
        <v>0</v>
      </c>
      <c r="O199" s="303">
        <v>-1</v>
      </c>
      <c r="P199" s="19">
        <v>0.19148936170212766</v>
      </c>
      <c r="Q199" s="1">
        <v>0.10638297872340426</v>
      </c>
      <c r="R199" s="1">
        <v>0.1276595744680851</v>
      </c>
      <c r="S199" s="1">
        <v>0.1276595744680851</v>
      </c>
      <c r="T199" s="1">
        <v>0.10638297872340426</v>
      </c>
      <c r="U199" s="1">
        <v>0.10638297872340426</v>
      </c>
      <c r="V199" s="1">
        <v>0.10638297872340426</v>
      </c>
      <c r="W199" s="1">
        <v>0.1276595744680851</v>
      </c>
      <c r="X199" s="3">
        <v>0</v>
      </c>
      <c r="Y199" s="2">
        <v>0</v>
      </c>
      <c r="Z199" s="315">
        <f t="shared" si="14"/>
        <v>-1</v>
      </c>
    </row>
    <row r="200" spans="1:26">
      <c r="A200" s="124">
        <f t="shared" si="17"/>
        <v>195</v>
      </c>
      <c r="B200" s="122">
        <f t="shared" si="15"/>
        <v>248</v>
      </c>
      <c r="C200" s="399">
        <f t="shared" si="16"/>
        <v>4.8128814199467462E-2</v>
      </c>
      <c r="D200" s="84">
        <v>4.8128814199467462E-2</v>
      </c>
      <c r="E200" s="298">
        <v>1</v>
      </c>
      <c r="F200" s="315">
        <v>1</v>
      </c>
      <c r="G200" s="379">
        <v>0</v>
      </c>
      <c r="H200" s="380">
        <v>-1</v>
      </c>
      <c r="I200" s="380">
        <v>0</v>
      </c>
      <c r="J200" s="380">
        <v>0</v>
      </c>
      <c r="K200" s="380">
        <v>0</v>
      </c>
      <c r="L200" s="380">
        <v>0</v>
      </c>
      <c r="M200" s="380">
        <v>0</v>
      </c>
      <c r="N200" s="380">
        <v>0</v>
      </c>
      <c r="O200" s="303">
        <v>1</v>
      </c>
      <c r="P200" s="19">
        <v>0.18181818181818182</v>
      </c>
      <c r="Q200" s="1">
        <v>0</v>
      </c>
      <c r="R200" s="1">
        <v>9.0909090909090912E-2</v>
      </c>
      <c r="S200" s="1">
        <v>9.0909090909090912E-2</v>
      </c>
      <c r="T200" s="1">
        <v>0.27272727272727271</v>
      </c>
      <c r="U200" s="1">
        <v>0.20454545454545456</v>
      </c>
      <c r="V200" s="1">
        <v>6.8181818181818177E-2</v>
      </c>
      <c r="W200" s="1">
        <v>9.0909090909090912E-2</v>
      </c>
      <c r="X200" s="3">
        <v>0</v>
      </c>
      <c r="Y200" s="2">
        <v>0</v>
      </c>
      <c r="Z200" s="315">
        <f t="shared" si="14"/>
        <v>1</v>
      </c>
    </row>
    <row r="201" spans="1:26">
      <c r="A201" s="124">
        <f t="shared" si="17"/>
        <v>196</v>
      </c>
      <c r="B201" s="122">
        <f t="shared" si="15"/>
        <v>244</v>
      </c>
      <c r="C201" s="399">
        <f t="shared" si="16"/>
        <v>5.7901351578937277E-2</v>
      </c>
      <c r="D201" s="84">
        <v>5.7901351578937277E-2</v>
      </c>
      <c r="E201" s="298">
        <v>-1</v>
      </c>
      <c r="F201" s="315">
        <v>1</v>
      </c>
      <c r="G201" s="379">
        <v>0</v>
      </c>
      <c r="H201" s="380">
        <v>1</v>
      </c>
      <c r="I201" s="380">
        <v>0</v>
      </c>
      <c r="J201" s="380">
        <v>0</v>
      </c>
      <c r="K201" s="380">
        <v>0</v>
      </c>
      <c r="L201" s="380">
        <v>-1</v>
      </c>
      <c r="M201" s="380">
        <v>0</v>
      </c>
      <c r="N201" s="380">
        <v>0</v>
      </c>
      <c r="O201" s="303">
        <v>-1</v>
      </c>
      <c r="P201" s="19">
        <v>2.564102564102564E-2</v>
      </c>
      <c r="Q201" s="1">
        <v>0</v>
      </c>
      <c r="R201" s="1">
        <v>0.58974358974358976</v>
      </c>
      <c r="S201" s="1">
        <v>0.10256410256410256</v>
      </c>
      <c r="T201" s="1">
        <v>0.10256410256410256</v>
      </c>
      <c r="U201" s="1">
        <v>0</v>
      </c>
      <c r="V201" s="1">
        <v>0.10256410256410256</v>
      </c>
      <c r="W201" s="1">
        <v>7.6923076923076927E-2</v>
      </c>
      <c r="X201" s="3">
        <v>0</v>
      </c>
      <c r="Y201" s="2">
        <v>0</v>
      </c>
      <c r="Z201" s="315">
        <f t="shared" si="14"/>
        <v>-1</v>
      </c>
    </row>
    <row r="202" spans="1:26">
      <c r="A202" s="124">
        <f t="shared" si="17"/>
        <v>197</v>
      </c>
      <c r="B202" s="122">
        <f t="shared" si="15"/>
        <v>195</v>
      </c>
      <c r="C202" s="399">
        <f t="shared" si="16"/>
        <v>0.23290730552668848</v>
      </c>
      <c r="D202" s="84">
        <v>0.23290730552668848</v>
      </c>
      <c r="E202" s="298">
        <v>1</v>
      </c>
      <c r="F202" s="315">
        <v>1</v>
      </c>
      <c r="G202" s="379">
        <v>0</v>
      </c>
      <c r="H202" s="380">
        <v>-1</v>
      </c>
      <c r="I202" s="380">
        <v>0</v>
      </c>
      <c r="J202" s="380">
        <v>0</v>
      </c>
      <c r="K202" s="380">
        <v>-1</v>
      </c>
      <c r="L202" s="380">
        <v>1</v>
      </c>
      <c r="M202" s="380">
        <v>0</v>
      </c>
      <c r="N202" s="380">
        <v>0</v>
      </c>
      <c r="O202" s="303">
        <v>1</v>
      </c>
      <c r="P202" s="19">
        <v>2.564102564102564E-2</v>
      </c>
      <c r="Q202" s="1">
        <v>0</v>
      </c>
      <c r="R202" s="1">
        <v>0.89743589743589747</v>
      </c>
      <c r="S202" s="1">
        <v>2.564102564102564E-2</v>
      </c>
      <c r="T202" s="1">
        <v>0</v>
      </c>
      <c r="U202" s="1">
        <v>0</v>
      </c>
      <c r="V202" s="1">
        <v>2.564102564102564E-2</v>
      </c>
      <c r="W202" s="1">
        <v>2.564102564102564E-2</v>
      </c>
      <c r="X202" s="3">
        <v>0</v>
      </c>
      <c r="Y202" s="2">
        <v>0</v>
      </c>
      <c r="Z202" s="315">
        <f t="shared" si="14"/>
        <v>1</v>
      </c>
    </row>
    <row r="203" spans="1:26">
      <c r="A203" s="124">
        <f t="shared" si="17"/>
        <v>198</v>
      </c>
      <c r="B203" s="122">
        <f t="shared" si="15"/>
        <v>84</v>
      </c>
      <c r="C203" s="399">
        <f t="shared" si="16"/>
        <v>0.65911440033637414</v>
      </c>
      <c r="D203" s="84">
        <v>0.65911440033637414</v>
      </c>
      <c r="E203" s="298">
        <v>1</v>
      </c>
      <c r="F203" s="315">
        <v>-1</v>
      </c>
      <c r="G203" s="379">
        <v>0</v>
      </c>
      <c r="H203" s="380">
        <v>0</v>
      </c>
      <c r="I203" s="380">
        <v>0</v>
      </c>
      <c r="J203" s="380">
        <v>0</v>
      </c>
      <c r="K203" s="380">
        <v>0</v>
      </c>
      <c r="L203" s="380">
        <v>0</v>
      </c>
      <c r="M203" s="380">
        <v>0</v>
      </c>
      <c r="N203" s="380">
        <v>0</v>
      </c>
      <c r="O203" s="303">
        <v>0</v>
      </c>
      <c r="P203" s="19">
        <v>0.1702127659574468</v>
      </c>
      <c r="Q203" s="1">
        <v>0.10638297872340426</v>
      </c>
      <c r="R203" s="1">
        <v>0.10638297872340426</v>
      </c>
      <c r="S203" s="1">
        <v>8.5106382978723402E-2</v>
      </c>
      <c r="T203" s="1">
        <v>0.10638297872340426</v>
      </c>
      <c r="U203" s="1">
        <v>0.10638297872340426</v>
      </c>
      <c r="V203" s="1">
        <v>0.10638297872340426</v>
      </c>
      <c r="W203" s="1">
        <v>0.10638297872340426</v>
      </c>
      <c r="X203" s="3">
        <v>0.10638297872340426</v>
      </c>
      <c r="Y203" s="2">
        <v>0</v>
      </c>
      <c r="Z203" s="315">
        <f t="shared" si="14"/>
        <v>-1</v>
      </c>
    </row>
    <row r="204" spans="1:26">
      <c r="A204" s="124">
        <f t="shared" si="17"/>
        <v>199</v>
      </c>
      <c r="B204" s="122">
        <f t="shared" si="15"/>
        <v>174</v>
      </c>
      <c r="C204" s="399">
        <f t="shared" si="16"/>
        <v>0.30141942655617637</v>
      </c>
      <c r="D204" s="84">
        <v>0.30141942655617637</v>
      </c>
      <c r="E204" s="298">
        <v>-1</v>
      </c>
      <c r="F204" s="315">
        <v>-1</v>
      </c>
      <c r="G204" s="379">
        <v>0</v>
      </c>
      <c r="H204" s="380">
        <v>0</v>
      </c>
      <c r="I204" s="380">
        <v>0</v>
      </c>
      <c r="J204" s="380">
        <v>-1</v>
      </c>
      <c r="K204" s="380">
        <v>0</v>
      </c>
      <c r="L204" s="380">
        <v>0</v>
      </c>
      <c r="M204" s="380">
        <v>0</v>
      </c>
      <c r="N204" s="380">
        <v>0</v>
      </c>
      <c r="O204" s="303">
        <v>0</v>
      </c>
      <c r="P204" s="19">
        <v>0.19148936170212766</v>
      </c>
      <c r="Q204" s="1">
        <v>0.10638297872340426</v>
      </c>
      <c r="R204" s="1">
        <v>0.1276595744680851</v>
      </c>
      <c r="S204" s="1">
        <v>0</v>
      </c>
      <c r="T204" s="1">
        <v>0.10638297872340426</v>
      </c>
      <c r="U204" s="1">
        <v>0.10638297872340426</v>
      </c>
      <c r="V204" s="1">
        <v>0.10638297872340426</v>
      </c>
      <c r="W204" s="1">
        <v>0.1276595744680851</v>
      </c>
      <c r="X204" s="3">
        <v>0.1276595744680851</v>
      </c>
      <c r="Y204" s="2">
        <v>0</v>
      </c>
      <c r="Z204" s="315">
        <f t="shared" si="14"/>
        <v>1</v>
      </c>
    </row>
    <row r="205" spans="1:26">
      <c r="A205" s="124">
        <f t="shared" si="17"/>
        <v>200</v>
      </c>
      <c r="B205" s="122">
        <f t="shared" si="15"/>
        <v>91</v>
      </c>
      <c r="C205" s="399">
        <f t="shared" si="16"/>
        <v>0.63068869769085767</v>
      </c>
      <c r="D205" s="84">
        <v>0.63068869769085767</v>
      </c>
      <c r="E205" s="298">
        <v>1</v>
      </c>
      <c r="F205" s="315">
        <v>-1</v>
      </c>
      <c r="G205" s="379">
        <v>-1</v>
      </c>
      <c r="H205" s="380">
        <v>0</v>
      </c>
      <c r="I205" s="380">
        <v>0</v>
      </c>
      <c r="J205" s="380">
        <v>1</v>
      </c>
      <c r="K205" s="380">
        <v>0</v>
      </c>
      <c r="L205" s="380">
        <v>0</v>
      </c>
      <c r="M205" s="380">
        <v>0</v>
      </c>
      <c r="N205" s="380">
        <v>0</v>
      </c>
      <c r="O205" s="303">
        <v>0</v>
      </c>
      <c r="P205" s="19">
        <v>0</v>
      </c>
      <c r="Q205" s="1">
        <v>0.17391304347826086</v>
      </c>
      <c r="R205" s="1">
        <v>0.15217391304347827</v>
      </c>
      <c r="S205" s="1">
        <v>0</v>
      </c>
      <c r="T205" s="1">
        <v>0.10869565217391304</v>
      </c>
      <c r="U205" s="1">
        <v>0.15217391304347827</v>
      </c>
      <c r="V205" s="1">
        <v>0.13043478260869565</v>
      </c>
      <c r="W205" s="1">
        <v>0.13043478260869565</v>
      </c>
      <c r="X205" s="3">
        <v>0.15217391304347827</v>
      </c>
      <c r="Y205" s="2">
        <v>0</v>
      </c>
      <c r="Z205" s="315">
        <f t="shared" si="14"/>
        <v>-1</v>
      </c>
    </row>
    <row r="206" spans="1:26">
      <c r="A206" s="124">
        <f t="shared" si="17"/>
        <v>201</v>
      </c>
      <c r="B206" s="122">
        <f t="shared" si="15"/>
        <v>226</v>
      </c>
      <c r="C206" s="399">
        <f t="shared" si="16"/>
        <v>0.10616079937879319</v>
      </c>
      <c r="D206" s="84">
        <v>0.10616079937879319</v>
      </c>
      <c r="E206" s="298">
        <v>-1</v>
      </c>
      <c r="F206" s="315">
        <v>-1</v>
      </c>
      <c r="G206" s="379">
        <v>1</v>
      </c>
      <c r="H206" s="380">
        <v>0</v>
      </c>
      <c r="I206" s="380">
        <v>0</v>
      </c>
      <c r="J206" s="380">
        <v>-1</v>
      </c>
      <c r="K206" s="380">
        <v>0</v>
      </c>
      <c r="L206" s="380">
        <v>0</v>
      </c>
      <c r="M206" s="380">
        <v>-1</v>
      </c>
      <c r="N206" s="380">
        <v>0</v>
      </c>
      <c r="O206" s="303">
        <v>0</v>
      </c>
      <c r="P206" s="19">
        <v>0</v>
      </c>
      <c r="Q206" s="1">
        <v>0.26315789473684209</v>
      </c>
      <c r="R206" s="1">
        <v>0.44736842105263158</v>
      </c>
      <c r="S206" s="1">
        <v>0</v>
      </c>
      <c r="T206" s="1">
        <v>7.8947368421052627E-2</v>
      </c>
      <c r="U206" s="1">
        <v>5.2631578947368418E-2</v>
      </c>
      <c r="V206" s="1">
        <v>0</v>
      </c>
      <c r="W206" s="1">
        <v>7.8947368421052627E-2</v>
      </c>
      <c r="X206" s="3">
        <v>7.8947368421052627E-2</v>
      </c>
      <c r="Y206" s="2">
        <v>0</v>
      </c>
      <c r="Z206" s="315">
        <f t="shared" si="14"/>
        <v>1</v>
      </c>
    </row>
    <row r="207" spans="1:26">
      <c r="A207" s="124">
        <f t="shared" si="17"/>
        <v>202</v>
      </c>
      <c r="B207" s="122">
        <f t="shared" si="15"/>
        <v>212</v>
      </c>
      <c r="C207" s="399">
        <f t="shared" si="16"/>
        <v>0.1623015071262971</v>
      </c>
      <c r="D207" s="84">
        <v>0.1623015071262971</v>
      </c>
      <c r="E207" s="298">
        <v>1</v>
      </c>
      <c r="F207" s="315">
        <v>-1</v>
      </c>
      <c r="G207" s="379">
        <v>-1</v>
      </c>
      <c r="H207" s="380">
        <v>0</v>
      </c>
      <c r="I207" s="380">
        <v>-1</v>
      </c>
      <c r="J207" s="380">
        <v>1</v>
      </c>
      <c r="K207" s="380">
        <v>0</v>
      </c>
      <c r="L207" s="380">
        <v>0</v>
      </c>
      <c r="M207" s="380">
        <v>1</v>
      </c>
      <c r="N207" s="380">
        <v>0</v>
      </c>
      <c r="O207" s="303">
        <v>0</v>
      </c>
      <c r="P207" s="19">
        <v>0</v>
      </c>
      <c r="Q207" s="1">
        <v>0.59090909090909094</v>
      </c>
      <c r="R207" s="1">
        <v>0</v>
      </c>
      <c r="S207" s="1">
        <v>0</v>
      </c>
      <c r="T207" s="1">
        <v>9.0909090909090912E-2</v>
      </c>
      <c r="U207" s="1">
        <v>9.0909090909090912E-2</v>
      </c>
      <c r="V207" s="1">
        <v>0</v>
      </c>
      <c r="W207" s="1">
        <v>0.11363636363636363</v>
      </c>
      <c r="X207" s="3">
        <v>0.11363636363636363</v>
      </c>
      <c r="Y207" s="2">
        <v>0</v>
      </c>
      <c r="Z207" s="315">
        <f t="shared" si="14"/>
        <v>-1</v>
      </c>
    </row>
    <row r="208" spans="1:26">
      <c r="A208" s="124">
        <f t="shared" si="17"/>
        <v>203</v>
      </c>
      <c r="B208" s="122">
        <f t="shared" si="15"/>
        <v>153</v>
      </c>
      <c r="C208" s="399">
        <f t="shared" si="16"/>
        <v>0.39146397187760595</v>
      </c>
      <c r="D208" s="84">
        <v>0.39146397187760595</v>
      </c>
      <c r="E208" s="298">
        <v>-1</v>
      </c>
      <c r="F208" s="315">
        <v>-1</v>
      </c>
      <c r="G208" s="379">
        <v>1</v>
      </c>
      <c r="H208" s="380">
        <v>0</v>
      </c>
      <c r="I208" s="380">
        <v>1</v>
      </c>
      <c r="J208" s="380">
        <v>-1</v>
      </c>
      <c r="K208" s="380">
        <v>-1</v>
      </c>
      <c r="L208" s="380">
        <v>0</v>
      </c>
      <c r="M208" s="380">
        <v>-1</v>
      </c>
      <c r="N208" s="380">
        <v>0</v>
      </c>
      <c r="O208" s="303">
        <v>0</v>
      </c>
      <c r="P208" s="19">
        <v>0</v>
      </c>
      <c r="Q208" s="1">
        <v>0.9145299145299145</v>
      </c>
      <c r="R208" s="1">
        <v>0</v>
      </c>
      <c r="S208" s="1">
        <v>0</v>
      </c>
      <c r="T208" s="1">
        <v>0</v>
      </c>
      <c r="U208" s="1">
        <v>1.7094017094017096E-2</v>
      </c>
      <c r="V208" s="1">
        <v>0</v>
      </c>
      <c r="W208" s="1">
        <v>3.4188034188034191E-2</v>
      </c>
      <c r="X208" s="3">
        <v>3.4188034188034191E-2</v>
      </c>
      <c r="Y208" s="2">
        <v>0</v>
      </c>
      <c r="Z208" s="315">
        <f t="shared" si="14"/>
        <v>1</v>
      </c>
    </row>
    <row r="209" spans="1:26">
      <c r="A209" s="124">
        <f t="shared" si="17"/>
        <v>204</v>
      </c>
      <c r="B209" s="122">
        <f t="shared" si="15"/>
        <v>154</v>
      </c>
      <c r="C209" s="399">
        <f t="shared" si="16"/>
        <v>0.38976532003088127</v>
      </c>
      <c r="D209" s="84">
        <v>0.38976532003088127</v>
      </c>
      <c r="E209" s="298">
        <v>1</v>
      </c>
      <c r="F209" s="315">
        <v>1</v>
      </c>
      <c r="G209" s="379">
        <v>0</v>
      </c>
      <c r="H209" s="380">
        <v>0</v>
      </c>
      <c r="I209" s="380">
        <v>0</v>
      </c>
      <c r="J209" s="380">
        <v>0</v>
      </c>
      <c r="K209" s="380">
        <v>0</v>
      </c>
      <c r="L209" s="380">
        <v>0</v>
      </c>
      <c r="M209" s="380">
        <v>0</v>
      </c>
      <c r="N209" s="380">
        <v>0</v>
      </c>
      <c r="O209" s="303">
        <v>0</v>
      </c>
      <c r="P209" s="19">
        <v>0.1702127659574468</v>
      </c>
      <c r="Q209" s="1">
        <v>0.10638297872340426</v>
      </c>
      <c r="R209" s="1">
        <v>0.10638297872340426</v>
      </c>
      <c r="S209" s="1">
        <v>0.10638297872340426</v>
      </c>
      <c r="T209" s="1">
        <v>0.10638297872340426</v>
      </c>
      <c r="U209" s="1">
        <v>0.10638297872340426</v>
      </c>
      <c r="V209" s="1">
        <v>8.5106382978723402E-2</v>
      </c>
      <c r="W209" s="1">
        <v>0.10638297872340426</v>
      </c>
      <c r="X209" s="3">
        <v>0.10638297872340426</v>
      </c>
      <c r="Y209" s="2">
        <v>0</v>
      </c>
      <c r="Z209" s="315">
        <f t="shared" si="14"/>
        <v>1</v>
      </c>
    </row>
    <row r="210" spans="1:26">
      <c r="A210" s="124">
        <f t="shared" si="17"/>
        <v>205</v>
      </c>
      <c r="B210" s="122">
        <f t="shared" si="15"/>
        <v>229</v>
      </c>
      <c r="C210" s="399">
        <f t="shared" si="16"/>
        <v>9.0207447033807564E-2</v>
      </c>
      <c r="D210" s="84">
        <v>9.0207447033807564E-2</v>
      </c>
      <c r="E210" s="298">
        <v>-1</v>
      </c>
      <c r="F210" s="315">
        <v>1</v>
      </c>
      <c r="G210" s="379">
        <v>0</v>
      </c>
      <c r="H210" s="380">
        <v>0</v>
      </c>
      <c r="I210" s="380">
        <v>0</v>
      </c>
      <c r="J210" s="380">
        <v>0</v>
      </c>
      <c r="K210" s="380">
        <v>-1</v>
      </c>
      <c r="L210" s="380">
        <v>0</v>
      </c>
      <c r="M210" s="380">
        <v>0</v>
      </c>
      <c r="N210" s="380">
        <v>0</v>
      </c>
      <c r="O210" s="303">
        <v>0</v>
      </c>
      <c r="P210" s="19">
        <v>0.1702127659574468</v>
      </c>
      <c r="Q210" s="1">
        <v>0.10638297872340426</v>
      </c>
      <c r="R210" s="1">
        <v>0.1276595744680851</v>
      </c>
      <c r="S210" s="1">
        <v>0.1276595744680851</v>
      </c>
      <c r="T210" s="1">
        <v>0</v>
      </c>
      <c r="U210" s="1">
        <v>0.10638297872340426</v>
      </c>
      <c r="V210" s="1">
        <v>0.10638297872340426</v>
      </c>
      <c r="W210" s="1">
        <v>0.1276595744680851</v>
      </c>
      <c r="X210" s="3">
        <v>0.1276595744680851</v>
      </c>
      <c r="Y210" s="2">
        <v>0</v>
      </c>
      <c r="Z210" s="315">
        <f t="shared" si="14"/>
        <v>-1</v>
      </c>
    </row>
    <row r="211" spans="1:26">
      <c r="A211" s="124">
        <f t="shared" si="17"/>
        <v>206</v>
      </c>
      <c r="B211" s="122">
        <f t="shared" si="15"/>
        <v>30</v>
      </c>
      <c r="C211" s="399">
        <f t="shared" si="16"/>
        <v>0.87246376051524299</v>
      </c>
      <c r="D211" s="84">
        <v>0.87246376051524299</v>
      </c>
      <c r="E211" s="298">
        <v>1</v>
      </c>
      <c r="F211" s="315">
        <v>1</v>
      </c>
      <c r="G211" s="379">
        <v>0</v>
      </c>
      <c r="H211" s="380">
        <v>0</v>
      </c>
      <c r="I211" s="380">
        <v>0</v>
      </c>
      <c r="J211" s="380">
        <v>0</v>
      </c>
      <c r="K211" s="380">
        <v>1</v>
      </c>
      <c r="L211" s="380">
        <v>0</v>
      </c>
      <c r="M211" s="380">
        <v>-1</v>
      </c>
      <c r="N211" s="380">
        <v>0</v>
      </c>
      <c r="O211" s="303">
        <v>0</v>
      </c>
      <c r="P211" s="19">
        <v>9.7560975609756101E-2</v>
      </c>
      <c r="Q211" s="1">
        <v>7.3170731707317069E-2</v>
      </c>
      <c r="R211" s="1">
        <v>7.3170731707317069E-2</v>
      </c>
      <c r="S211" s="1">
        <v>4.878048780487805E-2</v>
      </c>
      <c r="T211" s="1">
        <v>0</v>
      </c>
      <c r="U211" s="1">
        <v>7.3170731707317069E-2</v>
      </c>
      <c r="V211" s="1">
        <v>0</v>
      </c>
      <c r="W211" s="1">
        <v>0.17073170731707318</v>
      </c>
      <c r="X211" s="3">
        <v>0.46341463414634149</v>
      </c>
      <c r="Y211" s="2">
        <v>0</v>
      </c>
      <c r="Z211" s="315">
        <f t="shared" si="14"/>
        <v>1</v>
      </c>
    </row>
    <row r="212" spans="1:26">
      <c r="A212" s="124">
        <f t="shared" si="17"/>
        <v>207</v>
      </c>
      <c r="B212" s="122">
        <f t="shared" si="15"/>
        <v>130</v>
      </c>
      <c r="C212" s="399">
        <f t="shared" si="16"/>
        <v>0.4963191428188366</v>
      </c>
      <c r="D212" s="84">
        <v>0.4963191428188366</v>
      </c>
      <c r="E212" s="298">
        <v>-1</v>
      </c>
      <c r="F212" s="315">
        <v>1</v>
      </c>
      <c r="G212" s="379">
        <v>0</v>
      </c>
      <c r="H212" s="380">
        <v>-1</v>
      </c>
      <c r="I212" s="380">
        <v>0</v>
      </c>
      <c r="J212" s="380">
        <v>0</v>
      </c>
      <c r="K212" s="380">
        <v>-1</v>
      </c>
      <c r="L212" s="380">
        <v>0</v>
      </c>
      <c r="M212" s="380">
        <v>1</v>
      </c>
      <c r="N212" s="380">
        <v>0</v>
      </c>
      <c r="O212" s="303">
        <v>0</v>
      </c>
      <c r="P212" s="19">
        <v>0.12820512820512819</v>
      </c>
      <c r="Q212" s="1">
        <v>0</v>
      </c>
      <c r="R212" s="1">
        <v>7.6923076923076927E-2</v>
      </c>
      <c r="S212" s="1">
        <v>7.6923076923076927E-2</v>
      </c>
      <c r="T212" s="1">
        <v>0</v>
      </c>
      <c r="U212" s="1">
        <v>7.6923076923076927E-2</v>
      </c>
      <c r="V212" s="1">
        <v>0</v>
      </c>
      <c r="W212" s="1">
        <v>0.5641025641025641</v>
      </c>
      <c r="X212" s="3">
        <v>7.6923076923076927E-2</v>
      </c>
      <c r="Y212" s="2">
        <v>0</v>
      </c>
      <c r="Z212" s="315">
        <f t="shared" si="14"/>
        <v>-1</v>
      </c>
    </row>
    <row r="213" spans="1:26">
      <c r="A213" s="124">
        <f t="shared" si="17"/>
        <v>208</v>
      </c>
      <c r="B213" s="122">
        <f t="shared" si="15"/>
        <v>155</v>
      </c>
      <c r="C213" s="399">
        <f t="shared" si="16"/>
        <v>0.38359838193946227</v>
      </c>
      <c r="D213" s="84">
        <v>0.38359838193946227</v>
      </c>
      <c r="E213" s="298">
        <v>1</v>
      </c>
      <c r="F213" s="315">
        <v>1</v>
      </c>
      <c r="G213" s="379">
        <v>0</v>
      </c>
      <c r="H213" s="380">
        <v>1</v>
      </c>
      <c r="I213" s="380">
        <v>0</v>
      </c>
      <c r="J213" s="380">
        <v>0</v>
      </c>
      <c r="K213" s="380">
        <v>1</v>
      </c>
      <c r="L213" s="380">
        <v>0</v>
      </c>
      <c r="M213" s="380">
        <v>-1</v>
      </c>
      <c r="N213" s="380">
        <v>0</v>
      </c>
      <c r="O213" s="303">
        <v>-1</v>
      </c>
      <c r="P213" s="19">
        <v>2.4793388429752067E-2</v>
      </c>
      <c r="Q213" s="1">
        <v>0</v>
      </c>
      <c r="R213" s="1">
        <v>1.6528925619834711E-2</v>
      </c>
      <c r="S213" s="1">
        <v>1.6528925619834711E-2</v>
      </c>
      <c r="T213" s="1">
        <v>0</v>
      </c>
      <c r="U213" s="1">
        <v>1.6528925619834711E-2</v>
      </c>
      <c r="V213" s="1">
        <v>0</v>
      </c>
      <c r="W213" s="1">
        <v>0.92561983471074383</v>
      </c>
      <c r="X213" s="3">
        <v>0</v>
      </c>
      <c r="Y213" s="2">
        <v>0</v>
      </c>
      <c r="Z213" s="315">
        <f t="shared" si="14"/>
        <v>1</v>
      </c>
    </row>
    <row r="214" spans="1:26">
      <c r="A214" s="124">
        <f t="shared" si="17"/>
        <v>209</v>
      </c>
      <c r="B214" s="122">
        <f t="shared" si="15"/>
        <v>197</v>
      </c>
      <c r="C214" s="399">
        <f t="shared" si="16"/>
        <v>0.22449552320326804</v>
      </c>
      <c r="D214" s="84">
        <v>0.22449552320326804</v>
      </c>
      <c r="E214" s="298">
        <v>1</v>
      </c>
      <c r="F214" s="315">
        <v>1</v>
      </c>
      <c r="G214" s="379">
        <v>0</v>
      </c>
      <c r="H214" s="380">
        <v>0</v>
      </c>
      <c r="I214" s="380">
        <v>0</v>
      </c>
      <c r="J214" s="380">
        <v>0</v>
      </c>
      <c r="K214" s="380">
        <v>0</v>
      </c>
      <c r="L214" s="380">
        <v>0</v>
      </c>
      <c r="M214" s="380">
        <v>0</v>
      </c>
      <c r="N214" s="380">
        <v>0</v>
      </c>
      <c r="O214" s="303">
        <v>0</v>
      </c>
      <c r="P214" s="19">
        <v>0.14893617021276595</v>
      </c>
      <c r="Q214" s="1">
        <v>0.10638297872340426</v>
      </c>
      <c r="R214" s="1">
        <v>0.10638297872340426</v>
      </c>
      <c r="S214" s="1">
        <v>0.10638297872340426</v>
      </c>
      <c r="T214" s="1">
        <v>0.10638297872340426</v>
      </c>
      <c r="U214" s="1">
        <v>0.10638297872340426</v>
      </c>
      <c r="V214" s="1">
        <v>8.5106382978723402E-2</v>
      </c>
      <c r="W214" s="1">
        <v>0.1276595744680851</v>
      </c>
      <c r="X214" s="3">
        <v>0.10638297872340426</v>
      </c>
      <c r="Y214" s="2">
        <v>0</v>
      </c>
      <c r="Z214" s="315">
        <f t="shared" si="14"/>
        <v>1</v>
      </c>
    </row>
    <row r="215" spans="1:26">
      <c r="A215" s="124">
        <f t="shared" si="17"/>
        <v>210</v>
      </c>
      <c r="B215" s="122">
        <f t="shared" si="15"/>
        <v>247</v>
      </c>
      <c r="C215" s="399">
        <f t="shared" si="16"/>
        <v>4.8440228435413513E-2</v>
      </c>
      <c r="D215" s="84">
        <v>4.8440228435413513E-2</v>
      </c>
      <c r="E215" s="298">
        <v>-1</v>
      </c>
      <c r="F215" s="315">
        <v>1</v>
      </c>
      <c r="G215" s="379">
        <v>0</v>
      </c>
      <c r="H215" s="380">
        <v>0</v>
      </c>
      <c r="I215" s="380">
        <v>-1</v>
      </c>
      <c r="J215" s="380">
        <v>0</v>
      </c>
      <c r="K215" s="380">
        <v>0</v>
      </c>
      <c r="L215" s="380">
        <v>0</v>
      </c>
      <c r="M215" s="380">
        <v>0</v>
      </c>
      <c r="N215" s="380">
        <v>0</v>
      </c>
      <c r="O215" s="303">
        <v>0</v>
      </c>
      <c r="P215" s="19">
        <v>0.1702127659574468</v>
      </c>
      <c r="Q215" s="1">
        <v>0.10638297872340426</v>
      </c>
      <c r="R215" s="1">
        <v>0</v>
      </c>
      <c r="S215" s="1">
        <v>0.10638297872340426</v>
      </c>
      <c r="T215" s="1">
        <v>0.10638297872340426</v>
      </c>
      <c r="U215" s="1">
        <v>0.1276595744680851</v>
      </c>
      <c r="V215" s="1">
        <v>0.10638297872340426</v>
      </c>
      <c r="W215" s="1">
        <v>0.1276595744680851</v>
      </c>
      <c r="X215" s="3">
        <v>0.14893617021276595</v>
      </c>
      <c r="Y215" s="2">
        <v>0</v>
      </c>
      <c r="Z215" s="315">
        <f t="shared" si="14"/>
        <v>-1</v>
      </c>
    </row>
    <row r="216" spans="1:26">
      <c r="A216" s="124">
        <f t="shared" si="17"/>
        <v>211</v>
      </c>
      <c r="B216" s="122">
        <f t="shared" si="15"/>
        <v>160</v>
      </c>
      <c r="C216" s="399">
        <f t="shared" si="16"/>
        <v>0.37206465889961182</v>
      </c>
      <c r="D216" s="84">
        <v>0.37206465889961182</v>
      </c>
      <c r="E216" s="298">
        <v>1</v>
      </c>
      <c r="F216" s="315">
        <v>1</v>
      </c>
      <c r="G216" s="379">
        <v>0</v>
      </c>
      <c r="H216" s="380">
        <v>0</v>
      </c>
      <c r="I216" s="380">
        <v>1</v>
      </c>
      <c r="J216" s="380">
        <v>-1</v>
      </c>
      <c r="K216" s="380">
        <v>0</v>
      </c>
      <c r="L216" s="380">
        <v>0</v>
      </c>
      <c r="M216" s="380">
        <v>0</v>
      </c>
      <c r="N216" s="380">
        <v>0</v>
      </c>
      <c r="O216" s="303">
        <v>0</v>
      </c>
      <c r="P216" s="19">
        <v>0.69444444444444442</v>
      </c>
      <c r="Q216" s="1">
        <v>5.5555555555555552E-2</v>
      </c>
      <c r="R216" s="1">
        <v>0</v>
      </c>
      <c r="S216" s="1">
        <v>0</v>
      </c>
      <c r="T216" s="1">
        <v>2.7777777777777776E-2</v>
      </c>
      <c r="U216" s="1">
        <v>5.5555555555555552E-2</v>
      </c>
      <c r="V216" s="1">
        <v>5.5555555555555552E-2</v>
      </c>
      <c r="W216" s="1">
        <v>5.5555555555555552E-2</v>
      </c>
      <c r="X216" s="3">
        <v>5.5555555555555552E-2</v>
      </c>
      <c r="Y216" s="2">
        <v>0</v>
      </c>
      <c r="Z216" s="315">
        <f t="shared" si="14"/>
        <v>1</v>
      </c>
    </row>
    <row r="217" spans="1:26">
      <c r="A217" s="124">
        <f t="shared" si="17"/>
        <v>212</v>
      </c>
      <c r="B217" s="122">
        <f t="shared" si="15"/>
        <v>94</v>
      </c>
      <c r="C217" s="399">
        <f t="shared" si="16"/>
        <v>0.62394274614067902</v>
      </c>
      <c r="D217" s="84">
        <v>0.62394274614067902</v>
      </c>
      <c r="E217" s="298">
        <v>-1</v>
      </c>
      <c r="F217" s="315">
        <v>1</v>
      </c>
      <c r="G217" s="379">
        <v>-1</v>
      </c>
      <c r="H217" s="380">
        <v>0</v>
      </c>
      <c r="I217" s="380">
        <v>-1</v>
      </c>
      <c r="J217" s="380">
        <v>1</v>
      </c>
      <c r="K217" s="380">
        <v>0</v>
      </c>
      <c r="L217" s="380">
        <v>0</v>
      </c>
      <c r="M217" s="380">
        <v>0</v>
      </c>
      <c r="N217" s="380">
        <v>0</v>
      </c>
      <c r="O217" s="303">
        <v>0</v>
      </c>
      <c r="P217" s="19">
        <v>0</v>
      </c>
      <c r="Q217" s="1">
        <v>0.60465116279069764</v>
      </c>
      <c r="R217" s="1">
        <v>0</v>
      </c>
      <c r="S217" s="1">
        <v>0</v>
      </c>
      <c r="T217" s="1">
        <v>6.9767441860465115E-2</v>
      </c>
      <c r="U217" s="1">
        <v>6.9767441860465115E-2</v>
      </c>
      <c r="V217" s="1">
        <v>6.9767441860465115E-2</v>
      </c>
      <c r="W217" s="1">
        <v>9.3023255813953487E-2</v>
      </c>
      <c r="X217" s="3">
        <v>9.3023255813953487E-2</v>
      </c>
      <c r="Y217" s="2">
        <v>0</v>
      </c>
      <c r="Z217" s="315">
        <f t="shared" si="14"/>
        <v>-1</v>
      </c>
    </row>
    <row r="218" spans="1:26">
      <c r="A218" s="124">
        <f t="shared" si="17"/>
        <v>213</v>
      </c>
      <c r="B218" s="122">
        <f t="shared" si="15"/>
        <v>175</v>
      </c>
      <c r="C218" s="399">
        <f t="shared" si="16"/>
        <v>0.29605930840284544</v>
      </c>
      <c r="D218" s="84">
        <v>0.29605930840284544</v>
      </c>
      <c r="E218" s="298">
        <v>1</v>
      </c>
      <c r="F218" s="315">
        <v>1</v>
      </c>
      <c r="G218" s="379">
        <v>1</v>
      </c>
      <c r="H218" s="380">
        <v>-1</v>
      </c>
      <c r="I218" s="380">
        <v>1</v>
      </c>
      <c r="J218" s="380">
        <v>-1</v>
      </c>
      <c r="K218" s="380">
        <v>0</v>
      </c>
      <c r="L218" s="380">
        <v>0</v>
      </c>
      <c r="M218" s="380">
        <v>0</v>
      </c>
      <c r="N218" s="380">
        <v>0</v>
      </c>
      <c r="O218" s="303">
        <v>0</v>
      </c>
      <c r="P218" s="19">
        <v>0</v>
      </c>
      <c r="Q218" s="1">
        <v>0</v>
      </c>
      <c r="R218" s="1">
        <v>0</v>
      </c>
      <c r="S218" s="1">
        <v>0</v>
      </c>
      <c r="T218" s="1">
        <v>2.1739130434782608E-2</v>
      </c>
      <c r="U218" s="1">
        <v>4.3478260869565216E-2</v>
      </c>
      <c r="V218" s="1">
        <v>2.1739130434782608E-2</v>
      </c>
      <c r="W218" s="1">
        <v>2.1739130434782608E-2</v>
      </c>
      <c r="X218" s="3">
        <v>0.89130434782608692</v>
      </c>
      <c r="Y218" s="2">
        <v>0</v>
      </c>
      <c r="Z218" s="315">
        <f t="shared" si="14"/>
        <v>1</v>
      </c>
    </row>
    <row r="219" spans="1:26">
      <c r="A219" s="124">
        <f t="shared" si="17"/>
        <v>214</v>
      </c>
      <c r="B219" s="122">
        <f t="shared" si="15"/>
        <v>228</v>
      </c>
      <c r="C219" s="399">
        <f t="shared" si="16"/>
        <v>0.10158505863068978</v>
      </c>
      <c r="D219" s="84">
        <v>0.10158505863068978</v>
      </c>
      <c r="E219" s="298">
        <v>-1</v>
      </c>
      <c r="F219" s="315">
        <v>1</v>
      </c>
      <c r="G219" s="379">
        <v>-1</v>
      </c>
      <c r="H219" s="380">
        <v>1</v>
      </c>
      <c r="I219" s="380">
        <v>-1</v>
      </c>
      <c r="J219" s="380">
        <v>1</v>
      </c>
      <c r="K219" s="380">
        <v>0</v>
      </c>
      <c r="L219" s="380">
        <v>0</v>
      </c>
      <c r="M219" s="380">
        <v>0</v>
      </c>
      <c r="N219" s="380">
        <v>0</v>
      </c>
      <c r="O219" s="303">
        <v>-1</v>
      </c>
      <c r="P219" s="19">
        <v>0</v>
      </c>
      <c r="Q219" s="1">
        <v>0</v>
      </c>
      <c r="R219" s="1">
        <v>0</v>
      </c>
      <c r="S219" s="1">
        <v>0</v>
      </c>
      <c r="T219" s="1">
        <v>0.44615384615384618</v>
      </c>
      <c r="U219" s="1">
        <v>0.18461538461538463</v>
      </c>
      <c r="V219" s="1">
        <v>0.18461538461538463</v>
      </c>
      <c r="W219" s="1">
        <v>0.18461538461538463</v>
      </c>
      <c r="X219" s="3">
        <v>0</v>
      </c>
      <c r="Y219" s="2">
        <v>0</v>
      </c>
      <c r="Z219" s="315">
        <f t="shared" si="14"/>
        <v>-1</v>
      </c>
    </row>
    <row r="220" spans="1:26">
      <c r="A220" s="124">
        <f t="shared" si="17"/>
        <v>215</v>
      </c>
      <c r="B220" s="122">
        <f t="shared" si="15"/>
        <v>63</v>
      </c>
      <c r="C220" s="399">
        <f t="shared" si="16"/>
        <v>0.73592740212108843</v>
      </c>
      <c r="D220" s="84">
        <v>0.73592740212108843</v>
      </c>
      <c r="E220" s="298">
        <v>1</v>
      </c>
      <c r="F220" s="315">
        <v>1</v>
      </c>
      <c r="G220" s="379">
        <v>1</v>
      </c>
      <c r="H220" s="380">
        <v>-1</v>
      </c>
      <c r="I220" s="380">
        <v>1</v>
      </c>
      <c r="J220" s="380">
        <v>-1</v>
      </c>
      <c r="K220" s="380">
        <v>0</v>
      </c>
      <c r="L220" s="380">
        <v>-1</v>
      </c>
      <c r="M220" s="380">
        <v>0</v>
      </c>
      <c r="N220" s="380">
        <v>0</v>
      </c>
      <c r="O220" s="303">
        <v>1</v>
      </c>
      <c r="P220" s="19">
        <v>0</v>
      </c>
      <c r="Q220" s="1">
        <v>0</v>
      </c>
      <c r="R220" s="1">
        <v>0</v>
      </c>
      <c r="S220" s="1">
        <v>0</v>
      </c>
      <c r="T220" s="1">
        <v>0.96923076923076923</v>
      </c>
      <c r="U220" s="1">
        <v>0</v>
      </c>
      <c r="V220" s="1">
        <v>1.5384615384615385E-2</v>
      </c>
      <c r="W220" s="1">
        <v>1.5384615384615385E-2</v>
      </c>
      <c r="X220" s="3">
        <v>0</v>
      </c>
      <c r="Y220" s="2">
        <v>0</v>
      </c>
      <c r="Z220" s="315">
        <f t="shared" si="14"/>
        <v>1</v>
      </c>
    </row>
    <row r="221" spans="1:26">
      <c r="A221" s="124">
        <f t="shared" si="17"/>
        <v>216</v>
      </c>
      <c r="B221" s="122">
        <f t="shared" si="15"/>
        <v>140</v>
      </c>
      <c r="C221" s="399">
        <f t="shared" si="16"/>
        <v>0.46990506463434556</v>
      </c>
      <c r="D221" s="84">
        <v>0.46990506463434556</v>
      </c>
      <c r="E221" s="298">
        <v>1</v>
      </c>
      <c r="F221" s="315">
        <v>0</v>
      </c>
      <c r="G221" s="379">
        <v>1</v>
      </c>
      <c r="H221" s="380">
        <v>-1</v>
      </c>
      <c r="I221" s="380">
        <v>-1</v>
      </c>
      <c r="J221" s="380">
        <v>-1</v>
      </c>
      <c r="K221" s="380">
        <v>1</v>
      </c>
      <c r="L221" s="380">
        <v>1</v>
      </c>
      <c r="M221" s="380">
        <v>1</v>
      </c>
      <c r="N221" s="380">
        <v>0</v>
      </c>
      <c r="O221" s="303">
        <v>-1</v>
      </c>
      <c r="P221" s="19">
        <v>0</v>
      </c>
      <c r="Q221" s="1">
        <v>0</v>
      </c>
      <c r="R221" s="1">
        <v>0</v>
      </c>
      <c r="S221" s="1">
        <v>0</v>
      </c>
      <c r="T221" s="1">
        <v>0</v>
      </c>
      <c r="U221" s="1">
        <v>0</v>
      </c>
      <c r="V221" s="1">
        <v>0</v>
      </c>
      <c r="W221" s="1">
        <v>1</v>
      </c>
      <c r="X221" s="3">
        <v>0</v>
      </c>
      <c r="Y221" s="2">
        <v>0</v>
      </c>
      <c r="Z221" s="315">
        <f t="shared" si="14"/>
        <v>0</v>
      </c>
    </row>
    <row r="222" spans="1:26">
      <c r="A222" s="124">
        <f t="shared" si="17"/>
        <v>217</v>
      </c>
      <c r="B222" s="122">
        <f t="shared" si="15"/>
        <v>230</v>
      </c>
      <c r="C222" s="399">
        <f t="shared" si="16"/>
        <v>8.9966496462495549E-2</v>
      </c>
      <c r="D222" s="84">
        <v>8.9966496462495549E-2</v>
      </c>
      <c r="E222" s="298">
        <v>1</v>
      </c>
      <c r="F222" s="315">
        <v>-1</v>
      </c>
      <c r="G222" s="379">
        <v>0</v>
      </c>
      <c r="H222" s="380">
        <v>0</v>
      </c>
      <c r="I222" s="380">
        <v>0</v>
      </c>
      <c r="J222" s="380">
        <v>0</v>
      </c>
      <c r="K222" s="380">
        <v>0</v>
      </c>
      <c r="L222" s="380">
        <v>0</v>
      </c>
      <c r="M222" s="380">
        <v>0</v>
      </c>
      <c r="N222" s="380">
        <v>0</v>
      </c>
      <c r="O222" s="303">
        <v>0</v>
      </c>
      <c r="P222" s="19">
        <v>8.5106382978723402E-2</v>
      </c>
      <c r="Q222" s="1">
        <v>0.21276595744680851</v>
      </c>
      <c r="R222" s="1">
        <v>0.1702127659574468</v>
      </c>
      <c r="S222" s="1">
        <v>0.10638297872340426</v>
      </c>
      <c r="T222" s="1">
        <v>6.3829787234042548E-2</v>
      </c>
      <c r="U222" s="1">
        <v>8.5106382978723402E-2</v>
      </c>
      <c r="V222" s="1">
        <v>8.5106382978723402E-2</v>
      </c>
      <c r="W222" s="1">
        <v>8.5106382978723402E-2</v>
      </c>
      <c r="X222" s="3">
        <v>0.10638297872340426</v>
      </c>
      <c r="Y222" s="2">
        <v>0</v>
      </c>
      <c r="Z222" s="315">
        <f t="shared" si="14"/>
        <v>-1</v>
      </c>
    </row>
    <row r="223" spans="1:26">
      <c r="A223" s="124">
        <f t="shared" si="17"/>
        <v>218</v>
      </c>
      <c r="B223" s="122">
        <f t="shared" si="15"/>
        <v>72</v>
      </c>
      <c r="C223" s="399">
        <f t="shared" si="16"/>
        <v>0.70048021468046273</v>
      </c>
      <c r="D223" s="84">
        <v>0.70048021468046273</v>
      </c>
      <c r="E223" s="298">
        <v>-1</v>
      </c>
      <c r="F223" s="315">
        <v>-1</v>
      </c>
      <c r="G223" s="379">
        <v>0</v>
      </c>
      <c r="H223" s="380">
        <v>0</v>
      </c>
      <c r="I223" s="380">
        <v>-1</v>
      </c>
      <c r="J223" s="380">
        <v>0</v>
      </c>
      <c r="K223" s="380">
        <v>0</v>
      </c>
      <c r="L223" s="380">
        <v>0</v>
      </c>
      <c r="M223" s="380">
        <v>0</v>
      </c>
      <c r="N223" s="380">
        <v>0</v>
      </c>
      <c r="O223" s="303">
        <v>0</v>
      </c>
      <c r="P223" s="19">
        <v>0.10638297872340426</v>
      </c>
      <c r="Q223" s="1">
        <v>0.10638297872340426</v>
      </c>
      <c r="R223" s="1">
        <v>0</v>
      </c>
      <c r="S223" s="1">
        <v>0.19148936170212766</v>
      </c>
      <c r="T223" s="1">
        <v>0.10638297872340426</v>
      </c>
      <c r="U223" s="1">
        <v>0.1276595744680851</v>
      </c>
      <c r="V223" s="1">
        <v>0.10638297872340426</v>
      </c>
      <c r="W223" s="1">
        <v>0.1276595744680851</v>
      </c>
      <c r="X223" s="3">
        <v>0.1276595744680851</v>
      </c>
      <c r="Y223" s="2">
        <v>0</v>
      </c>
      <c r="Z223" s="315">
        <f t="shared" si="14"/>
        <v>1</v>
      </c>
    </row>
    <row r="224" spans="1:26">
      <c r="A224" s="124">
        <f t="shared" si="17"/>
        <v>219</v>
      </c>
      <c r="B224" s="122">
        <f t="shared" si="15"/>
        <v>61</v>
      </c>
      <c r="C224" s="399">
        <f t="shared" si="16"/>
        <v>0.75416488188937136</v>
      </c>
      <c r="D224" s="84">
        <v>0.75416488188937136</v>
      </c>
      <c r="E224" s="298">
        <v>1</v>
      </c>
      <c r="F224" s="315">
        <v>-1</v>
      </c>
      <c r="G224" s="379">
        <v>0</v>
      </c>
      <c r="H224" s="380">
        <v>0</v>
      </c>
      <c r="I224" s="380">
        <v>1</v>
      </c>
      <c r="J224" s="380">
        <v>0</v>
      </c>
      <c r="K224" s="380">
        <v>0</v>
      </c>
      <c r="L224" s="380">
        <v>-1</v>
      </c>
      <c r="M224" s="380">
        <v>0</v>
      </c>
      <c r="N224" s="380">
        <v>0</v>
      </c>
      <c r="O224" s="303">
        <v>0</v>
      </c>
      <c r="P224" s="19">
        <v>0.05</v>
      </c>
      <c r="Q224" s="1">
        <v>0.45</v>
      </c>
      <c r="R224" s="1">
        <v>0</v>
      </c>
      <c r="S224" s="1">
        <v>0.2</v>
      </c>
      <c r="T224" s="1">
        <v>0.05</v>
      </c>
      <c r="U224" s="1">
        <v>0</v>
      </c>
      <c r="V224" s="1">
        <v>0.05</v>
      </c>
      <c r="W224" s="1">
        <v>0.1</v>
      </c>
      <c r="X224" s="3">
        <v>0.1</v>
      </c>
      <c r="Y224" s="2">
        <v>0</v>
      </c>
      <c r="Z224" s="315">
        <f t="shared" si="14"/>
        <v>-1</v>
      </c>
    </row>
    <row r="225" spans="1:26">
      <c r="A225" s="124">
        <f t="shared" si="17"/>
        <v>220</v>
      </c>
      <c r="B225" s="122">
        <f t="shared" si="15"/>
        <v>215</v>
      </c>
      <c r="C225" s="399">
        <f t="shared" si="16"/>
        <v>0.15443455972803055</v>
      </c>
      <c r="D225" s="84">
        <v>0.15443455972803055</v>
      </c>
      <c r="E225" s="298">
        <v>-1</v>
      </c>
      <c r="F225" s="315">
        <v>-1</v>
      </c>
      <c r="G225" s="379">
        <v>0</v>
      </c>
      <c r="H225" s="380">
        <v>-1</v>
      </c>
      <c r="I225" s="380">
        <v>-1</v>
      </c>
      <c r="J225" s="380">
        <v>0</v>
      </c>
      <c r="K225" s="380">
        <v>0</v>
      </c>
      <c r="L225" s="380">
        <v>1</v>
      </c>
      <c r="M225" s="380">
        <v>0</v>
      </c>
      <c r="N225" s="380">
        <v>0</v>
      </c>
      <c r="O225" s="303">
        <v>0</v>
      </c>
      <c r="P225" s="19">
        <v>0.86111111111111116</v>
      </c>
      <c r="Q225" s="1">
        <v>0</v>
      </c>
      <c r="R225" s="1">
        <v>0</v>
      </c>
      <c r="S225" s="1">
        <v>2.7777777777777776E-2</v>
      </c>
      <c r="T225" s="1">
        <v>2.7777777777777776E-2</v>
      </c>
      <c r="U225" s="1">
        <v>0</v>
      </c>
      <c r="V225" s="1">
        <v>2.7777777777777776E-2</v>
      </c>
      <c r="W225" s="1">
        <v>2.7777777777777776E-2</v>
      </c>
      <c r="X225" s="3">
        <v>2.7777777777777776E-2</v>
      </c>
      <c r="Y225" s="2">
        <v>0</v>
      </c>
      <c r="Z225" s="315">
        <f t="shared" si="14"/>
        <v>1</v>
      </c>
    </row>
    <row r="226" spans="1:26">
      <c r="A226" s="124">
        <f t="shared" si="17"/>
        <v>221</v>
      </c>
      <c r="B226" s="122">
        <f t="shared" si="15"/>
        <v>156</v>
      </c>
      <c r="C226" s="399">
        <f t="shared" si="16"/>
        <v>0.38022208638170807</v>
      </c>
      <c r="D226" s="84">
        <v>0.38022208638170807</v>
      </c>
      <c r="E226" s="298">
        <v>1</v>
      </c>
      <c r="F226" s="315">
        <v>-1</v>
      </c>
      <c r="G226" s="379">
        <v>-1</v>
      </c>
      <c r="H226" s="380">
        <v>1</v>
      </c>
      <c r="I226" s="380">
        <v>1</v>
      </c>
      <c r="J226" s="380">
        <v>0</v>
      </c>
      <c r="K226" s="380">
        <v>0</v>
      </c>
      <c r="L226" s="380">
        <v>-1</v>
      </c>
      <c r="M226" s="380">
        <v>0</v>
      </c>
      <c r="N226" s="380">
        <v>0</v>
      </c>
      <c r="O226" s="303">
        <v>0</v>
      </c>
      <c r="P226" s="19">
        <v>0</v>
      </c>
      <c r="Q226" s="1">
        <v>0</v>
      </c>
      <c r="R226" s="1">
        <v>0</v>
      </c>
      <c r="S226" s="1">
        <v>0.11627906976744186</v>
      </c>
      <c r="T226" s="1">
        <v>0.44186046511627908</v>
      </c>
      <c r="U226" s="1">
        <v>0</v>
      </c>
      <c r="V226" s="1">
        <v>0.20930232558139536</v>
      </c>
      <c r="W226" s="1">
        <v>0.13953488372093023</v>
      </c>
      <c r="X226" s="3">
        <v>9.3023255813953487E-2</v>
      </c>
      <c r="Y226" s="2">
        <v>0</v>
      </c>
      <c r="Z226" s="315">
        <f t="shared" si="14"/>
        <v>-1</v>
      </c>
    </row>
    <row r="227" spans="1:26">
      <c r="A227" s="124">
        <f t="shared" si="17"/>
        <v>222</v>
      </c>
      <c r="B227" s="122">
        <f t="shared" si="15"/>
        <v>211</v>
      </c>
      <c r="C227" s="399">
        <f t="shared" si="16"/>
        <v>0.16551931417640742</v>
      </c>
      <c r="D227" s="84">
        <v>0.16551931417640742</v>
      </c>
      <c r="E227" s="298">
        <v>-1</v>
      </c>
      <c r="F227" s="315">
        <v>-1</v>
      </c>
      <c r="G227" s="379">
        <v>1</v>
      </c>
      <c r="H227" s="380">
        <v>-1</v>
      </c>
      <c r="I227" s="380">
        <v>-1</v>
      </c>
      <c r="J227" s="380">
        <v>0</v>
      </c>
      <c r="K227" s="380">
        <v>0</v>
      </c>
      <c r="L227" s="380">
        <v>1</v>
      </c>
      <c r="M227" s="380">
        <v>0</v>
      </c>
      <c r="N227" s="380">
        <v>-1</v>
      </c>
      <c r="O227" s="303">
        <v>0</v>
      </c>
      <c r="P227" s="19">
        <v>0</v>
      </c>
      <c r="Q227" s="1">
        <v>0</v>
      </c>
      <c r="R227" s="1">
        <v>0</v>
      </c>
      <c r="S227" s="1">
        <v>2.1739130434782608E-2</v>
      </c>
      <c r="T227" s="1">
        <v>0.80434782608695654</v>
      </c>
      <c r="U227" s="1">
        <v>0</v>
      </c>
      <c r="V227" s="1">
        <v>8.6956521739130432E-2</v>
      </c>
      <c r="W227" s="1">
        <v>0</v>
      </c>
      <c r="X227" s="3">
        <v>8.6956521739130432E-2</v>
      </c>
      <c r="Y227" s="2">
        <v>0</v>
      </c>
      <c r="Z227" s="315">
        <f t="shared" si="14"/>
        <v>1</v>
      </c>
    </row>
    <row r="228" spans="1:26">
      <c r="A228" s="124">
        <f t="shared" si="17"/>
        <v>223</v>
      </c>
      <c r="B228" s="122">
        <f t="shared" si="15"/>
        <v>253</v>
      </c>
      <c r="C228" s="399">
        <f t="shared" si="16"/>
        <v>1.3195852945296793E-2</v>
      </c>
      <c r="D228" s="84">
        <v>1.3195852945296793E-2</v>
      </c>
      <c r="E228" s="298">
        <v>1</v>
      </c>
      <c r="F228" s="315">
        <v>-1</v>
      </c>
      <c r="G228" s="379">
        <v>-1</v>
      </c>
      <c r="H228" s="380">
        <v>1</v>
      </c>
      <c r="I228" s="380">
        <v>1</v>
      </c>
      <c r="J228" s="380">
        <v>0</v>
      </c>
      <c r="K228" s="380">
        <v>-1</v>
      </c>
      <c r="L228" s="380">
        <v>-1</v>
      </c>
      <c r="M228" s="380">
        <v>0</v>
      </c>
      <c r="N228" s="380">
        <v>1</v>
      </c>
      <c r="O228" s="303">
        <v>0</v>
      </c>
      <c r="P228" s="19">
        <v>0</v>
      </c>
      <c r="Q228" s="1">
        <v>0</v>
      </c>
      <c r="R228" s="1">
        <v>0</v>
      </c>
      <c r="S228" s="1">
        <v>0.46153846153846156</v>
      </c>
      <c r="T228" s="1">
        <v>0</v>
      </c>
      <c r="U228" s="1">
        <v>0</v>
      </c>
      <c r="V228" s="1">
        <v>0.24615384615384617</v>
      </c>
      <c r="W228" s="1">
        <v>0</v>
      </c>
      <c r="X228" s="3">
        <v>0.29230769230769232</v>
      </c>
      <c r="Y228" s="2">
        <v>0</v>
      </c>
      <c r="Z228" s="315">
        <f t="shared" si="14"/>
        <v>-1</v>
      </c>
    </row>
    <row r="229" spans="1:26">
      <c r="A229" s="124">
        <f t="shared" si="17"/>
        <v>224</v>
      </c>
      <c r="B229" s="122">
        <f t="shared" si="15"/>
        <v>206</v>
      </c>
      <c r="C229" s="399">
        <f t="shared" si="16"/>
        <v>0.18827089302207745</v>
      </c>
      <c r="D229" s="84">
        <v>0.18827089302207745</v>
      </c>
      <c r="E229" s="298">
        <v>-1</v>
      </c>
      <c r="F229" s="315">
        <v>-1</v>
      </c>
      <c r="G229" s="379">
        <v>1</v>
      </c>
      <c r="H229" s="380">
        <v>-1</v>
      </c>
      <c r="I229" s="380">
        <v>-1</v>
      </c>
      <c r="J229" s="380">
        <v>-1</v>
      </c>
      <c r="K229" s="380">
        <v>1</v>
      </c>
      <c r="L229" s="380">
        <v>1</v>
      </c>
      <c r="M229" s="380">
        <v>0</v>
      </c>
      <c r="N229" s="380">
        <v>-1</v>
      </c>
      <c r="O229" s="303">
        <v>0</v>
      </c>
      <c r="P229" s="19">
        <v>0</v>
      </c>
      <c r="Q229" s="1">
        <v>0</v>
      </c>
      <c r="R229" s="1">
        <v>0</v>
      </c>
      <c r="S229" s="1">
        <v>0</v>
      </c>
      <c r="T229" s="1">
        <v>0</v>
      </c>
      <c r="U229" s="1">
        <v>0</v>
      </c>
      <c r="V229" s="1">
        <v>4.6875E-2</v>
      </c>
      <c r="W229" s="1">
        <v>0</v>
      </c>
      <c r="X229" s="3">
        <v>0.953125</v>
      </c>
      <c r="Y229" s="2">
        <v>0</v>
      </c>
      <c r="Z229" s="315">
        <f t="shared" si="14"/>
        <v>1</v>
      </c>
    </row>
    <row r="230" spans="1:26">
      <c r="A230" s="124">
        <f t="shared" si="17"/>
        <v>225</v>
      </c>
      <c r="B230" s="122">
        <f t="shared" si="15"/>
        <v>173</v>
      </c>
      <c r="C230" s="399">
        <f t="shared" si="16"/>
        <v>0.30535338218356445</v>
      </c>
      <c r="D230" s="84">
        <v>0.30535338218356445</v>
      </c>
      <c r="E230" s="298">
        <v>1</v>
      </c>
      <c r="F230" s="315">
        <v>1</v>
      </c>
      <c r="G230" s="379">
        <v>0</v>
      </c>
      <c r="H230" s="380">
        <v>0</v>
      </c>
      <c r="I230" s="380">
        <v>0</v>
      </c>
      <c r="J230" s="380">
        <v>0</v>
      </c>
      <c r="K230" s="380">
        <v>0</v>
      </c>
      <c r="L230" s="380">
        <v>0</v>
      </c>
      <c r="M230" s="380">
        <v>0</v>
      </c>
      <c r="N230" s="380">
        <v>0</v>
      </c>
      <c r="O230" s="303">
        <v>0</v>
      </c>
      <c r="P230" s="19">
        <v>4.2553191489361701E-2</v>
      </c>
      <c r="Q230" s="1">
        <v>8.5106382978723402E-2</v>
      </c>
      <c r="R230" s="1">
        <v>0.10638297872340426</v>
      </c>
      <c r="S230" s="1">
        <v>0.14893617021276595</v>
      </c>
      <c r="T230" s="1">
        <v>0.10638297872340426</v>
      </c>
      <c r="U230" s="1">
        <v>8.5106382978723402E-2</v>
      </c>
      <c r="V230" s="1">
        <v>8.5106382978723402E-2</v>
      </c>
      <c r="W230" s="1">
        <v>0.10638297872340426</v>
      </c>
      <c r="X230" s="3">
        <v>0.23404255319148937</v>
      </c>
      <c r="Y230" s="2">
        <v>0</v>
      </c>
      <c r="Z230" s="315">
        <f t="shared" si="14"/>
        <v>1</v>
      </c>
    </row>
    <row r="231" spans="1:26">
      <c r="A231" s="124">
        <f t="shared" si="17"/>
        <v>226</v>
      </c>
      <c r="B231" s="122">
        <f t="shared" si="15"/>
        <v>37</v>
      </c>
      <c r="C231" s="399">
        <f t="shared" si="16"/>
        <v>0.8323018448913948</v>
      </c>
      <c r="D231" s="84">
        <v>0.8323018448913948</v>
      </c>
      <c r="E231" s="298">
        <v>-1</v>
      </c>
      <c r="F231" s="315">
        <v>1</v>
      </c>
      <c r="G231" s="379">
        <v>0</v>
      </c>
      <c r="H231" s="380">
        <v>0</v>
      </c>
      <c r="I231" s="380">
        <v>0</v>
      </c>
      <c r="J231" s="380">
        <v>0</v>
      </c>
      <c r="K231" s="380">
        <v>0</v>
      </c>
      <c r="L231" s="380">
        <v>-1</v>
      </c>
      <c r="M231" s="380">
        <v>0</v>
      </c>
      <c r="N231" s="380">
        <v>0</v>
      </c>
      <c r="O231" s="303">
        <v>0</v>
      </c>
      <c r="P231" s="19">
        <v>0.10638297872340426</v>
      </c>
      <c r="Q231" s="1">
        <v>0.10638297872340426</v>
      </c>
      <c r="R231" s="1">
        <v>0.1276595744680851</v>
      </c>
      <c r="S231" s="1">
        <v>0.19148936170212766</v>
      </c>
      <c r="T231" s="1">
        <v>0.10638297872340426</v>
      </c>
      <c r="U231" s="1">
        <v>0</v>
      </c>
      <c r="V231" s="1">
        <v>0.10638297872340426</v>
      </c>
      <c r="W231" s="1">
        <v>0.1276595744680851</v>
      </c>
      <c r="X231" s="3">
        <v>0.1276595744680851</v>
      </c>
      <c r="Y231" s="2">
        <v>0</v>
      </c>
      <c r="Z231" s="315">
        <f t="shared" si="14"/>
        <v>-1</v>
      </c>
    </row>
    <row r="232" spans="1:26">
      <c r="A232" s="124">
        <f t="shared" si="17"/>
        <v>227</v>
      </c>
      <c r="B232" s="122">
        <f t="shared" si="15"/>
        <v>158</v>
      </c>
      <c r="C232" s="399">
        <f t="shared" si="16"/>
        <v>0.37582922867268342</v>
      </c>
      <c r="D232" s="84">
        <v>0.37582922867268342</v>
      </c>
      <c r="E232" s="298">
        <v>1</v>
      </c>
      <c r="F232" s="315">
        <v>1</v>
      </c>
      <c r="G232" s="379">
        <v>0</v>
      </c>
      <c r="H232" s="380">
        <v>0</v>
      </c>
      <c r="I232" s="380">
        <v>0</v>
      </c>
      <c r="J232" s="380">
        <v>0</v>
      </c>
      <c r="K232" s="380">
        <v>0</v>
      </c>
      <c r="L232" s="380">
        <v>1</v>
      </c>
      <c r="M232" s="380">
        <v>0</v>
      </c>
      <c r="N232" s="380">
        <v>0</v>
      </c>
      <c r="O232" s="303">
        <v>-1</v>
      </c>
      <c r="P232" s="19">
        <v>0.13043478260869565</v>
      </c>
      <c r="Q232" s="1">
        <v>0.15217391304347827</v>
      </c>
      <c r="R232" s="1">
        <v>0.17391304347826086</v>
      </c>
      <c r="S232" s="1">
        <v>0.15217391304347827</v>
      </c>
      <c r="T232" s="1">
        <v>0.10869565217391304</v>
      </c>
      <c r="U232" s="1">
        <v>0</v>
      </c>
      <c r="V232" s="1">
        <v>0.15217391304347827</v>
      </c>
      <c r="W232" s="1">
        <v>0.13043478260869565</v>
      </c>
      <c r="X232" s="3">
        <v>0</v>
      </c>
      <c r="Y232" s="2">
        <v>0</v>
      </c>
      <c r="Z232" s="315">
        <f t="shared" ref="Z232:Z257" si="18">F232*E232</f>
        <v>1</v>
      </c>
    </row>
    <row r="233" spans="1:26">
      <c r="A233" s="124">
        <f t="shared" si="17"/>
        <v>228</v>
      </c>
      <c r="B233" s="122">
        <f t="shared" si="15"/>
        <v>131</v>
      </c>
      <c r="C233" s="399">
        <f t="shared" si="16"/>
        <v>0.4933160077462353</v>
      </c>
      <c r="D233" s="84">
        <v>0.4933160077462353</v>
      </c>
      <c r="E233" s="298">
        <v>-1</v>
      </c>
      <c r="F233" s="315">
        <v>1</v>
      </c>
      <c r="G233" s="379">
        <v>0</v>
      </c>
      <c r="H233" s="380">
        <v>0</v>
      </c>
      <c r="I233" s="380">
        <v>0</v>
      </c>
      <c r="J233" s="380">
        <v>0</v>
      </c>
      <c r="K233" s="380">
        <v>0</v>
      </c>
      <c r="L233" s="380">
        <v>-1</v>
      </c>
      <c r="M233" s="380">
        <v>0</v>
      </c>
      <c r="N233" s="380">
        <v>-1</v>
      </c>
      <c r="O233" s="303">
        <v>1</v>
      </c>
      <c r="P233" s="19">
        <v>0.12195121951219512</v>
      </c>
      <c r="Q233" s="1">
        <v>0.12195121951219512</v>
      </c>
      <c r="R233" s="1">
        <v>0.12195121951219512</v>
      </c>
      <c r="S233" s="1">
        <v>0.14634146341463414</v>
      </c>
      <c r="T233" s="1">
        <v>0.36585365853658536</v>
      </c>
      <c r="U233" s="1">
        <v>0</v>
      </c>
      <c r="V233" s="1">
        <v>0.12195121951219512</v>
      </c>
      <c r="W233" s="1">
        <v>0</v>
      </c>
      <c r="X233" s="3">
        <v>0</v>
      </c>
      <c r="Y233" s="2">
        <v>0</v>
      </c>
      <c r="Z233" s="315">
        <f t="shared" si="18"/>
        <v>-1</v>
      </c>
    </row>
    <row r="234" spans="1:26">
      <c r="A234" s="124">
        <f t="shared" si="17"/>
        <v>229</v>
      </c>
      <c r="B234" s="122">
        <f t="shared" si="15"/>
        <v>138</v>
      </c>
      <c r="C234" s="399">
        <f t="shared" si="16"/>
        <v>0.48106056923245955</v>
      </c>
      <c r="D234" s="84">
        <v>0.48106056923245955</v>
      </c>
      <c r="E234" s="298">
        <v>1</v>
      </c>
      <c r="F234" s="315">
        <v>1</v>
      </c>
      <c r="G234" s="379">
        <v>-1</v>
      </c>
      <c r="H234" s="380">
        <v>0</v>
      </c>
      <c r="I234" s="380">
        <v>0</v>
      </c>
      <c r="J234" s="380">
        <v>0</v>
      </c>
      <c r="K234" s="380">
        <v>0</v>
      </c>
      <c r="L234" s="380">
        <v>1</v>
      </c>
      <c r="M234" s="380">
        <v>0</v>
      </c>
      <c r="N234" s="380">
        <v>1</v>
      </c>
      <c r="O234" s="303">
        <v>-1</v>
      </c>
      <c r="P234" s="19">
        <v>0</v>
      </c>
      <c r="Q234" s="1">
        <v>8.6956521739130432E-2</v>
      </c>
      <c r="R234" s="1">
        <v>8.6956521739130432E-2</v>
      </c>
      <c r="S234" s="1">
        <v>0.10869565217391304</v>
      </c>
      <c r="T234" s="1">
        <v>0.65217391304347827</v>
      </c>
      <c r="U234" s="1">
        <v>0</v>
      </c>
      <c r="V234" s="1">
        <v>6.5217391304347824E-2</v>
      </c>
      <c r="W234" s="1">
        <v>0</v>
      </c>
      <c r="X234" s="3">
        <v>0</v>
      </c>
      <c r="Y234" s="2">
        <v>0</v>
      </c>
      <c r="Z234" s="315">
        <f t="shared" si="18"/>
        <v>1</v>
      </c>
    </row>
    <row r="235" spans="1:26">
      <c r="A235" s="124">
        <f t="shared" si="17"/>
        <v>230</v>
      </c>
      <c r="B235" s="122">
        <f t="shared" si="15"/>
        <v>255</v>
      </c>
      <c r="C235" s="399">
        <f t="shared" si="16"/>
        <v>7.4611200351352158E-3</v>
      </c>
      <c r="D235" s="84">
        <v>7.4611200351352158E-3</v>
      </c>
      <c r="E235" s="298">
        <v>-1</v>
      </c>
      <c r="F235" s="315">
        <v>1</v>
      </c>
      <c r="G235" s="379">
        <v>1</v>
      </c>
      <c r="H235" s="380">
        <v>0</v>
      </c>
      <c r="I235" s="380">
        <v>0</v>
      </c>
      <c r="J235" s="380">
        <v>0</v>
      </c>
      <c r="K235" s="380">
        <v>-1</v>
      </c>
      <c r="L235" s="380">
        <v>-1</v>
      </c>
      <c r="M235" s="380">
        <v>0</v>
      </c>
      <c r="N235" s="380">
        <v>-1</v>
      </c>
      <c r="O235" s="303">
        <v>1</v>
      </c>
      <c r="P235" s="19">
        <v>0</v>
      </c>
      <c r="Q235" s="1">
        <v>0.49230769230769234</v>
      </c>
      <c r="R235" s="1">
        <v>0.16923076923076924</v>
      </c>
      <c r="S235" s="1">
        <v>0.16923076923076924</v>
      </c>
      <c r="T235" s="1">
        <v>0</v>
      </c>
      <c r="U235" s="1">
        <v>0</v>
      </c>
      <c r="V235" s="1">
        <v>0.16923076923076924</v>
      </c>
      <c r="W235" s="1">
        <v>0</v>
      </c>
      <c r="X235" s="3">
        <v>0</v>
      </c>
      <c r="Y235" s="2">
        <v>0</v>
      </c>
      <c r="Z235" s="315">
        <f t="shared" si="18"/>
        <v>-1</v>
      </c>
    </row>
    <row r="236" spans="1:26">
      <c r="A236" s="124">
        <f t="shared" si="17"/>
        <v>231</v>
      </c>
      <c r="B236" s="122">
        <f t="shared" si="15"/>
        <v>191</v>
      </c>
      <c r="C236" s="399">
        <f t="shared" si="16"/>
        <v>0.24019821834849231</v>
      </c>
      <c r="D236" s="84">
        <v>0.24019821834849231</v>
      </c>
      <c r="E236" s="298">
        <v>1</v>
      </c>
      <c r="F236" s="315">
        <v>1</v>
      </c>
      <c r="G236" s="379">
        <v>-1</v>
      </c>
      <c r="H236" s="380">
        <v>0</v>
      </c>
      <c r="I236" s="380">
        <v>0</v>
      </c>
      <c r="J236" s="380">
        <v>-1</v>
      </c>
      <c r="K236" s="380">
        <v>1</v>
      </c>
      <c r="L236" s="380">
        <v>1</v>
      </c>
      <c r="M236" s="380">
        <v>0</v>
      </c>
      <c r="N236" s="380">
        <v>1</v>
      </c>
      <c r="O236" s="303">
        <v>-1</v>
      </c>
      <c r="P236" s="19">
        <v>0</v>
      </c>
      <c r="Q236" s="1">
        <v>0.62820512820512819</v>
      </c>
      <c r="R236" s="1">
        <v>3.8461538461538464E-2</v>
      </c>
      <c r="S236" s="1">
        <v>0</v>
      </c>
      <c r="T236" s="1">
        <v>0</v>
      </c>
      <c r="U236" s="1">
        <v>0</v>
      </c>
      <c r="V236" s="1">
        <v>0.33333333333333331</v>
      </c>
      <c r="W236" s="1">
        <v>0</v>
      </c>
      <c r="X236" s="3">
        <v>0</v>
      </c>
      <c r="Y236" s="2">
        <v>0</v>
      </c>
      <c r="Z236" s="315">
        <f t="shared" si="18"/>
        <v>1</v>
      </c>
    </row>
    <row r="237" spans="1:26">
      <c r="A237" s="124">
        <f t="shared" si="17"/>
        <v>232</v>
      </c>
      <c r="B237" s="122">
        <f t="shared" si="15"/>
        <v>119</v>
      </c>
      <c r="C237" s="399">
        <f t="shared" si="16"/>
        <v>0.53283229892826944</v>
      </c>
      <c r="D237" s="84">
        <v>0.53283229892826944</v>
      </c>
      <c r="E237" s="298">
        <v>-1</v>
      </c>
      <c r="F237" s="315">
        <v>1</v>
      </c>
      <c r="G237" s="379">
        <v>1</v>
      </c>
      <c r="H237" s="380">
        <v>0</v>
      </c>
      <c r="I237" s="380">
        <v>0</v>
      </c>
      <c r="J237" s="380">
        <v>1</v>
      </c>
      <c r="K237" s="380">
        <v>-1</v>
      </c>
      <c r="L237" s="380">
        <v>-1</v>
      </c>
      <c r="M237" s="380">
        <v>-1</v>
      </c>
      <c r="N237" s="380">
        <v>-1</v>
      </c>
      <c r="O237" s="303">
        <v>1</v>
      </c>
      <c r="P237" s="19">
        <v>0</v>
      </c>
      <c r="Q237" s="1">
        <v>0.46268656716417911</v>
      </c>
      <c r="R237" s="1">
        <v>0.53731343283582089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3">
        <v>0</v>
      </c>
      <c r="Y237" s="2">
        <v>0</v>
      </c>
      <c r="Z237" s="315">
        <f t="shared" si="18"/>
        <v>-1</v>
      </c>
    </row>
    <row r="238" spans="1:26">
      <c r="A238" s="124">
        <f t="shared" si="17"/>
        <v>233</v>
      </c>
      <c r="B238" s="122">
        <f t="shared" si="15"/>
        <v>5</v>
      </c>
      <c r="C238" s="399">
        <f t="shared" si="16"/>
        <v>0.96674091896539194</v>
      </c>
      <c r="D238" s="84">
        <v>0.96674091896539194</v>
      </c>
      <c r="E238" s="298">
        <v>1</v>
      </c>
      <c r="F238" s="315">
        <v>1</v>
      </c>
      <c r="G238" s="379">
        <v>-1</v>
      </c>
      <c r="H238" s="380">
        <v>0</v>
      </c>
      <c r="I238" s="380">
        <v>-1</v>
      </c>
      <c r="J238" s="380">
        <v>-1</v>
      </c>
      <c r="K238" s="380">
        <v>1</v>
      </c>
      <c r="L238" s="380">
        <v>1</v>
      </c>
      <c r="M238" s="380">
        <v>1</v>
      </c>
      <c r="N238" s="380">
        <v>1</v>
      </c>
      <c r="O238" s="303">
        <v>-1</v>
      </c>
      <c r="P238" s="19">
        <v>0</v>
      </c>
      <c r="Q238" s="1">
        <v>1</v>
      </c>
      <c r="R238" s="1">
        <v>0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3">
        <v>0</v>
      </c>
      <c r="Y238" s="2">
        <v>0</v>
      </c>
      <c r="Z238" s="315">
        <f t="shared" si="18"/>
        <v>1</v>
      </c>
    </row>
    <row r="239" spans="1:26">
      <c r="A239" s="124">
        <f t="shared" si="17"/>
        <v>234</v>
      </c>
      <c r="B239" s="122">
        <f t="shared" si="15"/>
        <v>86</v>
      </c>
      <c r="C239" s="399">
        <f t="shared" si="16"/>
        <v>0.64908893041578664</v>
      </c>
      <c r="D239" s="84">
        <v>0.64908893041578664</v>
      </c>
      <c r="E239" s="298">
        <v>1</v>
      </c>
      <c r="F239" s="315">
        <v>1</v>
      </c>
      <c r="G239" s="379">
        <v>0</v>
      </c>
      <c r="H239" s="380">
        <v>0</v>
      </c>
      <c r="I239" s="380">
        <v>0</v>
      </c>
      <c r="J239" s="380">
        <v>0</v>
      </c>
      <c r="K239" s="380">
        <v>0</v>
      </c>
      <c r="L239" s="380">
        <v>0</v>
      </c>
      <c r="M239" s="380">
        <v>0</v>
      </c>
      <c r="N239" s="380">
        <v>0</v>
      </c>
      <c r="O239" s="303">
        <v>0</v>
      </c>
      <c r="P239" s="19">
        <v>8.5106382978723402E-2</v>
      </c>
      <c r="Q239" s="1">
        <v>8.5106382978723402E-2</v>
      </c>
      <c r="R239" s="1">
        <v>0.14893617021276595</v>
      </c>
      <c r="S239" s="1">
        <v>0.10638297872340426</v>
      </c>
      <c r="T239" s="1">
        <v>8.5106382978723402E-2</v>
      </c>
      <c r="U239" s="1">
        <v>0.10638297872340426</v>
      </c>
      <c r="V239" s="1">
        <v>8.5106382978723402E-2</v>
      </c>
      <c r="W239" s="1">
        <v>8.5106382978723402E-2</v>
      </c>
      <c r="X239" s="3">
        <v>0.21276595744680851</v>
      </c>
      <c r="Y239" s="2">
        <v>0</v>
      </c>
      <c r="Z239" s="315">
        <f t="shared" si="18"/>
        <v>1</v>
      </c>
    </row>
    <row r="240" spans="1:26">
      <c r="A240" s="124">
        <f t="shared" si="17"/>
        <v>235</v>
      </c>
      <c r="B240" s="122">
        <f t="shared" si="15"/>
        <v>169</v>
      </c>
      <c r="C240" s="399">
        <f t="shared" si="16"/>
        <v>0.31434048465897302</v>
      </c>
      <c r="D240" s="84">
        <v>0.31434048465897302</v>
      </c>
      <c r="E240" s="298">
        <v>-1</v>
      </c>
      <c r="F240" s="315">
        <v>1</v>
      </c>
      <c r="G240" s="379">
        <v>0</v>
      </c>
      <c r="H240" s="380">
        <v>0</v>
      </c>
      <c r="I240" s="380">
        <v>0</v>
      </c>
      <c r="J240" s="380">
        <v>0</v>
      </c>
      <c r="K240" s="380">
        <v>0</v>
      </c>
      <c r="L240" s="380">
        <v>0</v>
      </c>
      <c r="M240" s="380">
        <v>0</v>
      </c>
      <c r="N240" s="380">
        <v>0</v>
      </c>
      <c r="O240" s="303">
        <v>-1</v>
      </c>
      <c r="P240" s="19">
        <v>0.1276595744680851</v>
      </c>
      <c r="Q240" s="1">
        <v>0.10638297872340426</v>
      </c>
      <c r="R240" s="1">
        <v>0.1276595744680851</v>
      </c>
      <c r="S240" s="1">
        <v>0.19148936170212766</v>
      </c>
      <c r="T240" s="1">
        <v>0.10638297872340426</v>
      </c>
      <c r="U240" s="1">
        <v>0.1276595744680851</v>
      </c>
      <c r="V240" s="1">
        <v>0.10638297872340426</v>
      </c>
      <c r="W240" s="1">
        <v>0.10638297872340426</v>
      </c>
      <c r="X240" s="3">
        <v>0</v>
      </c>
      <c r="Y240" s="2">
        <v>0</v>
      </c>
      <c r="Z240" s="315">
        <f t="shared" si="18"/>
        <v>-1</v>
      </c>
    </row>
    <row r="241" spans="1:26">
      <c r="A241" s="124">
        <f t="shared" si="17"/>
        <v>236</v>
      </c>
      <c r="B241" s="122">
        <f t="shared" si="15"/>
        <v>207</v>
      </c>
      <c r="C241" s="399">
        <f t="shared" si="16"/>
        <v>0.18687493525887788</v>
      </c>
      <c r="D241" s="84">
        <v>0.18687493525887788</v>
      </c>
      <c r="E241" s="298">
        <v>1</v>
      </c>
      <c r="F241" s="315">
        <v>1</v>
      </c>
      <c r="G241" s="379">
        <v>0</v>
      </c>
      <c r="H241" s="380">
        <v>0</v>
      </c>
      <c r="I241" s="380">
        <v>0</v>
      </c>
      <c r="J241" s="380">
        <v>-1</v>
      </c>
      <c r="K241" s="380">
        <v>0</v>
      </c>
      <c r="L241" s="380">
        <v>0</v>
      </c>
      <c r="M241" s="380">
        <v>0</v>
      </c>
      <c r="N241" s="380">
        <v>0</v>
      </c>
      <c r="O241" s="303">
        <v>1</v>
      </c>
      <c r="P241" s="19">
        <v>9.3023255813953487E-2</v>
      </c>
      <c r="Q241" s="1">
        <v>9.3023255813953487E-2</v>
      </c>
      <c r="R241" s="1">
        <v>9.3023255813953487E-2</v>
      </c>
      <c r="S241" s="1">
        <v>0</v>
      </c>
      <c r="T241" s="1">
        <v>0.34883720930232559</v>
      </c>
      <c r="U241" s="1">
        <v>9.3023255813953487E-2</v>
      </c>
      <c r="V241" s="1">
        <v>9.3023255813953487E-2</v>
      </c>
      <c r="W241" s="1">
        <v>0.18604651162790697</v>
      </c>
      <c r="X241" s="3">
        <v>0</v>
      </c>
      <c r="Y241" s="2">
        <v>0</v>
      </c>
      <c r="Z241" s="315">
        <f t="shared" si="18"/>
        <v>1</v>
      </c>
    </row>
    <row r="242" spans="1:26">
      <c r="A242" s="124">
        <f t="shared" si="17"/>
        <v>237</v>
      </c>
      <c r="B242" s="122">
        <f t="shared" si="15"/>
        <v>76</v>
      </c>
      <c r="C242" s="399">
        <f t="shared" si="16"/>
        <v>0.69077616862757585</v>
      </c>
      <c r="D242" s="84">
        <v>0.69077616862757585</v>
      </c>
      <c r="E242" s="298">
        <v>-1</v>
      </c>
      <c r="F242" s="315">
        <v>1</v>
      </c>
      <c r="G242" s="379">
        <v>0</v>
      </c>
      <c r="H242" s="380">
        <v>0</v>
      </c>
      <c r="I242" s="380">
        <v>0</v>
      </c>
      <c r="J242" s="380">
        <v>1</v>
      </c>
      <c r="K242" s="380">
        <v>0</v>
      </c>
      <c r="L242" s="380">
        <v>0</v>
      </c>
      <c r="M242" s="380">
        <v>-1</v>
      </c>
      <c r="N242" s="380">
        <v>0</v>
      </c>
      <c r="O242" s="303">
        <v>-1</v>
      </c>
      <c r="P242" s="19">
        <v>0.11363636363636363</v>
      </c>
      <c r="Q242" s="1">
        <v>0.11363636363636363</v>
      </c>
      <c r="R242" s="1">
        <v>9.0909090909090912E-2</v>
      </c>
      <c r="S242" s="1">
        <v>0</v>
      </c>
      <c r="T242" s="1">
        <v>0.11363636363636363</v>
      </c>
      <c r="U242" s="1">
        <v>0.11363636363636363</v>
      </c>
      <c r="V242" s="1">
        <v>0</v>
      </c>
      <c r="W242" s="1">
        <v>0.45454545454545453</v>
      </c>
      <c r="X242" s="3">
        <v>0</v>
      </c>
      <c r="Y242" s="2">
        <v>0</v>
      </c>
      <c r="Z242" s="315">
        <f t="shared" si="18"/>
        <v>-1</v>
      </c>
    </row>
    <row r="243" spans="1:26">
      <c r="A243" s="124">
        <f t="shared" si="17"/>
        <v>238</v>
      </c>
      <c r="B243" s="122">
        <f t="shared" si="15"/>
        <v>236</v>
      </c>
      <c r="C243" s="399">
        <f t="shared" si="16"/>
        <v>7.868683147015898E-2</v>
      </c>
      <c r="D243" s="84">
        <v>7.868683147015898E-2</v>
      </c>
      <c r="E243" s="298">
        <v>1</v>
      </c>
      <c r="F243" s="315">
        <v>1</v>
      </c>
      <c r="G243" s="379">
        <v>-1</v>
      </c>
      <c r="H243" s="380">
        <v>0</v>
      </c>
      <c r="I243" s="380">
        <v>0</v>
      </c>
      <c r="J243" s="380">
        <v>-1</v>
      </c>
      <c r="K243" s="380">
        <v>0</v>
      </c>
      <c r="L243" s="380">
        <v>0</v>
      </c>
      <c r="M243" s="380">
        <v>1</v>
      </c>
      <c r="N243" s="380">
        <v>0</v>
      </c>
      <c r="O243" s="303">
        <v>1</v>
      </c>
      <c r="P243" s="19">
        <v>0</v>
      </c>
      <c r="Q243" s="1">
        <v>8.4745762711864406E-3</v>
      </c>
      <c r="R243" s="1">
        <v>2.5423728813559324E-2</v>
      </c>
      <c r="S243" s="1">
        <v>0</v>
      </c>
      <c r="T243" s="1">
        <v>2.5423728813559324E-2</v>
      </c>
      <c r="U243" s="1">
        <v>2.5423728813559324E-2</v>
      </c>
      <c r="V243" s="1">
        <v>0</v>
      </c>
      <c r="W243" s="1">
        <v>0.9152542372881356</v>
      </c>
      <c r="X243" s="3">
        <v>0</v>
      </c>
      <c r="Y243" s="2">
        <v>0</v>
      </c>
      <c r="Z243" s="315">
        <f t="shared" si="18"/>
        <v>1</v>
      </c>
    </row>
    <row r="244" spans="1:26">
      <c r="A244" s="124">
        <f t="shared" si="17"/>
        <v>239</v>
      </c>
      <c r="B244" s="122">
        <f t="shared" si="15"/>
        <v>187</v>
      </c>
      <c r="C244" s="399">
        <f t="shared" si="16"/>
        <v>0.26177550258128024</v>
      </c>
      <c r="D244" s="84">
        <v>0.26177550258128024</v>
      </c>
      <c r="E244" s="298">
        <v>1</v>
      </c>
      <c r="F244" s="315">
        <v>0</v>
      </c>
      <c r="G244" s="379">
        <v>0</v>
      </c>
      <c r="H244" s="380">
        <v>0</v>
      </c>
      <c r="I244" s="380">
        <v>0</v>
      </c>
      <c r="J244" s="380">
        <v>0</v>
      </c>
      <c r="K244" s="380">
        <v>0</v>
      </c>
      <c r="L244" s="380">
        <v>0</v>
      </c>
      <c r="M244" s="380">
        <v>0</v>
      </c>
      <c r="N244" s="380">
        <v>0</v>
      </c>
      <c r="O244" s="303">
        <v>0</v>
      </c>
      <c r="P244" s="19">
        <v>0.1276595744680851</v>
      </c>
      <c r="Q244" s="1">
        <v>6.3829787234042548E-2</v>
      </c>
      <c r="R244" s="1">
        <v>0.23404255319148937</v>
      </c>
      <c r="S244" s="1">
        <v>0.14893617021276595</v>
      </c>
      <c r="T244" s="1">
        <v>6.3829787234042548E-2</v>
      </c>
      <c r="U244" s="1">
        <v>6.3829787234042548E-2</v>
      </c>
      <c r="V244" s="1">
        <v>8.5106382978723402E-2</v>
      </c>
      <c r="W244" s="1">
        <v>0.10638297872340426</v>
      </c>
      <c r="X244" s="3">
        <v>0.10638297872340426</v>
      </c>
      <c r="Y244" s="2">
        <v>0</v>
      </c>
      <c r="Z244" s="315">
        <f t="shared" si="18"/>
        <v>0</v>
      </c>
    </row>
    <row r="245" spans="1:26">
      <c r="A245" s="124">
        <f t="shared" si="17"/>
        <v>240</v>
      </c>
      <c r="B245" s="122">
        <f t="shared" si="15"/>
        <v>122</v>
      </c>
      <c r="C245" s="399">
        <f t="shared" si="16"/>
        <v>0.52220555920833678</v>
      </c>
      <c r="D245" s="84">
        <v>0.52220555920833678</v>
      </c>
      <c r="E245" s="298">
        <v>-1</v>
      </c>
      <c r="F245" s="315">
        <v>0</v>
      </c>
      <c r="G245" s="379">
        <v>0</v>
      </c>
      <c r="H245" s="380">
        <v>0</v>
      </c>
      <c r="I245" s="380">
        <v>-1</v>
      </c>
      <c r="J245" s="380">
        <v>0</v>
      </c>
      <c r="K245" s="380">
        <v>0</v>
      </c>
      <c r="L245" s="380">
        <v>0</v>
      </c>
      <c r="M245" s="380">
        <v>0</v>
      </c>
      <c r="N245" s="380">
        <v>0</v>
      </c>
      <c r="O245" s="303">
        <v>0</v>
      </c>
      <c r="P245" s="19">
        <v>0.1276595744680851</v>
      </c>
      <c r="Q245" s="1">
        <v>0.1276595744680851</v>
      </c>
      <c r="R245" s="1">
        <v>0</v>
      </c>
      <c r="S245" s="1">
        <v>0.10638297872340426</v>
      </c>
      <c r="T245" s="1">
        <v>0.10638297872340426</v>
      </c>
      <c r="U245" s="1">
        <v>0.10638297872340426</v>
      </c>
      <c r="V245" s="1">
        <v>0.10638297872340426</v>
      </c>
      <c r="W245" s="1">
        <v>0.19148936170212766</v>
      </c>
      <c r="X245" s="3">
        <v>0.1276595744680851</v>
      </c>
      <c r="Y245" s="2">
        <v>0</v>
      </c>
      <c r="Z245" s="315">
        <f t="shared" si="18"/>
        <v>0</v>
      </c>
    </row>
    <row r="246" spans="1:26">
      <c r="A246" s="124">
        <f t="shared" si="17"/>
        <v>241</v>
      </c>
      <c r="B246" s="122">
        <f t="shared" si="15"/>
        <v>213</v>
      </c>
      <c r="C246" s="399">
        <f t="shared" si="16"/>
        <v>0.1607414729931459</v>
      </c>
      <c r="D246" s="84">
        <v>0.1607414729931459</v>
      </c>
      <c r="E246" s="298">
        <v>1</v>
      </c>
      <c r="F246" s="315">
        <v>0</v>
      </c>
      <c r="G246" s="379">
        <v>0</v>
      </c>
      <c r="H246" s="380">
        <v>0</v>
      </c>
      <c r="I246" s="380">
        <v>1</v>
      </c>
      <c r="J246" s="380">
        <v>0</v>
      </c>
      <c r="K246" s="380">
        <v>-1</v>
      </c>
      <c r="L246" s="380">
        <v>0</v>
      </c>
      <c r="M246" s="380">
        <v>0</v>
      </c>
      <c r="N246" s="380">
        <v>0</v>
      </c>
      <c r="O246" s="303">
        <v>0</v>
      </c>
      <c r="P246" s="19">
        <v>0.21428571428571427</v>
      </c>
      <c r="Q246" s="1">
        <v>0.40476190476190477</v>
      </c>
      <c r="R246" s="1">
        <v>0</v>
      </c>
      <c r="S246" s="1">
        <v>7.1428571428571425E-2</v>
      </c>
      <c r="T246" s="1">
        <v>0</v>
      </c>
      <c r="U246" s="1">
        <v>7.1428571428571425E-2</v>
      </c>
      <c r="V246" s="1">
        <v>4.7619047619047616E-2</v>
      </c>
      <c r="W246" s="1">
        <v>4.7619047619047616E-2</v>
      </c>
      <c r="X246" s="3">
        <v>0.14285714285714285</v>
      </c>
      <c r="Y246" s="2">
        <v>0</v>
      </c>
      <c r="Z246" s="315">
        <f t="shared" si="18"/>
        <v>0</v>
      </c>
    </row>
    <row r="247" spans="1:26">
      <c r="A247" s="124">
        <f t="shared" si="17"/>
        <v>242</v>
      </c>
      <c r="B247" s="122">
        <f t="shared" si="15"/>
        <v>0</v>
      </c>
      <c r="C247" s="399">
        <f t="shared" si="16"/>
        <v>0.9972404874666041</v>
      </c>
      <c r="D247" s="84">
        <v>0.9972404874666041</v>
      </c>
      <c r="E247" s="298">
        <v>-1</v>
      </c>
      <c r="F247" s="315">
        <v>0</v>
      </c>
      <c r="G247" s="379">
        <v>0</v>
      </c>
      <c r="H247" s="380">
        <v>0</v>
      </c>
      <c r="I247" s="380">
        <v>-1</v>
      </c>
      <c r="J247" s="380">
        <v>0</v>
      </c>
      <c r="K247" s="380">
        <v>1</v>
      </c>
      <c r="L247" s="380">
        <v>0</v>
      </c>
      <c r="M247" s="380">
        <v>0</v>
      </c>
      <c r="N247" s="380">
        <v>0</v>
      </c>
      <c r="O247" s="303">
        <v>-1</v>
      </c>
      <c r="P247" s="19">
        <v>0.11363636363636363</v>
      </c>
      <c r="Q247" s="1">
        <v>0.11363636363636363</v>
      </c>
      <c r="R247" s="1">
        <v>0</v>
      </c>
      <c r="S247" s="1">
        <v>9.0909090909090912E-2</v>
      </c>
      <c r="T247" s="1">
        <v>0</v>
      </c>
      <c r="U247" s="1">
        <v>0.45454545454545453</v>
      </c>
      <c r="V247" s="1">
        <v>0.11363636363636363</v>
      </c>
      <c r="W247" s="1">
        <v>0.11363636363636363</v>
      </c>
      <c r="X247" s="3">
        <v>0</v>
      </c>
      <c r="Y247" s="2">
        <v>0</v>
      </c>
      <c r="Z247" s="315">
        <f t="shared" si="18"/>
        <v>0</v>
      </c>
    </row>
    <row r="248" spans="1:26">
      <c r="A248" s="124">
        <f t="shared" si="17"/>
        <v>243</v>
      </c>
      <c r="B248" s="122">
        <f t="shared" si="15"/>
        <v>71</v>
      </c>
      <c r="C248" s="399">
        <f t="shared" si="16"/>
        <v>0.70050835923779375</v>
      </c>
      <c r="D248" s="84">
        <v>0.70050835923779375</v>
      </c>
      <c r="E248" s="298">
        <v>1</v>
      </c>
      <c r="F248" s="315">
        <v>0</v>
      </c>
      <c r="G248" s="379">
        <v>0</v>
      </c>
      <c r="H248" s="380">
        <v>0</v>
      </c>
      <c r="I248" s="380">
        <v>1</v>
      </c>
      <c r="J248" s="380">
        <v>0</v>
      </c>
      <c r="K248" s="380">
        <v>-1</v>
      </c>
      <c r="L248" s="380">
        <v>-1</v>
      </c>
      <c r="M248" s="380">
        <v>0</v>
      </c>
      <c r="N248" s="380">
        <v>0</v>
      </c>
      <c r="O248" s="303">
        <v>1</v>
      </c>
      <c r="P248" s="19">
        <v>8.1081081081081086E-2</v>
      </c>
      <c r="Q248" s="1">
        <v>8.1081081081081086E-2</v>
      </c>
      <c r="R248" s="1">
        <v>0</v>
      </c>
      <c r="S248" s="1">
        <v>0.67567567567567566</v>
      </c>
      <c r="T248" s="1">
        <v>0</v>
      </c>
      <c r="U248" s="1">
        <v>0</v>
      </c>
      <c r="V248" s="1">
        <v>8.1081081081081086E-2</v>
      </c>
      <c r="W248" s="1">
        <v>8.1081081081081086E-2</v>
      </c>
      <c r="X248" s="3">
        <v>0</v>
      </c>
      <c r="Y248" s="2">
        <v>0</v>
      </c>
      <c r="Z248" s="315">
        <f t="shared" si="18"/>
        <v>0</v>
      </c>
    </row>
    <row r="249" spans="1:26">
      <c r="A249" s="124">
        <f t="shared" si="17"/>
        <v>244</v>
      </c>
      <c r="B249" s="122">
        <f t="shared" si="15"/>
        <v>126</v>
      </c>
      <c r="C249" s="399">
        <f t="shared" si="16"/>
        <v>0.51031073490272549</v>
      </c>
      <c r="D249" s="84">
        <v>0.51031073490272549</v>
      </c>
      <c r="E249" s="298">
        <v>-1</v>
      </c>
      <c r="F249" s="315">
        <v>0</v>
      </c>
      <c r="G249" s="379">
        <v>0</v>
      </c>
      <c r="H249" s="380">
        <v>0</v>
      </c>
      <c r="I249" s="380">
        <v>-1</v>
      </c>
      <c r="J249" s="380">
        <v>-1</v>
      </c>
      <c r="K249" s="380">
        <v>1</v>
      </c>
      <c r="L249" s="380">
        <v>1</v>
      </c>
      <c r="M249" s="380">
        <v>0</v>
      </c>
      <c r="N249" s="380">
        <v>0</v>
      </c>
      <c r="O249" s="303">
        <v>-1</v>
      </c>
      <c r="P249" s="19">
        <v>0.13157894736842105</v>
      </c>
      <c r="Q249" s="1">
        <v>0.13157894736842105</v>
      </c>
      <c r="R249" s="1">
        <v>0</v>
      </c>
      <c r="S249" s="1">
        <v>0</v>
      </c>
      <c r="T249" s="1">
        <v>0</v>
      </c>
      <c r="U249" s="1">
        <v>0</v>
      </c>
      <c r="V249" s="1">
        <v>0.23684210526315788</v>
      </c>
      <c r="W249" s="1">
        <v>0.5</v>
      </c>
      <c r="X249" s="3">
        <v>0</v>
      </c>
      <c r="Y249" s="2">
        <v>0</v>
      </c>
      <c r="Z249" s="315">
        <f t="shared" si="18"/>
        <v>0</v>
      </c>
    </row>
    <row r="250" spans="1:26">
      <c r="A250" s="124">
        <f t="shared" si="17"/>
        <v>245</v>
      </c>
      <c r="B250" s="122">
        <f t="shared" si="15"/>
        <v>23</v>
      </c>
      <c r="C250" s="399">
        <f t="shared" si="16"/>
        <v>0.90320747034816551</v>
      </c>
      <c r="D250" s="84">
        <v>0.90320747034816551</v>
      </c>
      <c r="E250" s="298">
        <v>1</v>
      </c>
      <c r="F250" s="315">
        <v>0</v>
      </c>
      <c r="G250" s="379">
        <v>0</v>
      </c>
      <c r="H250" s="380">
        <v>0</v>
      </c>
      <c r="I250" s="380">
        <v>1</v>
      </c>
      <c r="J250" s="380">
        <v>1</v>
      </c>
      <c r="K250" s="380">
        <v>-1</v>
      </c>
      <c r="L250" s="380">
        <v>-1</v>
      </c>
      <c r="M250" s="380">
        <v>0</v>
      </c>
      <c r="N250" s="380">
        <v>-1</v>
      </c>
      <c r="O250" s="303">
        <v>1</v>
      </c>
      <c r="P250" s="19">
        <v>4.3478260869565216E-2</v>
      </c>
      <c r="Q250" s="1">
        <v>0.86956521739130432</v>
      </c>
      <c r="R250" s="1">
        <v>0</v>
      </c>
      <c r="S250" s="1">
        <v>0</v>
      </c>
      <c r="T250" s="1">
        <v>0</v>
      </c>
      <c r="U250" s="1">
        <v>0</v>
      </c>
      <c r="V250" s="1">
        <v>8.6956521739130432E-2</v>
      </c>
      <c r="W250" s="1">
        <v>0</v>
      </c>
      <c r="X250" s="3">
        <v>0</v>
      </c>
      <c r="Y250" s="2">
        <v>0</v>
      </c>
      <c r="Z250" s="315">
        <f t="shared" si="18"/>
        <v>0</v>
      </c>
    </row>
    <row r="251" spans="1:26">
      <c r="A251" s="124">
        <f t="shared" si="17"/>
        <v>246</v>
      </c>
      <c r="B251" s="122">
        <f t="shared" si="15"/>
        <v>52</v>
      </c>
      <c r="C251" s="399">
        <f t="shared" si="16"/>
        <v>0.78192821339054785</v>
      </c>
      <c r="D251" s="84">
        <v>0.78192821339054785</v>
      </c>
      <c r="E251" s="298">
        <v>-1</v>
      </c>
      <c r="F251" s="315">
        <v>0</v>
      </c>
      <c r="G251" s="379">
        <v>0</v>
      </c>
      <c r="H251" s="380">
        <v>-1</v>
      </c>
      <c r="I251" s="380">
        <v>-1</v>
      </c>
      <c r="J251" s="380">
        <v>-1</v>
      </c>
      <c r="K251" s="380">
        <v>1</v>
      </c>
      <c r="L251" s="380">
        <v>1</v>
      </c>
      <c r="M251" s="380">
        <v>0</v>
      </c>
      <c r="N251" s="380">
        <v>1</v>
      </c>
      <c r="O251" s="303">
        <v>-1</v>
      </c>
      <c r="P251" s="19">
        <v>0.94029850746268662</v>
      </c>
      <c r="Q251" s="1">
        <v>0</v>
      </c>
      <c r="R251" s="1">
        <v>0</v>
      </c>
      <c r="S251" s="1">
        <v>0</v>
      </c>
      <c r="T251" s="1">
        <v>0</v>
      </c>
      <c r="U251" s="1">
        <v>0</v>
      </c>
      <c r="V251" s="1">
        <v>5.9701492537313432E-2</v>
      </c>
      <c r="W251" s="1">
        <v>0</v>
      </c>
      <c r="X251" s="3">
        <v>0</v>
      </c>
      <c r="Y251" s="2">
        <v>0</v>
      </c>
      <c r="Z251" s="315">
        <f t="shared" si="18"/>
        <v>0</v>
      </c>
    </row>
    <row r="252" spans="1:26">
      <c r="A252" s="124">
        <f t="shared" si="17"/>
        <v>247</v>
      </c>
      <c r="B252" s="122">
        <f t="shared" si="15"/>
        <v>99</v>
      </c>
      <c r="C252" s="399">
        <f t="shared" si="16"/>
        <v>0.60131512795623809</v>
      </c>
      <c r="D252" s="84">
        <v>0.60131512795623809</v>
      </c>
      <c r="E252" s="298">
        <v>1</v>
      </c>
      <c r="F252" s="315">
        <v>0</v>
      </c>
      <c r="G252" s="379">
        <v>-1</v>
      </c>
      <c r="H252" s="380">
        <v>1</v>
      </c>
      <c r="I252" s="380">
        <v>1</v>
      </c>
      <c r="J252" s="380">
        <v>1</v>
      </c>
      <c r="K252" s="380">
        <v>-1</v>
      </c>
      <c r="L252" s="380">
        <v>-1</v>
      </c>
      <c r="M252" s="380">
        <v>0</v>
      </c>
      <c r="N252" s="380">
        <v>-1</v>
      </c>
      <c r="O252" s="303">
        <v>1</v>
      </c>
      <c r="P252" s="19">
        <v>0</v>
      </c>
      <c r="Q252" s="1">
        <v>0</v>
      </c>
      <c r="R252" s="1">
        <v>0</v>
      </c>
      <c r="S252" s="1">
        <v>0</v>
      </c>
      <c r="T252" s="1">
        <v>0</v>
      </c>
      <c r="U252" s="1">
        <v>0</v>
      </c>
      <c r="V252" s="1">
        <v>1</v>
      </c>
      <c r="W252" s="1">
        <v>0</v>
      </c>
      <c r="X252" s="3">
        <v>0</v>
      </c>
      <c r="Y252" s="2">
        <v>0</v>
      </c>
      <c r="Z252" s="315">
        <f t="shared" si="18"/>
        <v>0</v>
      </c>
    </row>
    <row r="253" spans="1:26">
      <c r="A253" s="124">
        <f t="shared" si="17"/>
        <v>248</v>
      </c>
      <c r="B253" s="122">
        <f t="shared" si="15"/>
        <v>40</v>
      </c>
      <c r="C253" s="399">
        <f t="shared" si="16"/>
        <v>0.82543591912662417</v>
      </c>
      <c r="D253" s="84">
        <v>0.82543591912662417</v>
      </c>
      <c r="E253" s="298">
        <v>1</v>
      </c>
      <c r="F253" s="315">
        <v>-1</v>
      </c>
      <c r="G253" s="379">
        <v>0</v>
      </c>
      <c r="H253" s="380">
        <v>0</v>
      </c>
      <c r="I253" s="380">
        <v>0</v>
      </c>
      <c r="J253" s="380">
        <v>0</v>
      </c>
      <c r="K253" s="380">
        <v>0</v>
      </c>
      <c r="L253" s="380">
        <v>0</v>
      </c>
      <c r="M253" s="380">
        <v>0</v>
      </c>
      <c r="N253" s="380">
        <v>0</v>
      </c>
      <c r="O253" s="303">
        <v>0</v>
      </c>
      <c r="P253" s="19">
        <v>4.2553191489361701E-2</v>
      </c>
      <c r="Q253" s="1">
        <v>0.10638297872340426</v>
      </c>
      <c r="R253" s="1">
        <v>0.1702127659574468</v>
      </c>
      <c r="S253" s="1">
        <v>0.21276595744680851</v>
      </c>
      <c r="T253" s="1">
        <v>0.10638297872340426</v>
      </c>
      <c r="U253" s="1">
        <v>0.10638297872340426</v>
      </c>
      <c r="V253" s="1">
        <v>4.2553191489361701E-2</v>
      </c>
      <c r="W253" s="1">
        <v>0.10638297872340426</v>
      </c>
      <c r="X253" s="3">
        <v>0.10638297872340426</v>
      </c>
      <c r="Y253" s="2">
        <v>0</v>
      </c>
      <c r="Z253" s="315">
        <f t="shared" si="18"/>
        <v>-1</v>
      </c>
    </row>
    <row r="254" spans="1:26">
      <c r="A254" s="124">
        <f t="shared" si="17"/>
        <v>249</v>
      </c>
      <c r="B254" s="122">
        <f t="shared" si="15"/>
        <v>114</v>
      </c>
      <c r="C254" s="399">
        <f t="shared" si="16"/>
        <v>0.55635743647590163</v>
      </c>
      <c r="D254" s="84">
        <v>0.55635743647590163</v>
      </c>
      <c r="E254" s="298">
        <v>-1</v>
      </c>
      <c r="F254" s="315">
        <v>-1</v>
      </c>
      <c r="G254" s="379">
        <v>0</v>
      </c>
      <c r="H254" s="380">
        <v>0</v>
      </c>
      <c r="I254" s="380">
        <v>-1</v>
      </c>
      <c r="J254" s="380">
        <v>0</v>
      </c>
      <c r="K254" s="380">
        <v>0</v>
      </c>
      <c r="L254" s="380">
        <v>0</v>
      </c>
      <c r="M254" s="380">
        <v>0</v>
      </c>
      <c r="N254" s="380">
        <v>0</v>
      </c>
      <c r="O254" s="303">
        <v>0</v>
      </c>
      <c r="P254" s="19">
        <v>0.10638297872340426</v>
      </c>
      <c r="Q254" s="1">
        <v>0.1276595744680851</v>
      </c>
      <c r="R254" s="1">
        <v>0</v>
      </c>
      <c r="S254" s="1">
        <v>0.1276595744680851</v>
      </c>
      <c r="T254" s="1">
        <v>0.10638297872340426</v>
      </c>
      <c r="U254" s="1">
        <v>0.10638297872340426</v>
      </c>
      <c r="V254" s="1">
        <v>0.10638297872340426</v>
      </c>
      <c r="W254" s="1">
        <v>0.19148936170212766</v>
      </c>
      <c r="X254" s="3">
        <v>0.1276595744680851</v>
      </c>
      <c r="Y254" s="2">
        <v>0</v>
      </c>
      <c r="Z254" s="315">
        <f t="shared" si="18"/>
        <v>1</v>
      </c>
    </row>
    <row r="255" spans="1:26">
      <c r="A255" s="124">
        <f t="shared" si="17"/>
        <v>250</v>
      </c>
      <c r="B255" s="122">
        <f t="shared" si="15"/>
        <v>144</v>
      </c>
      <c r="C255" s="399">
        <f t="shared" si="16"/>
        <v>0.45501232965214988</v>
      </c>
      <c r="D255" s="84">
        <v>0.45501232965214988</v>
      </c>
      <c r="E255" s="298">
        <v>1</v>
      </c>
      <c r="F255" s="315">
        <v>-1</v>
      </c>
      <c r="G255" s="379">
        <v>0</v>
      </c>
      <c r="H255" s="380">
        <v>0</v>
      </c>
      <c r="I255" s="380">
        <v>1</v>
      </c>
      <c r="J255" s="380">
        <v>0</v>
      </c>
      <c r="K255" s="380">
        <v>0</v>
      </c>
      <c r="L255" s="380">
        <v>0</v>
      </c>
      <c r="M255" s="380">
        <v>0</v>
      </c>
      <c r="N255" s="380">
        <v>-1</v>
      </c>
      <c r="O255" s="303">
        <v>0</v>
      </c>
      <c r="P255" s="19">
        <v>0.38095238095238093</v>
      </c>
      <c r="Q255" s="1">
        <v>0.21428571428571427</v>
      </c>
      <c r="R255" s="1">
        <v>0</v>
      </c>
      <c r="S255" s="1">
        <v>4.7619047619047616E-2</v>
      </c>
      <c r="T255" s="1">
        <v>2.3809523809523808E-2</v>
      </c>
      <c r="U255" s="1">
        <v>9.5238095238095233E-2</v>
      </c>
      <c r="V255" s="1">
        <v>4.7619047619047616E-2</v>
      </c>
      <c r="W255" s="1">
        <v>0</v>
      </c>
      <c r="X255" s="3">
        <v>0.19047619047619047</v>
      </c>
      <c r="Y255" s="2">
        <v>0</v>
      </c>
      <c r="Z255" s="315">
        <f t="shared" si="18"/>
        <v>-1</v>
      </c>
    </row>
    <row r="256" spans="1:26">
      <c r="A256" s="124">
        <f t="shared" si="17"/>
        <v>251</v>
      </c>
      <c r="B256" s="122">
        <f t="shared" si="15"/>
        <v>25</v>
      </c>
      <c r="C256" s="399">
        <f t="shared" si="16"/>
        <v>0.88688729775339559</v>
      </c>
      <c r="D256" s="84">
        <v>0.88688729775339559</v>
      </c>
      <c r="E256" s="298">
        <v>-1</v>
      </c>
      <c r="F256" s="315">
        <v>-1</v>
      </c>
      <c r="G256" s="379">
        <v>-1</v>
      </c>
      <c r="H256" s="380">
        <v>0</v>
      </c>
      <c r="I256" s="380">
        <v>-1</v>
      </c>
      <c r="J256" s="380">
        <v>0</v>
      </c>
      <c r="K256" s="380">
        <v>0</v>
      </c>
      <c r="L256" s="380">
        <v>0</v>
      </c>
      <c r="M256" s="380">
        <v>0</v>
      </c>
      <c r="N256" s="380">
        <v>1</v>
      </c>
      <c r="O256" s="303">
        <v>0</v>
      </c>
      <c r="P256" s="19">
        <v>0</v>
      </c>
      <c r="Q256" s="1">
        <v>0.86842105263157898</v>
      </c>
      <c r="R256" s="1">
        <v>0</v>
      </c>
      <c r="S256" s="1">
        <v>2.6315789473684209E-2</v>
      </c>
      <c r="T256" s="1">
        <v>2.6315789473684209E-2</v>
      </c>
      <c r="U256" s="1">
        <v>2.6315789473684209E-2</v>
      </c>
      <c r="V256" s="1">
        <v>2.6315789473684209E-2</v>
      </c>
      <c r="W256" s="1">
        <v>0</v>
      </c>
      <c r="X256" s="3">
        <v>2.6315789473684209E-2</v>
      </c>
      <c r="Y256" s="2">
        <v>0</v>
      </c>
      <c r="Z256" s="315">
        <f t="shared" si="18"/>
        <v>1</v>
      </c>
    </row>
    <row r="257" spans="1:26">
      <c r="A257" s="124">
        <f t="shared" si="17"/>
        <v>252</v>
      </c>
      <c r="B257" s="122">
        <f t="shared" si="15"/>
        <v>87</v>
      </c>
      <c r="C257" s="399">
        <f t="shared" si="16"/>
        <v>0.64631187208134089</v>
      </c>
      <c r="D257" s="84">
        <v>0.64631187208134089</v>
      </c>
      <c r="E257" s="298">
        <v>1</v>
      </c>
      <c r="F257" s="315">
        <v>-1</v>
      </c>
      <c r="G257" s="379">
        <v>1</v>
      </c>
      <c r="H257" s="380">
        <v>-1</v>
      </c>
      <c r="I257" s="380">
        <v>1</v>
      </c>
      <c r="J257" s="380">
        <v>0</v>
      </c>
      <c r="K257" s="380">
        <v>0</v>
      </c>
      <c r="L257" s="380">
        <v>0</v>
      </c>
      <c r="M257" s="380">
        <v>0</v>
      </c>
      <c r="N257" s="380">
        <v>-1</v>
      </c>
      <c r="O257" s="303">
        <v>0</v>
      </c>
      <c r="P257" s="19">
        <v>0</v>
      </c>
      <c r="Q257" s="1">
        <v>0</v>
      </c>
      <c r="R257" s="1">
        <v>0</v>
      </c>
      <c r="S257" s="1">
        <v>2.1739130434782608E-2</v>
      </c>
      <c r="T257" s="1">
        <v>0.60869565217391308</v>
      </c>
      <c r="U257" s="1">
        <v>0.10869565217391304</v>
      </c>
      <c r="V257" s="1">
        <v>0.15217391304347827</v>
      </c>
      <c r="W257" s="1">
        <v>0</v>
      </c>
      <c r="X257" s="3">
        <v>0.10869565217391304</v>
      </c>
      <c r="Y257" s="2">
        <v>0</v>
      </c>
      <c r="Z257" s="315">
        <f t="shared" si="18"/>
        <v>-1</v>
      </c>
    </row>
    <row r="258" spans="1:26">
      <c r="A258" s="124">
        <f t="shared" si="17"/>
        <v>253</v>
      </c>
      <c r="B258" s="122">
        <f t="shared" si="15"/>
        <v>110</v>
      </c>
      <c r="C258" s="399">
        <f t="shared" si="16"/>
        <v>0.5691876857849798</v>
      </c>
      <c r="D258" s="84">
        <v>0.5691876857849798</v>
      </c>
      <c r="E258" s="298">
        <v>-1</v>
      </c>
      <c r="F258" s="315">
        <v>-1</v>
      </c>
      <c r="G258" s="379">
        <v>-1</v>
      </c>
      <c r="H258" s="380">
        <v>1</v>
      </c>
      <c r="I258" s="380">
        <v>-1</v>
      </c>
      <c r="J258" s="380">
        <v>-1</v>
      </c>
      <c r="K258" s="380">
        <v>0</v>
      </c>
      <c r="L258" s="380">
        <v>0</v>
      </c>
      <c r="M258" s="380">
        <v>0</v>
      </c>
      <c r="N258" s="380">
        <v>1</v>
      </c>
      <c r="O258" s="303">
        <v>0</v>
      </c>
      <c r="P258" s="19">
        <v>0</v>
      </c>
      <c r="Q258" s="1">
        <v>0</v>
      </c>
      <c r="R258" s="1">
        <v>0</v>
      </c>
      <c r="S258" s="1">
        <v>0</v>
      </c>
      <c r="T258" s="1">
        <v>0.91379310344827591</v>
      </c>
      <c r="U258" s="1">
        <v>1.7241379310344827E-2</v>
      </c>
      <c r="V258" s="1">
        <v>4.3103448275862072E-2</v>
      </c>
      <c r="W258" s="1">
        <v>0</v>
      </c>
      <c r="X258" s="3">
        <v>2.5862068965517241E-2</v>
      </c>
      <c r="Y258" s="2">
        <v>0</v>
      </c>
      <c r="Z258" s="315">
        <f t="shared" ref="Z258:Z260" si="19">F258*E258</f>
        <v>1</v>
      </c>
    </row>
    <row r="259" spans="1:26">
      <c r="A259" s="124">
        <f t="shared" si="17"/>
        <v>254</v>
      </c>
      <c r="B259" s="122">
        <f t="shared" si="15"/>
        <v>208</v>
      </c>
      <c r="C259" s="399">
        <f t="shared" si="16"/>
        <v>0.1814884623090538</v>
      </c>
      <c r="D259" s="84">
        <v>0.1814884623090538</v>
      </c>
      <c r="E259" s="298">
        <v>1</v>
      </c>
      <c r="F259" s="315">
        <v>1</v>
      </c>
      <c r="G259" s="379">
        <v>0</v>
      </c>
      <c r="H259" s="380">
        <v>0</v>
      </c>
      <c r="I259" s="380">
        <v>0</v>
      </c>
      <c r="J259" s="380">
        <v>0</v>
      </c>
      <c r="K259" s="380">
        <v>0</v>
      </c>
      <c r="L259" s="380">
        <v>0</v>
      </c>
      <c r="M259" s="380">
        <v>0</v>
      </c>
      <c r="N259" s="380">
        <v>0</v>
      </c>
      <c r="O259" s="303">
        <v>0</v>
      </c>
      <c r="P259" s="19">
        <v>8.5106382978723402E-2</v>
      </c>
      <c r="Q259" s="1">
        <v>8.5106382978723402E-2</v>
      </c>
      <c r="R259" s="1">
        <v>0.19148936170212766</v>
      </c>
      <c r="S259" s="1">
        <v>0.21276595744680851</v>
      </c>
      <c r="T259" s="1">
        <v>8.5106382978723402E-2</v>
      </c>
      <c r="U259" s="1">
        <v>8.5106382978723402E-2</v>
      </c>
      <c r="V259" s="1">
        <v>8.5106382978723402E-2</v>
      </c>
      <c r="W259" s="1">
        <v>8.5106382978723402E-2</v>
      </c>
      <c r="X259" s="3">
        <v>8.5106382978723402E-2</v>
      </c>
      <c r="Y259" s="2">
        <v>0</v>
      </c>
      <c r="Z259" s="315">
        <f t="shared" si="19"/>
        <v>1</v>
      </c>
    </row>
    <row r="260" spans="1:26" ht="18" thickBot="1">
      <c r="A260" s="124">
        <f t="shared" si="17"/>
        <v>255</v>
      </c>
      <c r="B260" s="122">
        <f t="shared" si="15"/>
        <v>49</v>
      </c>
      <c r="C260" s="399">
        <f t="shared" si="16"/>
        <v>0.78800452341613603</v>
      </c>
      <c r="D260" s="84">
        <v>0.78800452341613603</v>
      </c>
      <c r="E260" s="298">
        <v>-1</v>
      </c>
      <c r="F260" s="315">
        <v>1</v>
      </c>
      <c r="G260" s="379">
        <v>0</v>
      </c>
      <c r="H260" s="380">
        <v>0</v>
      </c>
      <c r="I260" s="380">
        <v>0</v>
      </c>
      <c r="J260" s="380">
        <v>0</v>
      </c>
      <c r="K260" s="380">
        <v>0</v>
      </c>
      <c r="L260" s="380">
        <v>0</v>
      </c>
      <c r="M260" s="380">
        <v>0</v>
      </c>
      <c r="N260" s="380">
        <v>-1</v>
      </c>
      <c r="O260" s="303">
        <v>0</v>
      </c>
      <c r="P260" s="19">
        <v>0.10638297872340426</v>
      </c>
      <c r="Q260" s="1">
        <v>0.1276595744680851</v>
      </c>
      <c r="R260" s="1">
        <v>0.19148936170212766</v>
      </c>
      <c r="S260" s="1">
        <v>0.1276595744680851</v>
      </c>
      <c r="T260" s="1">
        <v>8.5106382978723402E-2</v>
      </c>
      <c r="U260" s="1">
        <v>0.1276595744680851</v>
      </c>
      <c r="V260" s="1">
        <v>0.10638297872340426</v>
      </c>
      <c r="W260" s="1">
        <v>0</v>
      </c>
      <c r="X260" s="3">
        <v>0.1276595744680851</v>
      </c>
      <c r="Y260" s="2">
        <v>0</v>
      </c>
      <c r="Z260" s="316">
        <f t="shared" si="19"/>
        <v>-1</v>
      </c>
    </row>
  </sheetData>
  <mergeCells count="2">
    <mergeCell ref="G3:O3"/>
    <mergeCell ref="P3:Y3"/>
  </mergeCells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D0108-2420-4679-841B-16CECD6716FC}">
  <sheetPr codeName="Sheet6">
    <tabColor rgb="FF7030A0"/>
  </sheetPr>
  <dimension ref="A1:DA36"/>
  <sheetViews>
    <sheetView topLeftCell="CH1" workbookViewId="0">
      <selection activeCell="CO7" sqref="CO7"/>
    </sheetView>
  </sheetViews>
  <sheetFormatPr defaultColWidth="8.8125" defaultRowHeight="17.649999999999999"/>
  <cols>
    <col min="1" max="2" width="2.5" customWidth="1"/>
    <col min="5" max="13" width="3.1875" customWidth="1"/>
    <col min="14" max="23" width="4.6875" customWidth="1"/>
    <col min="24" max="24" width="3.1875" customWidth="1"/>
    <col min="25" max="26" width="4.5" customWidth="1"/>
    <col min="27" max="27" width="2.5" style="218" customWidth="1"/>
    <col min="28" max="37" width="2" bestFit="1" customWidth="1"/>
    <col min="39" max="87" width="6.6875" customWidth="1"/>
    <col min="89" max="99" width="6.6875" customWidth="1"/>
    <col min="101" max="101" width="12.3125" bestFit="1" customWidth="1"/>
  </cols>
  <sheetData>
    <row r="1" spans="1:105" s="220" customFormat="1" ht="29.25" thickBot="1">
      <c r="A1" s="210" t="s">
        <v>63</v>
      </c>
      <c r="B1" s="211"/>
      <c r="C1" s="211"/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1"/>
      <c r="S1" s="211"/>
      <c r="T1" s="211"/>
      <c r="U1" s="211"/>
      <c r="V1" s="211"/>
      <c r="W1" s="211"/>
      <c r="X1" s="211"/>
      <c r="Y1" s="211"/>
      <c r="Z1" s="211"/>
      <c r="AA1" s="219" t="s">
        <v>62</v>
      </c>
    </row>
    <row r="3" spans="1:105" ht="18" thickBot="1">
      <c r="C3" s="126" t="s">
        <v>63</v>
      </c>
      <c r="AB3" s="126" t="s">
        <v>93</v>
      </c>
    </row>
    <row r="4" spans="1:105" ht="18" thickBot="1">
      <c r="E4" s="126" t="s">
        <v>66</v>
      </c>
      <c r="N4" s="126" t="s">
        <v>67</v>
      </c>
      <c r="AB4" s="31" t="s">
        <v>5</v>
      </c>
      <c r="AC4" s="33">
        <v>0</v>
      </c>
      <c r="AD4" s="32">
        <v>0</v>
      </c>
      <c r="AE4" s="32">
        <v>0</v>
      </c>
      <c r="AF4" s="32">
        <v>1</v>
      </c>
      <c r="AG4" s="32">
        <v>1</v>
      </c>
      <c r="AH4" s="32">
        <v>1</v>
      </c>
      <c r="AI4" s="32">
        <v>2</v>
      </c>
      <c r="AJ4" s="32">
        <v>2</v>
      </c>
      <c r="AK4" s="35">
        <v>2</v>
      </c>
    </row>
    <row r="5" spans="1:105" ht="19.5" thickBot="1">
      <c r="E5" s="412" t="s">
        <v>107</v>
      </c>
      <c r="F5" s="413"/>
      <c r="G5" s="413"/>
      <c r="H5" s="413"/>
      <c r="I5" s="413"/>
      <c r="J5" s="413"/>
      <c r="K5" s="413"/>
      <c r="L5" s="413"/>
      <c r="M5" s="414"/>
      <c r="N5" s="412" t="s">
        <v>65</v>
      </c>
      <c r="O5" s="413"/>
      <c r="P5" s="413"/>
      <c r="Q5" s="413"/>
      <c r="R5" s="413"/>
      <c r="S5" s="413"/>
      <c r="T5" s="413"/>
      <c r="U5" s="413"/>
      <c r="V5" s="413"/>
      <c r="W5" s="414"/>
      <c r="X5" s="110" t="s">
        <v>25</v>
      </c>
      <c r="AB5" s="36" t="s">
        <v>6</v>
      </c>
      <c r="AC5" s="8">
        <v>0</v>
      </c>
      <c r="AD5" s="9">
        <v>1</v>
      </c>
      <c r="AE5" s="9">
        <v>2</v>
      </c>
      <c r="AF5" s="9">
        <v>0</v>
      </c>
      <c r="AG5" s="9">
        <v>1</v>
      </c>
      <c r="AH5" s="9">
        <v>2</v>
      </c>
      <c r="AI5" s="9">
        <v>0</v>
      </c>
      <c r="AJ5" s="9">
        <v>1</v>
      </c>
      <c r="AK5" s="37">
        <v>2</v>
      </c>
      <c r="AM5" s="126" t="s">
        <v>48</v>
      </c>
      <c r="AS5" s="126" t="s">
        <v>49</v>
      </c>
      <c r="AY5" s="126" t="s">
        <v>50</v>
      </c>
      <c r="BK5" s="126" t="s">
        <v>51</v>
      </c>
      <c r="BX5" s="126" t="s">
        <v>52</v>
      </c>
      <c r="CK5" s="126" t="s">
        <v>14</v>
      </c>
      <c r="CY5" s="61">
        <v>0.01</v>
      </c>
    </row>
    <row r="6" spans="1:105" ht="18" thickBot="1">
      <c r="C6" s="75" t="s">
        <v>43</v>
      </c>
      <c r="D6" s="269" t="s">
        <v>47</v>
      </c>
      <c r="E6" s="75">
        <v>0</v>
      </c>
      <c r="F6" s="76">
        <f>E6+1</f>
        <v>1</v>
      </c>
      <c r="G6" s="76">
        <f t="shared" ref="G6:M6" si="0">F6+1</f>
        <v>2</v>
      </c>
      <c r="H6" s="76">
        <f t="shared" si="0"/>
        <v>3</v>
      </c>
      <c r="I6" s="76">
        <f t="shared" si="0"/>
        <v>4</v>
      </c>
      <c r="J6" s="76">
        <f t="shared" si="0"/>
        <v>5</v>
      </c>
      <c r="K6" s="76">
        <f t="shared" si="0"/>
        <v>6</v>
      </c>
      <c r="L6" s="76">
        <f t="shared" si="0"/>
        <v>7</v>
      </c>
      <c r="M6" s="77">
        <f t="shared" si="0"/>
        <v>8</v>
      </c>
      <c r="N6" s="75">
        <v>0</v>
      </c>
      <c r="O6" s="76">
        <f>N6+1</f>
        <v>1</v>
      </c>
      <c r="P6" s="76">
        <f t="shared" ref="P6:W6" si="1">O6+1</f>
        <v>2</v>
      </c>
      <c r="Q6" s="76">
        <f t="shared" si="1"/>
        <v>3</v>
      </c>
      <c r="R6" s="76">
        <f t="shared" si="1"/>
        <v>4</v>
      </c>
      <c r="S6" s="76">
        <f t="shared" si="1"/>
        <v>5</v>
      </c>
      <c r="T6" s="76">
        <f t="shared" si="1"/>
        <v>6</v>
      </c>
      <c r="U6" s="76">
        <f t="shared" si="1"/>
        <v>7</v>
      </c>
      <c r="V6" s="77">
        <f t="shared" si="1"/>
        <v>8</v>
      </c>
      <c r="W6" s="110">
        <f t="shared" si="1"/>
        <v>9</v>
      </c>
      <c r="X6" s="77">
        <v>10</v>
      </c>
      <c r="AB6" s="48"/>
      <c r="AC6" s="10">
        <v>0</v>
      </c>
      <c r="AD6" s="11">
        <v>1</v>
      </c>
      <c r="AE6" s="11">
        <v>2</v>
      </c>
      <c r="AF6" s="11">
        <v>3</v>
      </c>
      <c r="AG6" s="11">
        <v>4</v>
      </c>
      <c r="AH6" s="11">
        <v>5</v>
      </c>
      <c r="AI6" s="11">
        <v>6</v>
      </c>
      <c r="AJ6" s="11">
        <v>7</v>
      </c>
      <c r="AK6" s="40">
        <v>8</v>
      </c>
      <c r="AM6" s="47">
        <v>0</v>
      </c>
      <c r="AN6" s="32">
        <f>AM6+1</f>
        <v>1</v>
      </c>
      <c r="AO6" s="32">
        <f t="shared" ref="AO6:AQ6" si="2">AN6+1</f>
        <v>2</v>
      </c>
      <c r="AP6" s="32">
        <f t="shared" si="2"/>
        <v>3</v>
      </c>
      <c r="AQ6" s="35">
        <f t="shared" si="2"/>
        <v>4</v>
      </c>
      <c r="AR6" s="5"/>
      <c r="AS6" s="47">
        <v>0</v>
      </c>
      <c r="AT6" s="32">
        <f>AS6+1</f>
        <v>1</v>
      </c>
      <c r="AU6" s="32">
        <f t="shared" ref="AU6:AW6" si="3">AT6+1</f>
        <v>2</v>
      </c>
      <c r="AV6" s="32">
        <f t="shared" si="3"/>
        <v>3</v>
      </c>
      <c r="AW6" s="35">
        <f t="shared" si="3"/>
        <v>4</v>
      </c>
      <c r="AX6" s="5"/>
      <c r="AY6" s="75">
        <v>0</v>
      </c>
      <c r="AZ6" s="76">
        <f>AY6+1</f>
        <v>1</v>
      </c>
      <c r="BA6" s="76">
        <f t="shared" ref="BA6:BI6" si="4">AZ6+1</f>
        <v>2</v>
      </c>
      <c r="BB6" s="76">
        <f t="shared" si="4"/>
        <v>3</v>
      </c>
      <c r="BC6" s="76">
        <f t="shared" si="4"/>
        <v>4</v>
      </c>
      <c r="BD6" s="76">
        <f t="shared" si="4"/>
        <v>5</v>
      </c>
      <c r="BE6" s="76">
        <f t="shared" si="4"/>
        <v>6</v>
      </c>
      <c r="BF6" s="76">
        <f t="shared" si="4"/>
        <v>7</v>
      </c>
      <c r="BG6" s="76">
        <f t="shared" si="4"/>
        <v>8</v>
      </c>
      <c r="BH6" s="110">
        <f t="shared" si="4"/>
        <v>9</v>
      </c>
      <c r="BI6" s="77">
        <f t="shared" si="4"/>
        <v>10</v>
      </c>
      <c r="BJ6" s="5"/>
      <c r="BK6" s="47" t="s">
        <v>40</v>
      </c>
      <c r="BL6" s="47">
        <v>0</v>
      </c>
      <c r="BM6" s="32">
        <f>BL6+1</f>
        <v>1</v>
      </c>
      <c r="BN6" s="32">
        <f t="shared" ref="BN6:BV6" si="5">BM6+1</f>
        <v>2</v>
      </c>
      <c r="BO6" s="32">
        <f t="shared" si="5"/>
        <v>3</v>
      </c>
      <c r="BP6" s="32">
        <f t="shared" si="5"/>
        <v>4</v>
      </c>
      <c r="BQ6" s="32">
        <f t="shared" si="5"/>
        <v>5</v>
      </c>
      <c r="BR6" s="32">
        <f t="shared" si="5"/>
        <v>6</v>
      </c>
      <c r="BS6" s="32">
        <f t="shared" si="5"/>
        <v>7</v>
      </c>
      <c r="BT6" s="35">
        <f t="shared" si="5"/>
        <v>8</v>
      </c>
      <c r="BU6" s="32">
        <f t="shared" si="5"/>
        <v>9</v>
      </c>
      <c r="BV6" s="69">
        <f t="shared" si="5"/>
        <v>10</v>
      </c>
      <c r="BX6" s="47" t="s">
        <v>96</v>
      </c>
      <c r="BY6" s="113">
        <v>0</v>
      </c>
      <c r="BZ6" s="114">
        <f>BY6+1</f>
        <v>1</v>
      </c>
      <c r="CA6" s="114">
        <f t="shared" ref="CA6:CI6" si="6">BZ6+1</f>
        <v>2</v>
      </c>
      <c r="CB6" s="114">
        <f t="shared" si="6"/>
        <v>3</v>
      </c>
      <c r="CC6" s="114">
        <f t="shared" si="6"/>
        <v>4</v>
      </c>
      <c r="CD6" s="114">
        <f t="shared" si="6"/>
        <v>5</v>
      </c>
      <c r="CE6" s="114">
        <f t="shared" si="6"/>
        <v>6</v>
      </c>
      <c r="CF6" s="114">
        <f t="shared" si="6"/>
        <v>7</v>
      </c>
      <c r="CG6" s="115">
        <f t="shared" si="6"/>
        <v>8</v>
      </c>
      <c r="CH6" s="114">
        <f t="shared" si="6"/>
        <v>9</v>
      </c>
      <c r="CI6" s="116">
        <f t="shared" si="6"/>
        <v>10</v>
      </c>
      <c r="CK6" s="113">
        <v>0</v>
      </c>
      <c r="CL6" s="114">
        <f>CK6+1</f>
        <v>1</v>
      </c>
      <c r="CM6" s="114">
        <f t="shared" ref="CM6:CU6" si="7">CL6+1</f>
        <v>2</v>
      </c>
      <c r="CN6" s="114">
        <f t="shared" si="7"/>
        <v>3</v>
      </c>
      <c r="CO6" s="114">
        <f t="shared" si="7"/>
        <v>4</v>
      </c>
      <c r="CP6" s="114">
        <f t="shared" si="7"/>
        <v>5</v>
      </c>
      <c r="CQ6" s="114">
        <f t="shared" si="7"/>
        <v>6</v>
      </c>
      <c r="CR6" s="114">
        <f t="shared" si="7"/>
        <v>7</v>
      </c>
      <c r="CS6" s="115">
        <f t="shared" si="7"/>
        <v>8</v>
      </c>
      <c r="CT6" s="114">
        <f t="shared" si="7"/>
        <v>9</v>
      </c>
      <c r="CU6" s="116">
        <f t="shared" si="7"/>
        <v>10</v>
      </c>
      <c r="CW6" s="75" t="s">
        <v>53</v>
      </c>
      <c r="CX6" s="76" t="s">
        <v>35</v>
      </c>
      <c r="CY6" s="76" t="s">
        <v>54</v>
      </c>
      <c r="CZ6" s="73" t="s">
        <v>55</v>
      </c>
      <c r="DA6" s="148" t="s">
        <v>56</v>
      </c>
    </row>
    <row r="7" spans="1:105" ht="18" thickBot="1">
      <c r="C7" s="231">
        <v>0</v>
      </c>
      <c r="D7" s="270">
        <f>IFERROR(MATCH(C7,ExperienceReplayBuffer!$B$5:$B$260,FALSE), D6)</f>
        <v>243</v>
      </c>
      <c r="E7" s="277">
        <f ca="1">OFFSET(ExperienceReplayBuffer!G$4,$D7,0)</f>
        <v>0</v>
      </c>
      <c r="F7" s="278">
        <f ca="1">OFFSET(ExperienceReplayBuffer!H$4,$D7,0)</f>
        <v>0</v>
      </c>
      <c r="G7" s="278">
        <f ca="1">OFFSET(ExperienceReplayBuffer!I$4,$D7,0)</f>
        <v>-1</v>
      </c>
      <c r="H7" s="278">
        <f ca="1">OFFSET(ExperienceReplayBuffer!J$4,$D7,0)</f>
        <v>0</v>
      </c>
      <c r="I7" s="278">
        <f ca="1">OFFSET(ExperienceReplayBuffer!K$4,$D7,0)</f>
        <v>1</v>
      </c>
      <c r="J7" s="278">
        <f ca="1">OFFSET(ExperienceReplayBuffer!L$4,$D7,0)</f>
        <v>0</v>
      </c>
      <c r="K7" s="278">
        <f ca="1">OFFSET(ExperienceReplayBuffer!M$4,$D7,0)</f>
        <v>0</v>
      </c>
      <c r="L7" s="278">
        <f ca="1">OFFSET(ExperienceReplayBuffer!N$4,$D7,0)</f>
        <v>0</v>
      </c>
      <c r="M7" s="279">
        <f ca="1">OFFSET(ExperienceReplayBuffer!O$4,$D7,0)</f>
        <v>-1</v>
      </c>
      <c r="N7" s="383">
        <f ca="1">OFFSET(ExperienceReplayBuffer!P$4,$D7,0)</f>
        <v>0.11363636363636363</v>
      </c>
      <c r="O7" s="384">
        <f ca="1">OFFSET(ExperienceReplayBuffer!Q$4,$D7,0)</f>
        <v>0.11363636363636363</v>
      </c>
      <c r="P7" s="384">
        <f ca="1">OFFSET(ExperienceReplayBuffer!R$4,$D7,0)</f>
        <v>0</v>
      </c>
      <c r="Q7" s="384">
        <f ca="1">OFFSET(ExperienceReplayBuffer!S$4,$D7,0)</f>
        <v>9.0909090909090912E-2</v>
      </c>
      <c r="R7" s="384">
        <f ca="1">OFFSET(ExperienceReplayBuffer!T$4,$D7,0)</f>
        <v>0</v>
      </c>
      <c r="S7" s="384">
        <f ca="1">OFFSET(ExperienceReplayBuffer!U$4,$D7,0)</f>
        <v>0.45454545454545453</v>
      </c>
      <c r="T7" s="384">
        <f ca="1">OFFSET(ExperienceReplayBuffer!V$4,$D7,0)</f>
        <v>0.11363636363636363</v>
      </c>
      <c r="U7" s="384">
        <f ca="1">OFFSET(ExperienceReplayBuffer!W$4,$D7,0)</f>
        <v>0.11363636363636363</v>
      </c>
      <c r="V7" s="385">
        <f ca="1">OFFSET(ExperienceReplayBuffer!X$4,$D7,0)</f>
        <v>0</v>
      </c>
      <c r="W7" s="386">
        <f ca="1">OFFSET(ExperienceReplayBuffer!Y$4,$D7,0)</f>
        <v>0</v>
      </c>
      <c r="X7" s="395">
        <f ca="1">OFFSET(ExperienceReplayBuffer!Z$4,$D7,0)</f>
        <v>0</v>
      </c>
      <c r="AC7" s="136">
        <f ca="1">E7</f>
        <v>0</v>
      </c>
      <c r="AD7" s="137">
        <f t="shared" ref="AD7:AD10" ca="1" si="8">F7</f>
        <v>0</v>
      </c>
      <c r="AE7" s="137">
        <f t="shared" ref="AE7:AE10" ca="1" si="9">G7</f>
        <v>-1</v>
      </c>
      <c r="AF7" s="137">
        <f t="shared" ref="AF7:AF10" ca="1" si="10">H7</f>
        <v>0</v>
      </c>
      <c r="AG7" s="137">
        <f t="shared" ref="AG7:AG10" ca="1" si="11">I7</f>
        <v>1</v>
      </c>
      <c r="AH7" s="137">
        <f t="shared" ref="AH7:AH10" ca="1" si="12">J7</f>
        <v>0</v>
      </c>
      <c r="AI7" s="137">
        <f t="shared" ref="AI7:AI10" ca="1" si="13">K7</f>
        <v>0</v>
      </c>
      <c r="AJ7" s="137">
        <f t="shared" ref="AJ7:AJ10" ca="1" si="14">L7</f>
        <v>0</v>
      </c>
      <c r="AK7" s="138">
        <f t="shared" ref="AK7:AK10" ca="1" si="15">M7</f>
        <v>-1</v>
      </c>
      <c r="AM7" s="82">
        <f ca="1">MAX(0, SUMPRODUCT($AC7:$AK7,OFFSET(DNN!$E$9:$M$9,AM$6,0)) + OFFSET(DNN!$D$9,AM$6,0))</f>
        <v>0</v>
      </c>
      <c r="AN7" s="80">
        <f ca="1">MAX(0, SUMPRODUCT($AC7:$AK7,OFFSET(DNN!$E$9:$M$9,AN$6,0)) + OFFSET(DNN!$D$9,AN$6,0))</f>
        <v>0</v>
      </c>
      <c r="AO7" s="80">
        <f ca="1">MAX(0, SUMPRODUCT($AC7:$AK7,OFFSET(DNN!$E$9:$M$9,AO$6,0)) + OFFSET(DNN!$D$9,AO$6,0))</f>
        <v>5.4495680812731645E-3</v>
      </c>
      <c r="AP7" s="80">
        <f ca="1">MAX(0, SUMPRODUCT($AC7:$AK7,OFFSET(DNN!$E$9:$M$9,AP$6,0)) + OFFSET(DNN!$D$9,AP$6,0))</f>
        <v>2.0988385977677628E-3</v>
      </c>
      <c r="AQ7" s="81">
        <f ca="1">MAX(0, SUMPRODUCT($AC7:$AK7,OFFSET(DNN!$E$9:$M$9,AQ$6,0)) + OFFSET(DNN!$D$9,AQ$6,0))</f>
        <v>0</v>
      </c>
      <c r="AR7" s="16"/>
      <c r="AS7" s="418">
        <f ca="1">MAX(0, SUMPRODUCT($AM7:$AQ7,OFFSET(DNN!$Q$9:$U$9,AS$6,0)) + OFFSET(DNN!$P$9,AS$6,0))</f>
        <v>4.4617710090033184E-4</v>
      </c>
      <c r="AT7" s="419">
        <f ca="1">MAX(0, SUMPRODUCT($AM7:$AQ7,OFFSET(DNN!$Q$9:$U$9,AT$6,0)) + OFFSET(DNN!$P$9,AT$6,0))</f>
        <v>0</v>
      </c>
      <c r="AU7" s="419">
        <f ca="1">MAX(0, SUMPRODUCT($AM7:$AQ7,OFFSET(DNN!$Q$9:$U$9,AU$6,0)) + OFFSET(DNN!$P$9,AU$6,0))</f>
        <v>1.2748459012413009E-3</v>
      </c>
      <c r="AV7" s="419">
        <f ca="1">MAX(0, SUMPRODUCT($AM7:$AQ7,OFFSET(DNN!$Q$9:$U$9,AV$6,0)) + OFFSET(DNN!$P$9,AV$6,0))</f>
        <v>7.9911117655034794E-4</v>
      </c>
      <c r="AW7" s="420">
        <f ca="1">MAX(0, SUMPRODUCT($AM7:$AQ7,OFFSET(DNN!$Q$9:$U$9,AW$6,0)) + OFFSET(DNN!$P$9,AW$6,0))</f>
        <v>0</v>
      </c>
      <c r="AX7" s="16"/>
      <c r="AY7" s="86">
        <f ca="1">SUMPRODUCT($AS7:$AW7,OFFSET(DNN!$Y$9:$AC$9,AY$6,0)) + OFFSET(DNN!$X$9,AY$6,0)</f>
        <v>0.4303162228117568</v>
      </c>
      <c r="AZ7" s="84">
        <f ca="1">SUMPRODUCT($AS7:$AW7,OFFSET(DNN!$Y$9:$AC$9,AZ$6,0)) + OFFSET(DNN!$X$9,AZ$6,0)</f>
        <v>-1.2642743490933523E-5</v>
      </c>
      <c r="BA7" s="84">
        <f ca="1">SUMPRODUCT($AS7:$AW7,OFFSET(DNN!$Y$9:$AC$9,BA$6,0)) + OFFSET(DNN!$X$9,BA$6,0)</f>
        <v>1.5239804870066959E-2</v>
      </c>
      <c r="BB7" s="84">
        <f ca="1">SUMPRODUCT($AS7:$AW7,OFFSET(DNN!$Y$9:$AC$9,BB$6,0)) + OFFSET(DNN!$X$9,BB$6,0)</f>
        <v>-8.8750050742648749E-4</v>
      </c>
      <c r="BC7" s="84">
        <f ca="1">SUMPRODUCT($AS7:$AW7,OFFSET(DNN!$Y$9:$AC$9,BC$6,0)) + OFFSET(DNN!$X$9,BC$6,0)</f>
        <v>-4.2357186582782196E-4</v>
      </c>
      <c r="BD7" s="84">
        <f ca="1">SUMPRODUCT($AS7:$AW7,OFFSET(DNN!$Y$9:$AC$9,BD$6,0)) + OFFSET(DNN!$X$9,BD$6,0)</f>
        <v>-1.5724645283062746E-5</v>
      </c>
      <c r="BE7" s="84">
        <f ca="1">SUMPRODUCT($AS7:$AW7,OFFSET(DNN!$Y$9:$AC$9,BE$6,0)) + OFFSET(DNN!$X$9,BE$6,0)</f>
        <v>-1.3491243819382073E-3</v>
      </c>
      <c r="BF7" s="84">
        <f ca="1">SUMPRODUCT($AS7:$AW7,OFFSET(DNN!$Y$9:$AC$9,BF$6,0)) + OFFSET(DNN!$X$9,BF$6,0)</f>
        <v>-6.2604819108613763E-2</v>
      </c>
      <c r="BG7" s="84">
        <f ca="1">SUMPRODUCT($AS7:$AW7,OFFSET(DNN!$Y$9:$AC$9,BG$6,0)) + OFFSET(DNN!$X$9,BG$6,0)</f>
        <v>8.6812353283271062E-4</v>
      </c>
      <c r="BH7" s="83">
        <f ca="1">SUMPRODUCT($AS7:$AW7,OFFSET(DNN!$Y$9:$AC$9,BH$6,0)) + OFFSET(DNN!$X$9,BH$6,0)</f>
        <v>-1.3182687630583412</v>
      </c>
      <c r="BI7" s="85">
        <f ca="1">SUMPRODUCT($AS7:$AW7,OFFSET(DNN!$Y$9:$AC$9,BI$6,0)) + OFFSET(DNN!$X$9,BI$6,0)</f>
        <v>-2.2558003431964111E-5</v>
      </c>
      <c r="BJ7" s="16"/>
      <c r="BK7" s="417">
        <f ca="1">MAX(AY7:BH7)</f>
        <v>0.4303162228117568</v>
      </c>
      <c r="BL7" s="82">
        <f ca="1">EXP(AY7-$BK7)</f>
        <v>1</v>
      </c>
      <c r="BM7" s="80">
        <f t="shared" ref="BM7:BU7" ca="1" si="16">EXP(AZ7-$BK7)</f>
        <v>0.65029519986194062</v>
      </c>
      <c r="BN7" s="80">
        <f t="shared" ca="1" si="16"/>
        <v>0.66028982078796261</v>
      </c>
      <c r="BO7" s="80">
        <f ca="1">EXP(BB7-$BK7)</f>
        <v>0.64972653284513904</v>
      </c>
      <c r="BP7" s="80">
        <f t="shared" ca="1" si="16"/>
        <v>0.6500280295239973</v>
      </c>
      <c r="BQ7" s="80">
        <f t="shared" ca="1" si="16"/>
        <v>0.65029319571908706</v>
      </c>
      <c r="BR7" s="80">
        <f t="shared" ca="1" si="16"/>
        <v>0.64942667278228106</v>
      </c>
      <c r="BS7" s="80">
        <f t="shared" ca="1" si="16"/>
        <v>0.61083949787554614</v>
      </c>
      <c r="BT7" s="81">
        <f t="shared" ca="1" si="16"/>
        <v>0.65086821025070463</v>
      </c>
      <c r="BU7" s="80">
        <f t="shared" ca="1" si="16"/>
        <v>0.17402001008866375</v>
      </c>
      <c r="BV7" s="79">
        <f ca="1">TANH(BI7)</f>
        <v>-2.2558003428137795E-5</v>
      </c>
      <c r="BX7" s="82">
        <f ca="1">SUM(BL7:BU7)</f>
        <v>6.3457871697353223</v>
      </c>
      <c r="BY7" s="145">
        <f ca="1">LN(BL7/$BX7 + 0.0001)</f>
        <v>-1.8471567774383371</v>
      </c>
      <c r="BZ7" s="101">
        <f t="shared" ref="BZ7:BZ36" ca="1" si="17">LN(BM7/$BX7 + 0.0001)</f>
        <v>-2.2771446644932833</v>
      </c>
      <c r="CA7" s="101">
        <f t="shared" ref="CA7:CA36" ca="1" si="18">LN(BN7/$BX7 + 0.0001)</f>
        <v>-2.2619069734792574</v>
      </c>
      <c r="CB7" s="101">
        <f t="shared" ref="CB7:CB36" ca="1" si="19">LN(BO7/$BX7 + 0.0001)</f>
        <v>-2.2780186690026669</v>
      </c>
      <c r="CC7" s="101">
        <f t="shared" ref="CC7:CC36" ca="1" si="20">LN(BP7/$BX7 + 0.0001)</f>
        <v>-2.2775551929266102</v>
      </c>
      <c r="CD7" s="101">
        <f t="shared" ref="CD7:CD36" ca="1" si="21">LN(BQ7/$BX7 + 0.0001)</f>
        <v>-2.2771477433905853</v>
      </c>
      <c r="CE7" s="101">
        <f t="shared" ref="CE7:CE36" ca="1" si="22">LN(BR7/$BX7 + 0.0001)</f>
        <v>-2.278479842351711</v>
      </c>
      <c r="CF7" s="101">
        <f t="shared" ref="CF7:CF36" ca="1" si="23">LN(BS7/$BX7 + 0.0001)</f>
        <v>-2.3396738727927766</v>
      </c>
      <c r="CG7" s="102">
        <f t="shared" ref="CG7:CG36" ca="1" si="24">LN(BT7/$BX7 + 0.0001)</f>
        <v>-2.276264756481134</v>
      </c>
      <c r="CH7" s="101">
        <f t="shared" ref="CH7:CH36" ca="1" si="25">LN(BU7/$BX7 + 0.0001)</f>
        <v>-3.592736188674746</v>
      </c>
      <c r="CI7" s="79">
        <f ca="1">BV7</f>
        <v>-2.2558003428137795E-5</v>
      </c>
      <c r="CK7" s="127">
        <f ca="1">N7</f>
        <v>0.11363636363636363</v>
      </c>
      <c r="CL7" s="128">
        <f t="shared" ref="CL7:CL10" ca="1" si="26">O7</f>
        <v>0.11363636363636363</v>
      </c>
      <c r="CM7" s="128">
        <f t="shared" ref="CM7:CM10" ca="1" si="27">P7</f>
        <v>0</v>
      </c>
      <c r="CN7" s="128">
        <f t="shared" ref="CN7:CN10" ca="1" si="28">Q7</f>
        <v>9.0909090909090912E-2</v>
      </c>
      <c r="CO7" s="128">
        <f t="shared" ref="CO7:CO10" ca="1" si="29">R7</f>
        <v>0</v>
      </c>
      <c r="CP7" s="128">
        <f t="shared" ref="CP7:CP10" ca="1" si="30">S7</f>
        <v>0.45454545454545453</v>
      </c>
      <c r="CQ7" s="128">
        <f t="shared" ref="CQ7:CQ10" ca="1" si="31">T7</f>
        <v>0.11363636363636363</v>
      </c>
      <c r="CR7" s="128">
        <f t="shared" ref="CR7:CR10" ca="1" si="32">U7</f>
        <v>0.11363636363636363</v>
      </c>
      <c r="CS7" s="129">
        <f t="shared" ref="CS7:CS10" ca="1" si="33">V7</f>
        <v>0</v>
      </c>
      <c r="CT7" s="128">
        <f t="shared" ref="CT7:CT10" ca="1" si="34">W7</f>
        <v>0</v>
      </c>
      <c r="CU7" s="398">
        <f t="shared" ref="CU7:CU10" ca="1" si="35">X7</f>
        <v>0</v>
      </c>
      <c r="CW7" s="63">
        <f ca="1">-SUMPRODUCT(BY7:CH7,CK7:CT7)</f>
        <v>2.2356205756637024</v>
      </c>
      <c r="CX7" s="64">
        <f ca="1">(CU7-CI7)^2</f>
        <v>5.0886351866387656E-10</v>
      </c>
      <c r="CY7" s="273">
        <f>(SUMPRODUCT(DNN!D9:M13,DNN!D9:M13)
+SUMPRODUCT(DNN!P9:U13,DNN!P9:U13)
+SUMPRODUCT(DNN!X9:AC19,DNN!X9:AC19))*CY5</f>
        <v>1.9274949456632443E-2</v>
      </c>
      <c r="CZ7" s="65">
        <f ca="1">SUM(CW7:CY7)</f>
        <v>2.2548955256291987</v>
      </c>
      <c r="DA7" s="149">
        <f ca="1">SUM(CZ7:CZ36)</f>
        <v>91.177806329946137</v>
      </c>
    </row>
    <row r="8" spans="1:105">
      <c r="C8" s="232">
        <f>C7+1</f>
        <v>1</v>
      </c>
      <c r="D8" s="271">
        <f>IFERROR(MATCH(C8,ExperienceReplayBuffer!$B$5:$B$260,FALSE), D7)</f>
        <v>20</v>
      </c>
      <c r="E8" s="280">
        <f ca="1">OFFSET(ExperienceReplayBuffer!G$4,$D8,0)</f>
        <v>0</v>
      </c>
      <c r="F8" s="281">
        <f ca="1">OFFSET(ExperienceReplayBuffer!H$4,$D8,0)</f>
        <v>0</v>
      </c>
      <c r="G8" s="281">
        <f ca="1">OFFSET(ExperienceReplayBuffer!I$4,$D8,0)</f>
        <v>-1</v>
      </c>
      <c r="H8" s="281">
        <f ca="1">OFFSET(ExperienceReplayBuffer!J$4,$D8,0)</f>
        <v>1</v>
      </c>
      <c r="I8" s="281">
        <f ca="1">OFFSET(ExperienceReplayBuffer!K$4,$D8,0)</f>
        <v>0</v>
      </c>
      <c r="J8" s="281">
        <f ca="1">OFFSET(ExperienceReplayBuffer!L$4,$D8,0)</f>
        <v>0</v>
      </c>
      <c r="K8" s="281">
        <f ca="1">OFFSET(ExperienceReplayBuffer!M$4,$D8,0)</f>
        <v>0</v>
      </c>
      <c r="L8" s="281">
        <f ca="1">OFFSET(ExperienceReplayBuffer!N$4,$D8,0)</f>
        <v>0</v>
      </c>
      <c r="M8" s="282">
        <f ca="1">OFFSET(ExperienceReplayBuffer!O$4,$D8,0)</f>
        <v>0</v>
      </c>
      <c r="N8" s="387">
        <f ca="1">OFFSET(ExperienceReplayBuffer!P$4,$D8,0)</f>
        <v>0.1111111111111111</v>
      </c>
      <c r="O8" s="388">
        <f ca="1">OFFSET(ExperienceReplayBuffer!Q$4,$D8,0)</f>
        <v>0.1111111111111111</v>
      </c>
      <c r="P8" s="388">
        <f ca="1">OFFSET(ExperienceReplayBuffer!R$4,$D8,0)</f>
        <v>0</v>
      </c>
      <c r="Q8" s="388">
        <f ca="1">OFFSET(ExperienceReplayBuffer!S$4,$D8,0)</f>
        <v>0</v>
      </c>
      <c r="R8" s="388">
        <f ca="1">OFFSET(ExperienceReplayBuffer!T$4,$D8,0)</f>
        <v>0.1111111111111111</v>
      </c>
      <c r="S8" s="388">
        <f ca="1">OFFSET(ExperienceReplayBuffer!U$4,$D8,0)</f>
        <v>0.17777777777777778</v>
      </c>
      <c r="T8" s="388">
        <f ca="1">OFFSET(ExperienceReplayBuffer!V$4,$D8,0)</f>
        <v>0.26666666666666666</v>
      </c>
      <c r="U8" s="388">
        <f ca="1">OFFSET(ExperienceReplayBuffer!W$4,$D8,0)</f>
        <v>0.1111111111111111</v>
      </c>
      <c r="V8" s="389">
        <f ca="1">OFFSET(ExperienceReplayBuffer!X$4,$D8,0)</f>
        <v>0.1111111111111111</v>
      </c>
      <c r="W8" s="390">
        <f ca="1">OFFSET(ExperienceReplayBuffer!Y$4,$D8,0)</f>
        <v>0</v>
      </c>
      <c r="X8" s="396">
        <f ca="1">OFFSET(ExperienceReplayBuffer!Z$4,$D8,0)</f>
        <v>1</v>
      </c>
      <c r="AC8" s="139">
        <f t="shared" ref="AC8:AC10" ca="1" si="36">E8</f>
        <v>0</v>
      </c>
      <c r="AD8" s="140">
        <f t="shared" ca="1" si="8"/>
        <v>0</v>
      </c>
      <c r="AE8" s="140">
        <f t="shared" ca="1" si="9"/>
        <v>-1</v>
      </c>
      <c r="AF8" s="140">
        <f t="shared" ca="1" si="10"/>
        <v>1</v>
      </c>
      <c r="AG8" s="140">
        <f t="shared" ca="1" si="11"/>
        <v>0</v>
      </c>
      <c r="AH8" s="140">
        <f t="shared" ca="1" si="12"/>
        <v>0</v>
      </c>
      <c r="AI8" s="140">
        <f t="shared" ca="1" si="13"/>
        <v>0</v>
      </c>
      <c r="AJ8" s="140">
        <f t="shared" ca="1" si="14"/>
        <v>0</v>
      </c>
      <c r="AK8" s="141">
        <f t="shared" ca="1" si="15"/>
        <v>0</v>
      </c>
      <c r="AM8" s="86">
        <f ca="1">MAX(0, SUMPRODUCT($AC8:$AK8,OFFSET(DNN!$E$9:$M$9,AM$6,0)) + OFFSET(DNN!$D$9,AM$6,0))</f>
        <v>3.0217603174671139E-3</v>
      </c>
      <c r="AN8" s="84">
        <f ca="1">MAX(0, SUMPRODUCT($AC8:$AK8,OFFSET(DNN!$E$9:$M$9,AN$6,0)) + OFFSET(DNN!$D$9,AN$6,0))</f>
        <v>3.2992140160495696E-3</v>
      </c>
      <c r="AO8" s="84">
        <f ca="1">MAX(0, SUMPRODUCT($AC8:$AK8,OFFSET(DNN!$E$9:$M$9,AO$6,0)) + OFFSET(DNN!$D$9,AO$6,0))</f>
        <v>2.3602815430590063E-3</v>
      </c>
      <c r="AP8" s="84">
        <f ca="1">MAX(0, SUMPRODUCT($AC8:$AK8,OFFSET(DNN!$E$9:$M$9,AP$6,0)) + OFFSET(DNN!$D$9,AP$6,0))</f>
        <v>9.5685495888550576E-6</v>
      </c>
      <c r="AQ8" s="85">
        <f ca="1">MAX(0, SUMPRODUCT($AC8:$AK8,OFFSET(DNN!$E$9:$M$9,AQ$6,0)) + OFFSET(DNN!$D$9,AQ$6,0))</f>
        <v>0</v>
      </c>
      <c r="AR8" s="1"/>
      <c r="AS8" s="421">
        <f ca="1">MAX(0, SUMPRODUCT($AM8:$AQ8,OFFSET(DNN!$Q$9:$U$9,AS$6,0)) + OFFSET(DNN!$P$9,AS$6,0))</f>
        <v>4.563266387864132E-4</v>
      </c>
      <c r="AT8" s="422">
        <f ca="1">MAX(0, SUMPRODUCT($AM8:$AQ8,OFFSET(DNN!$Q$9:$U$9,AT$6,0)) + OFFSET(DNN!$P$9,AT$6,0))</f>
        <v>0</v>
      </c>
      <c r="AU8" s="422">
        <f ca="1">MAX(0, SUMPRODUCT($AM8:$AQ8,OFFSET(DNN!$Q$9:$U$9,AU$6,0)) + OFFSET(DNN!$P$9,AU$6,0))</f>
        <v>1.2720342753910286E-3</v>
      </c>
      <c r="AV8" s="422">
        <f ca="1">MAX(0, SUMPRODUCT($AM8:$AQ8,OFFSET(DNN!$Q$9:$U$9,AV$6,0)) + OFFSET(DNN!$P$9,AV$6,0))</f>
        <v>7.9379150704402934E-4</v>
      </c>
      <c r="AW8" s="423">
        <f ca="1">MAX(0, SUMPRODUCT($AM8:$AQ8,OFFSET(DNN!$Q$9:$U$9,AW$6,0)) + OFFSET(DNN!$P$9,AW$6,0))</f>
        <v>0</v>
      </c>
      <c r="AX8" s="1"/>
      <c r="AY8" s="86">
        <f ca="1">SUMPRODUCT($AS8:$AW8,OFFSET(DNN!$Y$9:$AC$9,AY$6,0)) + OFFSET(DNN!$X$9,AY$6,0)</f>
        <v>0.43031623725805307</v>
      </c>
      <c r="AZ8" s="84">
        <f ca="1">SUMPRODUCT($AS8:$AW8,OFFSET(DNN!$Y$9:$AC$9,AZ$6,0)) + OFFSET(DNN!$X$9,AZ$6,0)</f>
        <v>-1.2619092577853321E-5</v>
      </c>
      <c r="BA8" s="84">
        <f ca="1">SUMPRODUCT($AS8:$AW8,OFFSET(DNN!$Y$9:$AC$9,BA$6,0)) + OFFSET(DNN!$X$9,BA$6,0)</f>
        <v>1.5239785489221154E-2</v>
      </c>
      <c r="BB8" s="84">
        <f ca="1">SUMPRODUCT($AS8:$AW8,OFFSET(DNN!$Y$9:$AC$9,BB$6,0)) + OFFSET(DNN!$X$9,BB$6,0)</f>
        <v>-8.874762341226451E-4</v>
      </c>
      <c r="BC8" s="84">
        <f ca="1">SUMPRODUCT($AS8:$AW8,OFFSET(DNN!$Y$9:$AC$9,BC$6,0)) + OFFSET(DNN!$X$9,BC$6,0)</f>
        <v>-4.2359113220435599E-4</v>
      </c>
      <c r="BD8" s="84">
        <f ca="1">SUMPRODUCT($AS8:$AW8,OFFSET(DNN!$Y$9:$AC$9,BD$6,0)) + OFFSET(DNN!$X$9,BD$6,0)</f>
        <v>-1.5730844305076001E-5</v>
      </c>
      <c r="BE8" s="84">
        <f ca="1">SUMPRODUCT($AS8:$AW8,OFFSET(DNN!$Y$9:$AC$9,BE$6,0)) + OFFSET(DNN!$X$9,BE$6,0)</f>
        <v>-1.3491142599236572E-3</v>
      </c>
      <c r="BF8" s="84">
        <f ca="1">SUMPRODUCT($AS8:$AW8,OFFSET(DNN!$Y$9:$AC$9,BF$6,0)) + OFFSET(DNN!$X$9,BF$6,0)</f>
        <v>-6.2604847930364277E-2</v>
      </c>
      <c r="BG8" s="84">
        <f ca="1">SUMPRODUCT($AS8:$AW8,OFFSET(DNN!$Y$9:$AC$9,BG$6,0)) + OFFSET(DNN!$X$9,BG$6,0)</f>
        <v>8.6813588805097859E-4</v>
      </c>
      <c r="BH8" s="83">
        <f ca="1">SUMPRODUCT($AS8:$AW8,OFFSET(DNN!$Y$9:$AC$9,BH$6,0)) + OFFSET(DNN!$X$9,BH$6,0)</f>
        <v>-1.3182687369304924</v>
      </c>
      <c r="BI8" s="85">
        <f ca="1">SUMPRODUCT($AS8:$AW8,OFFSET(DNN!$Y$9:$AC$9,BI$6,0)) + OFFSET(DNN!$X$9,BI$6,0)</f>
        <v>-2.2568797804623768E-5</v>
      </c>
      <c r="BJ8" s="1"/>
      <c r="BK8" s="415">
        <f t="shared" ref="BK8:BK36" ca="1" si="37">MAX(AY8:BH8)</f>
        <v>0.43031623725805307</v>
      </c>
      <c r="BL8" s="86">
        <f t="shared" ref="BL8:BL10" ca="1" si="38">EXP(AY8-$BK8)</f>
        <v>1</v>
      </c>
      <c r="BM8" s="84">
        <f t="shared" ref="BM8:BM10" ca="1" si="39">EXP(AZ8-$BK8)</f>
        <v>0.65029520584765876</v>
      </c>
      <c r="BN8" s="84">
        <f t="shared" ref="BN8:BN10" ca="1" si="40">EXP(BA8-$BK8)</f>
        <v>0.66028979845224534</v>
      </c>
      <c r="BO8" s="84">
        <f t="shared" ref="BO8:BO10" ca="1" si="41">EXP(BB8-$BK8)</f>
        <v>0.64972653923000667</v>
      </c>
      <c r="BP8" s="84">
        <f t="shared" ref="BP8:BP10" ca="1" si="42">EXP(BC8-$BK8)</f>
        <v>0.65002800760981538</v>
      </c>
      <c r="BQ8" s="84">
        <f t="shared" ref="BQ8:BQ10" ca="1" si="43">EXP(BD8-$BK8)</f>
        <v>0.65029318229357713</v>
      </c>
      <c r="BR8" s="84">
        <f t="shared" ref="BR8:BR10" ca="1" si="44">EXP(BE8-$BK8)</f>
        <v>0.64942666997397713</v>
      </c>
      <c r="BS8" s="84">
        <f t="shared" ref="BS8:BS10" ca="1" si="45">EXP(BF8-$BK8)</f>
        <v>0.61083947144571471</v>
      </c>
      <c r="BT8" s="85">
        <f t="shared" ref="BT8:BT10" ca="1" si="46">EXP(BG8-$BK8)</f>
        <v>0.65086820888968844</v>
      </c>
      <c r="BU8" s="84">
        <f t="shared" ref="BU8:BU10" ca="1" si="47">EXP(BH8-$BK8)</f>
        <v>0.17402001212148763</v>
      </c>
      <c r="BV8" s="83">
        <f t="shared" ref="BV8:BV10" ca="1" si="48">TANH(BI8)</f>
        <v>-2.2568797800791957E-5</v>
      </c>
      <c r="BX8" s="86">
        <f t="shared" ref="BX8:BX36" ca="1" si="49">SUM(BL8:BU8)</f>
        <v>6.3457870958641704</v>
      </c>
      <c r="BY8" s="146">
        <f t="shared" ref="BY8:BY36" ca="1" si="50">LN(BL8/$BX8 + 0.0001)</f>
        <v>-1.8471567658047443</v>
      </c>
      <c r="BZ8" s="103">
        <f t="shared" ca="1" si="17"/>
        <v>-2.2771446436680134</v>
      </c>
      <c r="CA8" s="103">
        <f t="shared" ca="1" si="18"/>
        <v>-2.2619069956441225</v>
      </c>
      <c r="CB8" s="103">
        <f t="shared" ca="1" si="19"/>
        <v>-2.2780186475556308</v>
      </c>
      <c r="CC8" s="103">
        <f t="shared" ca="1" si="20"/>
        <v>-2.2775552149767817</v>
      </c>
      <c r="CD8" s="103">
        <f t="shared" ca="1" si="21"/>
        <v>-2.2771477523861501</v>
      </c>
      <c r="CE8" s="103">
        <f t="shared" ca="1" si="22"/>
        <v>-2.2784798350421598</v>
      </c>
      <c r="CF8" s="103">
        <f t="shared" ca="1" si="23"/>
        <v>-2.339673904387026</v>
      </c>
      <c r="CG8" s="104">
        <f t="shared" ca="1" si="24"/>
        <v>-2.2762647469405382</v>
      </c>
      <c r="CH8" s="103">
        <f t="shared" ca="1" si="25"/>
        <v>-3.592736165436957</v>
      </c>
      <c r="CI8" s="83">
        <f t="shared" ref="CI8:CI10" ca="1" si="51">BV8</f>
        <v>-2.2568797800791957E-5</v>
      </c>
      <c r="CK8" s="130">
        <f t="shared" ref="CK8:CK10" ca="1" si="52">N8</f>
        <v>0.1111111111111111</v>
      </c>
      <c r="CL8" s="131">
        <f t="shared" ca="1" si="26"/>
        <v>0.1111111111111111</v>
      </c>
      <c r="CM8" s="131">
        <f t="shared" ca="1" si="27"/>
        <v>0</v>
      </c>
      <c r="CN8" s="131">
        <f t="shared" ca="1" si="28"/>
        <v>0</v>
      </c>
      <c r="CO8" s="131">
        <f t="shared" ca="1" si="29"/>
        <v>0.1111111111111111</v>
      </c>
      <c r="CP8" s="131">
        <f t="shared" ca="1" si="30"/>
        <v>0.17777777777777778</v>
      </c>
      <c r="CQ8" s="131">
        <f t="shared" ca="1" si="31"/>
        <v>0.26666666666666666</v>
      </c>
      <c r="CR8" s="131">
        <f t="shared" ca="1" si="32"/>
        <v>0.1111111111111111</v>
      </c>
      <c r="CS8" s="132">
        <f t="shared" ca="1" si="33"/>
        <v>0.1111111111111111</v>
      </c>
      <c r="CT8" s="131">
        <f t="shared" ca="1" si="34"/>
        <v>0</v>
      </c>
      <c r="CU8" s="315">
        <f t="shared" ca="1" si="35"/>
        <v>1</v>
      </c>
      <c r="CW8" s="63">
        <f t="shared" ref="CW8:CW10" ca="1" si="53">-SUMPRODUCT(BY8:CH8,CK8:CT8)</f>
        <v>2.2366203648551251</v>
      </c>
      <c r="CX8" s="64">
        <f t="shared" ref="CX8:CX10" ca="1" si="54">(CU8-CI8)^2</f>
        <v>1.0000451381049522</v>
      </c>
      <c r="CY8" s="275">
        <f>CY7</f>
        <v>1.9274949456632443E-2</v>
      </c>
      <c r="CZ8" s="65">
        <f ca="1">SUM(CW8:CY8)</f>
        <v>3.2559404524167102</v>
      </c>
    </row>
    <row r="9" spans="1:105">
      <c r="C9" s="232">
        <f t="shared" ref="C9:C36" si="55">C8+1</f>
        <v>2</v>
      </c>
      <c r="D9" s="271">
        <f>IFERROR(MATCH(C9,ExperienceReplayBuffer!$B$5:$B$260,FALSE), D8)</f>
        <v>73</v>
      </c>
      <c r="E9" s="280">
        <f ca="1">OFFSET(ExperienceReplayBuffer!G$4,$D9,0)</f>
        <v>0</v>
      </c>
      <c r="F9" s="281">
        <f ca="1">OFFSET(ExperienceReplayBuffer!H$4,$D9,0)</f>
        <v>0</v>
      </c>
      <c r="G9" s="281">
        <f ca="1">OFFSET(ExperienceReplayBuffer!I$4,$D9,0)</f>
        <v>0</v>
      </c>
      <c r="H9" s="281">
        <f ca="1">OFFSET(ExperienceReplayBuffer!J$4,$D9,0)</f>
        <v>0</v>
      </c>
      <c r="I9" s="281">
        <f ca="1">OFFSET(ExperienceReplayBuffer!K$4,$D9,0)</f>
        <v>0</v>
      </c>
      <c r="J9" s="281">
        <f ca="1">OFFSET(ExperienceReplayBuffer!L$4,$D9,0)</f>
        <v>0</v>
      </c>
      <c r="K9" s="281">
        <f ca="1">OFFSET(ExperienceReplayBuffer!M$4,$D9,0)</f>
        <v>0</v>
      </c>
      <c r="L9" s="281">
        <f ca="1">OFFSET(ExperienceReplayBuffer!N$4,$D9,0)</f>
        <v>0</v>
      </c>
      <c r="M9" s="282">
        <f ca="1">OFFSET(ExperienceReplayBuffer!O$4,$D9,0)</f>
        <v>0</v>
      </c>
      <c r="N9" s="387">
        <f ca="1">OFFSET(ExperienceReplayBuffer!P$4,$D9,0)</f>
        <v>0.10638297872340426</v>
      </c>
      <c r="O9" s="388">
        <f ca="1">OFFSET(ExperienceReplayBuffer!Q$4,$D9,0)</f>
        <v>0.10638297872340426</v>
      </c>
      <c r="P9" s="388">
        <f ca="1">OFFSET(ExperienceReplayBuffer!R$4,$D9,0)</f>
        <v>8.5106382978723402E-2</v>
      </c>
      <c r="Q9" s="388">
        <f ca="1">OFFSET(ExperienceReplayBuffer!S$4,$D9,0)</f>
        <v>0.10638297872340426</v>
      </c>
      <c r="R9" s="388">
        <f ca="1">OFFSET(ExperienceReplayBuffer!T$4,$D9,0)</f>
        <v>0.10638297872340426</v>
      </c>
      <c r="S9" s="388">
        <f ca="1">OFFSET(ExperienceReplayBuffer!U$4,$D9,0)</f>
        <v>0.1276595744680851</v>
      </c>
      <c r="T9" s="388">
        <f ca="1">OFFSET(ExperienceReplayBuffer!V$4,$D9,0)</f>
        <v>0.10638297872340426</v>
      </c>
      <c r="U9" s="388">
        <f ca="1">OFFSET(ExperienceReplayBuffer!W$4,$D9,0)</f>
        <v>0.1276595744680851</v>
      </c>
      <c r="V9" s="389">
        <f ca="1">OFFSET(ExperienceReplayBuffer!X$4,$D9,0)</f>
        <v>0.1276595744680851</v>
      </c>
      <c r="W9" s="390">
        <f ca="1">OFFSET(ExperienceReplayBuffer!Y$4,$D9,0)</f>
        <v>0</v>
      </c>
      <c r="X9" s="396">
        <f ca="1">OFFSET(ExperienceReplayBuffer!Z$4,$D9,0)</f>
        <v>1</v>
      </c>
      <c r="AC9" s="139">
        <f t="shared" ca="1" si="36"/>
        <v>0</v>
      </c>
      <c r="AD9" s="140">
        <f t="shared" ca="1" si="8"/>
        <v>0</v>
      </c>
      <c r="AE9" s="140">
        <f t="shared" ca="1" si="9"/>
        <v>0</v>
      </c>
      <c r="AF9" s="140">
        <f t="shared" ca="1" si="10"/>
        <v>0</v>
      </c>
      <c r="AG9" s="140">
        <f t="shared" ca="1" si="11"/>
        <v>0</v>
      </c>
      <c r="AH9" s="140">
        <f t="shared" ca="1" si="12"/>
        <v>0</v>
      </c>
      <c r="AI9" s="140">
        <f t="shared" ca="1" si="13"/>
        <v>0</v>
      </c>
      <c r="AJ9" s="140">
        <f t="shared" ca="1" si="14"/>
        <v>0</v>
      </c>
      <c r="AK9" s="141">
        <f t="shared" ca="1" si="15"/>
        <v>0</v>
      </c>
      <c r="AM9" s="86">
        <f ca="1">MAX(0, SUMPRODUCT($AC9:$AK9,OFFSET(DNN!$E$9:$M$9,AM$6,0)) + OFFSET(DNN!$D$9,AM$6,0))</f>
        <v>2.0631558248247021E-3</v>
      </c>
      <c r="AN9" s="84">
        <f ca="1">MAX(0, SUMPRODUCT($AC9:$AK9,OFFSET(DNN!$E$9:$M$9,AN$6,0)) + OFFSET(DNN!$D$9,AN$6,0))</f>
        <v>0</v>
      </c>
      <c r="AO9" s="84">
        <f ca="1">MAX(0, SUMPRODUCT($AC9:$AK9,OFFSET(DNN!$E$9:$M$9,AO$6,0)) + OFFSET(DNN!$D$9,AO$6,0))</f>
        <v>2.154285938296177E-3</v>
      </c>
      <c r="AP9" s="84">
        <f ca="1">MAX(0, SUMPRODUCT($AC9:$AK9,OFFSET(DNN!$E$9:$M$9,AP$6,0)) + OFFSET(DNN!$D$9,AP$6,0))</f>
        <v>0</v>
      </c>
      <c r="AQ9" s="85">
        <f ca="1">MAX(0, SUMPRODUCT($AC9:$AK9,OFFSET(DNN!$E$9:$M$9,AQ$6,0)) + OFFSET(DNN!$D$9,AQ$6,0))</f>
        <v>1.8366060460347161E-3</v>
      </c>
      <c r="AR9" s="1"/>
      <c r="AS9" s="421">
        <f ca="1">MAX(0, SUMPRODUCT($AM9:$AQ9,OFFSET(DNN!$Q$9:$U$9,AS$6,0)) + OFFSET(DNN!$P$9,AS$6,0))</f>
        <v>4.6541703104327264E-4</v>
      </c>
      <c r="AT9" s="422">
        <f ca="1">MAX(0, SUMPRODUCT($AM9:$AQ9,OFFSET(DNN!$Q$9:$U$9,AT$6,0)) + OFFSET(DNN!$P$9,AT$6,0))</f>
        <v>0</v>
      </c>
      <c r="AU9" s="422">
        <f ca="1">MAX(0, SUMPRODUCT($AM9:$AQ9,OFFSET(DNN!$Q$9:$U$9,AU$6,0)) + OFFSET(DNN!$P$9,AU$6,0))</f>
        <v>1.2728791875745589E-3</v>
      </c>
      <c r="AV9" s="422">
        <f ca="1">MAX(0, SUMPRODUCT($AM9:$AQ9,OFFSET(DNN!$Q$9:$U$9,AV$6,0)) + OFFSET(DNN!$P$9,AV$6,0))</f>
        <v>7.9787814168382897E-4</v>
      </c>
      <c r="AW9" s="423">
        <f ca="1">MAX(0, SUMPRODUCT($AM9:$AQ9,OFFSET(DNN!$Q$9:$U$9,AW$6,0)) + OFFSET(DNN!$P$9,AW$6,0))</f>
        <v>0</v>
      </c>
      <c r="AX9" s="1"/>
      <c r="AY9" s="86">
        <f ca="1">SUMPRODUCT($AS9:$AW9,OFFSET(DNN!$Y$9:$AC$9,AY$6,0)) + OFFSET(DNN!$X$9,AY$6,0)</f>
        <v>0.43031625597189976</v>
      </c>
      <c r="AZ9" s="84">
        <f ca="1">SUMPRODUCT($AS9:$AW9,OFFSET(DNN!$Y$9:$AC$9,AZ$6,0)) + OFFSET(DNN!$X$9,AZ$6,0)</f>
        <v>-1.2608933306266211E-5</v>
      </c>
      <c r="BA9" s="84">
        <f ca="1">SUMPRODUCT($AS9:$AW9,OFFSET(DNN!$Y$9:$AC$9,BA$6,0)) + OFFSET(DNN!$X$9,BA$6,0)</f>
        <v>1.5239774842061692E-2</v>
      </c>
      <c r="BB9" s="84">
        <f ca="1">SUMPRODUCT($AS9:$AW9,OFFSET(DNN!$Y$9:$AC$9,BB$6,0)) + OFFSET(DNN!$X$9,BB$6,0)</f>
        <v>-8.8745939962467173E-4</v>
      </c>
      <c r="BC9" s="84">
        <f ca="1">SUMPRODUCT($AS9:$AW9,OFFSET(DNN!$Y$9:$AC$9,BC$6,0)) + OFFSET(DNN!$X$9,BC$6,0)</f>
        <v>-4.2360343497512535E-4</v>
      </c>
      <c r="BD9" s="84">
        <f ca="1">SUMPRODUCT($AS9:$AW9,OFFSET(DNN!$Y$9:$AC$9,BD$6,0)) + OFFSET(DNN!$X$9,BD$6,0)</f>
        <v>-1.5731478380349936E-5</v>
      </c>
      <c r="BE9" s="84">
        <f ca="1">SUMPRODUCT($AS9:$AW9,OFFSET(DNN!$Y$9:$AC$9,BE$6,0)) + OFFSET(DNN!$X$9,BE$6,0)</f>
        <v>-1.3490925317642625E-3</v>
      </c>
      <c r="BF9" s="84">
        <f ca="1">SUMPRODUCT($AS9:$AW9,OFFSET(DNN!$Y$9:$AC$9,BF$6,0)) + OFFSET(DNN!$X$9,BF$6,0)</f>
        <v>-6.2604865391920853E-2</v>
      </c>
      <c r="BG9" s="84">
        <f ca="1">SUMPRODUCT($AS9:$AW9,OFFSET(DNN!$Y$9:$AC$9,BG$6,0)) + OFFSET(DNN!$X$9,BG$6,0)</f>
        <v>8.6816048610788385E-4</v>
      </c>
      <c r="BH9" s="83">
        <f ca="1">SUMPRODUCT($AS9:$AW9,OFFSET(DNN!$Y$9:$AC$9,BH$6,0)) + OFFSET(DNN!$X$9,BH$6,0)</f>
        <v>-1.3182687295664537</v>
      </c>
      <c r="BI9" s="85">
        <f ca="1">SUMPRODUCT($AS9:$AW9,OFFSET(DNN!$Y$9:$AC$9,BI$6,0)) + OFFSET(DNN!$X$9,BI$6,0)</f>
        <v>-2.2578453539223673E-5</v>
      </c>
      <c r="BJ9" s="1"/>
      <c r="BK9" s="415">
        <f t="shared" ca="1" si="37"/>
        <v>0.43031625597189976</v>
      </c>
      <c r="BL9" s="86">
        <f t="shared" ca="1" si="38"/>
        <v>1</v>
      </c>
      <c r="BM9" s="84">
        <f t="shared" ca="1" si="39"/>
        <v>0.65029520028465959</v>
      </c>
      <c r="BN9" s="84">
        <f t="shared" ca="1" si="40"/>
        <v>0.66028977906547281</v>
      </c>
      <c r="BO9" s="84">
        <f t="shared" ca="1" si="41"/>
        <v>0.64972653800894398</v>
      </c>
      <c r="BP9" s="84">
        <f t="shared" ca="1" si="42"/>
        <v>0.65002798744814561</v>
      </c>
      <c r="BQ9" s="84">
        <f t="shared" ca="1" si="43"/>
        <v>0.65029316971175555</v>
      </c>
      <c r="BR9" s="84">
        <f t="shared" ca="1" si="44"/>
        <v>0.64942667193155224</v>
      </c>
      <c r="BS9" s="84">
        <f t="shared" ca="1" si="45"/>
        <v>0.61083944934835099</v>
      </c>
      <c r="BT9" s="85">
        <f t="shared" ca="1" si="46"/>
        <v>0.65086821271953388</v>
      </c>
      <c r="BU9" s="84">
        <f t="shared" ca="1" si="47"/>
        <v>0.17402001014639393</v>
      </c>
      <c r="BV9" s="83">
        <f t="shared" ca="1" si="48"/>
        <v>-2.2578453535386946E-5</v>
      </c>
      <c r="BX9" s="86">
        <f t="shared" ca="1" si="49"/>
        <v>6.345787018664808</v>
      </c>
      <c r="BY9" s="146">
        <f t="shared" ca="1" si="50"/>
        <v>-1.8471567536470082</v>
      </c>
      <c r="BZ9" s="103">
        <f t="shared" ca="1" si="17"/>
        <v>-2.2771446400606576</v>
      </c>
      <c r="CA9" s="103">
        <f t="shared" ca="1" si="18"/>
        <v>-2.2619070128231673</v>
      </c>
      <c r="CB9" s="103">
        <f t="shared" ca="1" si="19"/>
        <v>-2.2780186372795646</v>
      </c>
      <c r="CC9" s="103">
        <f t="shared" ca="1" si="20"/>
        <v>-2.2775552338095628</v>
      </c>
      <c r="CD9" s="103">
        <f t="shared" ca="1" si="21"/>
        <v>-2.2771477595616187</v>
      </c>
      <c r="CE9" s="103">
        <f t="shared" ca="1" si="22"/>
        <v>-2.278479819877214</v>
      </c>
      <c r="CF9" s="103">
        <f t="shared" ca="1" si="23"/>
        <v>-2.3396739283720609</v>
      </c>
      <c r="CG9" s="104">
        <f t="shared" ca="1" si="24"/>
        <v>-2.2762647289084574</v>
      </c>
      <c r="CH9" s="103">
        <f t="shared" ca="1" si="25"/>
        <v>-3.5927361646242768</v>
      </c>
      <c r="CI9" s="83">
        <f t="shared" ca="1" si="51"/>
        <v>-2.2578453535386946E-5</v>
      </c>
      <c r="CK9" s="130">
        <f t="shared" ca="1" si="52"/>
        <v>0.10638297872340426</v>
      </c>
      <c r="CL9" s="131">
        <f t="shared" ca="1" si="26"/>
        <v>0.10638297872340426</v>
      </c>
      <c r="CM9" s="131">
        <f t="shared" ca="1" si="27"/>
        <v>8.5106382978723402E-2</v>
      </c>
      <c r="CN9" s="131">
        <f t="shared" ca="1" si="28"/>
        <v>0.10638297872340426</v>
      </c>
      <c r="CO9" s="131">
        <f t="shared" ca="1" si="29"/>
        <v>0.10638297872340426</v>
      </c>
      <c r="CP9" s="131">
        <f t="shared" ca="1" si="30"/>
        <v>0.1276595744680851</v>
      </c>
      <c r="CQ9" s="131">
        <f t="shared" ca="1" si="31"/>
        <v>0.10638297872340426</v>
      </c>
      <c r="CR9" s="131">
        <f t="shared" ca="1" si="32"/>
        <v>0.1276595744680851</v>
      </c>
      <c r="CS9" s="132">
        <f t="shared" ca="1" si="33"/>
        <v>0.1276595744680851</v>
      </c>
      <c r="CT9" s="131">
        <f t="shared" ca="1" si="34"/>
        <v>0</v>
      </c>
      <c r="CU9" s="315">
        <f t="shared" ca="1" si="35"/>
        <v>1</v>
      </c>
      <c r="CW9" s="63">
        <f t="shared" ca="1" si="53"/>
        <v>2.2382536590577771</v>
      </c>
      <c r="CX9" s="64">
        <f t="shared" ca="1" si="54"/>
        <v>1.0000451574168576</v>
      </c>
      <c r="CY9" s="275">
        <f t="shared" ref="CY9:CY36" si="56">CY8</f>
        <v>1.9274949456632443E-2</v>
      </c>
      <c r="CZ9" s="65">
        <f t="shared" ref="CZ8:CZ10" ca="1" si="57">SUM(CW9:CY9)</f>
        <v>3.2575737659312676</v>
      </c>
    </row>
    <row r="10" spans="1:105">
      <c r="C10" s="232">
        <f t="shared" si="55"/>
        <v>3</v>
      </c>
      <c r="D10" s="271">
        <f>IFERROR(MATCH(C10,ExperienceReplayBuffer!$B$5:$B$260,FALSE), D9)</f>
        <v>31</v>
      </c>
      <c r="E10" s="280">
        <f ca="1">OFFSET(ExperienceReplayBuffer!G$4,$D10,0)</f>
        <v>0</v>
      </c>
      <c r="F10" s="281">
        <f ca="1">OFFSET(ExperienceReplayBuffer!H$4,$D10,0)</f>
        <v>0</v>
      </c>
      <c r="G10" s="281">
        <f ca="1">OFFSET(ExperienceReplayBuffer!I$4,$D10,0)</f>
        <v>-1</v>
      </c>
      <c r="H10" s="281">
        <f ca="1">OFFSET(ExperienceReplayBuffer!J$4,$D10,0)</f>
        <v>0</v>
      </c>
      <c r="I10" s="281">
        <f ca="1">OFFSET(ExperienceReplayBuffer!K$4,$D10,0)</f>
        <v>0</v>
      </c>
      <c r="J10" s="281">
        <f ca="1">OFFSET(ExperienceReplayBuffer!L$4,$D10,0)</f>
        <v>-1</v>
      </c>
      <c r="K10" s="281">
        <f ca="1">OFFSET(ExperienceReplayBuffer!M$4,$D10,0)</f>
        <v>0</v>
      </c>
      <c r="L10" s="281">
        <f ca="1">OFFSET(ExperienceReplayBuffer!N$4,$D10,0)</f>
        <v>0</v>
      </c>
      <c r="M10" s="282">
        <f ca="1">OFFSET(ExperienceReplayBuffer!O$4,$D10,0)</f>
        <v>1</v>
      </c>
      <c r="N10" s="387">
        <f ca="1">OFFSET(ExperienceReplayBuffer!P$4,$D10,0)</f>
        <v>0.13953488372093023</v>
      </c>
      <c r="O10" s="388">
        <f ca="1">OFFSET(ExperienceReplayBuffer!Q$4,$D10,0)</f>
        <v>0.13953488372093023</v>
      </c>
      <c r="P10" s="388">
        <f ca="1">OFFSET(ExperienceReplayBuffer!R$4,$D10,0)</f>
        <v>0</v>
      </c>
      <c r="Q10" s="388">
        <f ca="1">OFFSET(ExperienceReplayBuffer!S$4,$D10,0)</f>
        <v>0.13953488372093023</v>
      </c>
      <c r="R10" s="388">
        <f ca="1">OFFSET(ExperienceReplayBuffer!T$4,$D10,0)</f>
        <v>0.30232558139534882</v>
      </c>
      <c r="S10" s="388">
        <f ca="1">OFFSET(ExperienceReplayBuffer!U$4,$D10,0)</f>
        <v>0</v>
      </c>
      <c r="T10" s="388">
        <f ca="1">OFFSET(ExperienceReplayBuffer!V$4,$D10,0)</f>
        <v>0.11627906976744186</v>
      </c>
      <c r="U10" s="388">
        <f ca="1">OFFSET(ExperienceReplayBuffer!W$4,$D10,0)</f>
        <v>0.16279069767441862</v>
      </c>
      <c r="V10" s="389">
        <f ca="1">OFFSET(ExperienceReplayBuffer!X$4,$D10,0)</f>
        <v>0</v>
      </c>
      <c r="W10" s="390">
        <f ca="1">OFFSET(ExperienceReplayBuffer!Y$4,$D10,0)</f>
        <v>0</v>
      </c>
      <c r="X10" s="396">
        <f ca="1">OFFSET(ExperienceReplayBuffer!Z$4,$D10,0)</f>
        <v>1</v>
      </c>
      <c r="AC10" s="139">
        <f t="shared" ca="1" si="36"/>
        <v>0</v>
      </c>
      <c r="AD10" s="140">
        <f t="shared" ca="1" si="8"/>
        <v>0</v>
      </c>
      <c r="AE10" s="140">
        <f t="shared" ca="1" si="9"/>
        <v>-1</v>
      </c>
      <c r="AF10" s="140">
        <f t="shared" ca="1" si="10"/>
        <v>0</v>
      </c>
      <c r="AG10" s="140">
        <f t="shared" ca="1" si="11"/>
        <v>0</v>
      </c>
      <c r="AH10" s="140">
        <f t="shared" ca="1" si="12"/>
        <v>-1</v>
      </c>
      <c r="AI10" s="140">
        <f t="shared" ca="1" si="13"/>
        <v>0</v>
      </c>
      <c r="AJ10" s="140">
        <f t="shared" ca="1" si="14"/>
        <v>0</v>
      </c>
      <c r="AK10" s="141">
        <f t="shared" ca="1" si="15"/>
        <v>1</v>
      </c>
      <c r="AM10" s="86">
        <f ca="1">MAX(0, SUMPRODUCT($AC10:$AK10,OFFSET(DNN!$E$9:$M$9,AM$6,0)) + OFFSET(DNN!$D$9,AM$6,0))</f>
        <v>7.0478456586864253E-3</v>
      </c>
      <c r="AN10" s="84">
        <f ca="1">MAX(0, SUMPRODUCT($AC10:$AK10,OFFSET(DNN!$E$9:$M$9,AN$6,0)) + OFFSET(DNN!$D$9,AN$6,0))</f>
        <v>2.7452001830673028E-3</v>
      </c>
      <c r="AO10" s="84">
        <f ca="1">MAX(0, SUMPRODUCT($AC10:$AK10,OFFSET(DNN!$E$9:$M$9,AO$6,0)) + OFFSET(DNN!$D$9,AO$6,0))</f>
        <v>5.8933279460638283E-3</v>
      </c>
      <c r="AP10" s="84">
        <f ca="1">MAX(0, SUMPRODUCT($AC10:$AK10,OFFSET(DNN!$E$9:$M$9,AP$6,0)) + OFFSET(DNN!$D$9,AP$6,0))</f>
        <v>1.7516751064104523E-3</v>
      </c>
      <c r="AQ10" s="85">
        <f ca="1">MAX(0, SUMPRODUCT($AC10:$AK10,OFFSET(DNN!$E$9:$M$9,AQ$6,0)) + OFFSET(DNN!$D$9,AQ$6,0))</f>
        <v>0</v>
      </c>
      <c r="AR10" s="1"/>
      <c r="AS10" s="421">
        <f ca="1">MAX(0, SUMPRODUCT($AM10:$AQ10,OFFSET(DNN!$Q$9:$U$9,AS$6,0)) + OFFSET(DNN!$P$9,AS$6,0))</f>
        <v>4.5447625188067684E-4</v>
      </c>
      <c r="AT10" s="422">
        <f ca="1">MAX(0, SUMPRODUCT($AM10:$AQ10,OFFSET(DNN!$Q$9:$U$9,AT$6,0)) + OFFSET(DNN!$P$9,AT$6,0))</f>
        <v>0</v>
      </c>
      <c r="AU10" s="422">
        <f ca="1">MAX(0, SUMPRODUCT($AM10:$AQ10,OFFSET(DNN!$Q$9:$U$9,AU$6,0)) + OFFSET(DNN!$P$9,AU$6,0))</f>
        <v>1.2618457337073325E-3</v>
      </c>
      <c r="AV10" s="422">
        <f ca="1">MAX(0, SUMPRODUCT($AM10:$AQ10,OFFSET(DNN!$Q$9:$U$9,AV$6,0)) + OFFSET(DNN!$P$9,AV$6,0))</f>
        <v>8.0052733984589436E-4</v>
      </c>
      <c r="AW10" s="423">
        <f ca="1">MAX(0, SUMPRODUCT($AM10:$AQ10,OFFSET(DNN!$Q$9:$U$9,AW$6,0)) + OFFSET(DNN!$P$9,AW$6,0))</f>
        <v>0</v>
      </c>
      <c r="AX10" s="1"/>
      <c r="AY10" s="86">
        <f ca="1">SUMPRODUCT($AS10:$AW10,OFFSET(DNN!$Y$9:$AC$9,AY$6,0)) + OFFSET(DNN!$X$9,AY$6,0)</f>
        <v>0.4303162518252846</v>
      </c>
      <c r="AZ10" s="84">
        <f ca="1">SUMPRODUCT($AS10:$AW10,OFFSET(DNN!$Y$9:$AC$9,AZ$6,0)) + OFFSET(DNN!$X$9,AZ$6,0)</f>
        <v>-1.2620886655089445E-5</v>
      </c>
      <c r="BA10" s="84">
        <f ca="1">SUMPRODUCT($AS10:$AW10,OFFSET(DNN!$Y$9:$AC$9,BA$6,0)) + OFFSET(DNN!$X$9,BA$6,0)</f>
        <v>1.5239804464067881E-2</v>
      </c>
      <c r="BB10" s="84">
        <f ca="1">SUMPRODUCT($AS10:$AW10,OFFSET(DNN!$Y$9:$AC$9,BB$6,0)) + OFFSET(DNN!$X$9,BB$6,0)</f>
        <v>-8.8749594510515871E-4</v>
      </c>
      <c r="BC10" s="84">
        <f ca="1">SUMPRODUCT($AS10:$AW10,OFFSET(DNN!$Y$9:$AC$9,BC$6,0)) + OFFSET(DNN!$X$9,BC$6,0)</f>
        <v>-4.2357104896883943E-4</v>
      </c>
      <c r="BD10" s="84">
        <f ca="1">SUMPRODUCT($AS10:$AW10,OFFSET(DNN!$Y$9:$AC$9,BD$6,0)) + OFFSET(DNN!$X$9,BD$6,0)</f>
        <v>-1.5714355829098278E-5</v>
      </c>
      <c r="BE10" s="84">
        <f ca="1">SUMPRODUCT($AS10:$AW10,OFFSET(DNN!$Y$9:$AC$9,BE$6,0)) + OFFSET(DNN!$X$9,BE$6,0)</f>
        <v>-1.3491211447717892E-3</v>
      </c>
      <c r="BF10" s="84">
        <f ca="1">SUMPRODUCT($AS10:$AW10,OFFSET(DNN!$Y$9:$AC$9,BF$6,0)) + OFFSET(DNN!$X$9,BF$6,0)</f>
        <v>-6.2604848370264518E-2</v>
      </c>
      <c r="BG10" s="84">
        <f ca="1">SUMPRODUCT($AS10:$AW10,OFFSET(DNN!$Y$9:$AC$9,BG$6,0)) + OFFSET(DNN!$X$9,BG$6,0)</f>
        <v>8.6812738641519954E-4</v>
      </c>
      <c r="BH10" s="83">
        <f ca="1">SUMPRODUCT($AS10:$AW10,OFFSET(DNN!$Y$9:$AC$9,BH$6,0)) + OFFSET(DNN!$X$9,BH$6,0)</f>
        <v>-1.3182687351158395</v>
      </c>
      <c r="BI10" s="85">
        <f ca="1">SUMPRODUCT($AS10:$AW10,OFFSET(DNN!$Y$9:$AC$9,BI$6,0)) + OFFSET(DNN!$X$9,BI$6,0)</f>
        <v>-2.2584617589632191E-5</v>
      </c>
      <c r="BJ10" s="1"/>
      <c r="BK10" s="415">
        <f t="shared" ca="1" si="37"/>
        <v>0.4303162518252846</v>
      </c>
      <c r="BL10" s="86">
        <f t="shared" ca="1" si="38"/>
        <v>1</v>
      </c>
      <c r="BM10" s="84">
        <f t="shared" ca="1" si="39"/>
        <v>0.65029519520797818</v>
      </c>
      <c r="BN10" s="84">
        <f t="shared" ca="1" si="40"/>
        <v>0.66028980136254867</v>
      </c>
      <c r="BO10" s="84">
        <f ca="1">EXP(BB10-$BK10)</f>
        <v>0.64972651695854167</v>
      </c>
      <c r="BP10" s="84">
        <f t="shared" ca="1" si="42"/>
        <v>0.65002801119537246</v>
      </c>
      <c r="BQ10" s="84">
        <f t="shared" ca="1" si="43"/>
        <v>0.65029318354294929</v>
      </c>
      <c r="BR10" s="84">
        <f t="shared" ca="1" si="44"/>
        <v>0.64942665604242455</v>
      </c>
      <c r="BS10" s="84">
        <f t="shared" ca="1" si="45"/>
        <v>0.6108394622787664</v>
      </c>
      <c r="BT10" s="85">
        <f t="shared" ca="1" si="46"/>
        <v>0.65086819387489625</v>
      </c>
      <c r="BU10" s="84">
        <f t="shared" ca="1" si="47"/>
        <v>0.17402000990228378</v>
      </c>
      <c r="BV10" s="83">
        <f ca="1">TANH(BI10)</f>
        <v>-2.2584617585792317E-5</v>
      </c>
      <c r="BX10" s="86">
        <f t="shared" ca="1" si="49"/>
        <v>6.3457870303657629</v>
      </c>
      <c r="BY10" s="146">
        <f t="shared" ca="1" si="50"/>
        <v>-1.8471567554897321</v>
      </c>
      <c r="BZ10" s="103">
        <f t="shared" ca="1" si="17"/>
        <v>-2.2771446497018761</v>
      </c>
      <c r="CA10" s="103">
        <f t="shared" ca="1" si="18"/>
        <v>-2.2619069809290915</v>
      </c>
      <c r="CB10" s="103">
        <f t="shared" ca="1" si="19"/>
        <v>-2.2780186714889119</v>
      </c>
      <c r="CC10" s="103">
        <f t="shared" ca="1" si="20"/>
        <v>-2.2775551991546661</v>
      </c>
      <c r="CD10" s="103">
        <f t="shared" ca="1" si="21"/>
        <v>-2.2771477401552831</v>
      </c>
      <c r="CE10" s="103">
        <f t="shared" ca="1" si="22"/>
        <v>-2.2784798461618165</v>
      </c>
      <c r="CF10" s="103">
        <f t="shared" ca="1" si="23"/>
        <v>-2.3396739090677374</v>
      </c>
      <c r="CG10" s="104">
        <f t="shared" ca="1" si="24"/>
        <v>-2.2762647596754317</v>
      </c>
      <c r="CH10" s="103">
        <f t="shared" ca="1" si="25"/>
        <v>-3.5927361678591447</v>
      </c>
      <c r="CI10" s="83">
        <f t="shared" ca="1" si="51"/>
        <v>-2.2584617585792317E-5</v>
      </c>
      <c r="CK10" s="130">
        <f t="shared" ca="1" si="52"/>
        <v>0.13953488372093023</v>
      </c>
      <c r="CL10" s="131">
        <f t="shared" ca="1" si="26"/>
        <v>0.13953488372093023</v>
      </c>
      <c r="CM10" s="131">
        <f t="shared" ca="1" si="27"/>
        <v>0</v>
      </c>
      <c r="CN10" s="131">
        <f t="shared" ca="1" si="28"/>
        <v>0.13953488372093023</v>
      </c>
      <c r="CO10" s="131">
        <f t="shared" ca="1" si="29"/>
        <v>0.30232558139534882</v>
      </c>
      <c r="CP10" s="131">
        <f t="shared" ca="1" si="30"/>
        <v>0</v>
      </c>
      <c r="CQ10" s="131">
        <f t="shared" ca="1" si="31"/>
        <v>0.11627906976744186</v>
      </c>
      <c r="CR10" s="131">
        <f t="shared" ca="1" si="32"/>
        <v>0.16279069767441862</v>
      </c>
      <c r="CS10" s="132">
        <f t="shared" ca="1" si="33"/>
        <v>0</v>
      </c>
      <c r="CT10" s="131">
        <f t="shared" ca="1" si="34"/>
        <v>0</v>
      </c>
      <c r="CU10" s="315">
        <f t="shared" ca="1" si="35"/>
        <v>1</v>
      </c>
      <c r="CW10" s="63">
        <f t="shared" ca="1" si="53"/>
        <v>2.2277268521715587</v>
      </c>
      <c r="CX10" s="64">
        <f t="shared" ca="1" si="54"/>
        <v>1.0000451697452366</v>
      </c>
      <c r="CY10" s="275">
        <f t="shared" si="56"/>
        <v>1.9274949456632443E-2</v>
      </c>
      <c r="CZ10" s="65">
        <f t="shared" ca="1" si="57"/>
        <v>3.247046971373428</v>
      </c>
    </row>
    <row r="11" spans="1:105">
      <c r="C11" s="232">
        <f t="shared" si="55"/>
        <v>4</v>
      </c>
      <c r="D11" s="271">
        <f>IFERROR(MATCH(C11,ExperienceReplayBuffer!$B$5:$B$260,FALSE), D10)</f>
        <v>110</v>
      </c>
      <c r="E11" s="280">
        <f ca="1">OFFSET(ExperienceReplayBuffer!G$4,$D11,0)</f>
        <v>0</v>
      </c>
      <c r="F11" s="281">
        <f ca="1">OFFSET(ExperienceReplayBuffer!H$4,$D11,0)</f>
        <v>0</v>
      </c>
      <c r="G11" s="281">
        <f ca="1">OFFSET(ExperienceReplayBuffer!I$4,$D11,0)</f>
        <v>0</v>
      </c>
      <c r="H11" s="281">
        <f ca="1">OFFSET(ExperienceReplayBuffer!J$4,$D11,0)</f>
        <v>0</v>
      </c>
      <c r="I11" s="281">
        <f ca="1">OFFSET(ExperienceReplayBuffer!K$4,$D11,0)</f>
        <v>0</v>
      </c>
      <c r="J11" s="281">
        <f ca="1">OFFSET(ExperienceReplayBuffer!L$4,$D11,0)</f>
        <v>0</v>
      </c>
      <c r="K11" s="281">
        <f ca="1">OFFSET(ExperienceReplayBuffer!M$4,$D11,0)</f>
        <v>0</v>
      </c>
      <c r="L11" s="281">
        <f ca="1">OFFSET(ExperienceReplayBuffer!N$4,$D11,0)</f>
        <v>-1</v>
      </c>
      <c r="M11" s="282">
        <f ca="1">OFFSET(ExperienceReplayBuffer!O$4,$D11,0)</f>
        <v>0</v>
      </c>
      <c r="N11" s="387">
        <f ca="1">OFFSET(ExperienceReplayBuffer!P$4,$D11,0)</f>
        <v>0.16666666666666666</v>
      </c>
      <c r="O11" s="388">
        <f ca="1">OFFSET(ExperienceReplayBuffer!Q$4,$D11,0)</f>
        <v>9.5238095238095233E-2</v>
      </c>
      <c r="P11" s="388">
        <f ca="1">OFFSET(ExperienceReplayBuffer!R$4,$D11,0)</f>
        <v>9.5238095238095233E-2</v>
      </c>
      <c r="Q11" s="388">
        <f ca="1">OFFSET(ExperienceReplayBuffer!S$4,$D11,0)</f>
        <v>0.14285714285714285</v>
      </c>
      <c r="R11" s="388">
        <f ca="1">OFFSET(ExperienceReplayBuffer!T$4,$D11,0)</f>
        <v>0.11904761904761904</v>
      </c>
      <c r="S11" s="388">
        <f ca="1">OFFSET(ExperienceReplayBuffer!U$4,$D11,0)</f>
        <v>0.14285714285714285</v>
      </c>
      <c r="T11" s="388">
        <f ca="1">OFFSET(ExperienceReplayBuffer!V$4,$D11,0)</f>
        <v>0.14285714285714285</v>
      </c>
      <c r="U11" s="388">
        <f ca="1">OFFSET(ExperienceReplayBuffer!W$4,$D11,0)</f>
        <v>0</v>
      </c>
      <c r="V11" s="389">
        <f ca="1">OFFSET(ExperienceReplayBuffer!X$4,$D11,0)</f>
        <v>9.5238095238095233E-2</v>
      </c>
      <c r="W11" s="390">
        <f ca="1">OFFSET(ExperienceReplayBuffer!Y$4,$D11,0)</f>
        <v>0</v>
      </c>
      <c r="X11" s="396">
        <f ca="1">OFFSET(ExperienceReplayBuffer!Z$4,$D11,0)</f>
        <v>-1</v>
      </c>
      <c r="AC11" s="139">
        <f t="shared" ref="AC11:AC36" ca="1" si="58">E11</f>
        <v>0</v>
      </c>
      <c r="AD11" s="140">
        <f t="shared" ref="AD11:AD36" ca="1" si="59">F11</f>
        <v>0</v>
      </c>
      <c r="AE11" s="140">
        <f t="shared" ref="AE11:AE36" ca="1" si="60">G11</f>
        <v>0</v>
      </c>
      <c r="AF11" s="140">
        <f t="shared" ref="AF11:AF36" ca="1" si="61">H11</f>
        <v>0</v>
      </c>
      <c r="AG11" s="140">
        <f t="shared" ref="AG11:AG36" ca="1" si="62">I11</f>
        <v>0</v>
      </c>
      <c r="AH11" s="140">
        <f t="shared" ref="AH11:AH36" ca="1" si="63">J11</f>
        <v>0</v>
      </c>
      <c r="AI11" s="140">
        <f t="shared" ref="AI11:AI36" ca="1" si="64">K11</f>
        <v>0</v>
      </c>
      <c r="AJ11" s="140">
        <f t="shared" ref="AJ11:AJ36" ca="1" si="65">L11</f>
        <v>-1</v>
      </c>
      <c r="AK11" s="141">
        <f t="shared" ref="AK11:AK36" ca="1" si="66">M11</f>
        <v>0</v>
      </c>
      <c r="AM11" s="86">
        <f ca="1">MAX(0, SUMPRODUCT($AC11:$AK11,OFFSET(DNN!$E$9:$M$9,AM$6,0)) + OFFSET(DNN!$D$9,AM$6,0))</f>
        <v>0</v>
      </c>
      <c r="AN11" s="84">
        <f ca="1">MAX(0, SUMPRODUCT($AC11:$AK11,OFFSET(DNN!$E$9:$M$9,AN$6,0)) + OFFSET(DNN!$D$9,AN$6,0))</f>
        <v>1.1183010753372902E-3</v>
      </c>
      <c r="AO11" s="84">
        <f ca="1">MAX(0, SUMPRODUCT($AC11:$AK11,OFFSET(DNN!$E$9:$M$9,AO$6,0)) + OFFSET(DNN!$D$9,AO$6,0))</f>
        <v>7.0167406639895253E-5</v>
      </c>
      <c r="AP11" s="84">
        <f ca="1">MAX(0, SUMPRODUCT($AC11:$AK11,OFFSET(DNN!$E$9:$M$9,AP$6,0)) + OFFSET(DNN!$D$9,AP$6,0))</f>
        <v>0</v>
      </c>
      <c r="AQ11" s="85">
        <f ca="1">MAX(0, SUMPRODUCT($AC11:$AK11,OFFSET(DNN!$E$9:$M$9,AQ$6,0)) + OFFSET(DNN!$D$9,AQ$6,0))</f>
        <v>3.3021092014009117E-3</v>
      </c>
      <c r="AR11" s="1"/>
      <c r="AS11" s="421">
        <f ca="1">MAX(0, SUMPRODUCT($AM11:$AQ11,OFFSET(DNN!$Q$9:$U$9,AS$6,0)) + OFFSET(DNN!$P$9,AS$6,0))</f>
        <v>4.6665398796818505E-4</v>
      </c>
      <c r="AT11" s="422">
        <f ca="1">MAX(0, SUMPRODUCT($AM11:$AQ11,OFFSET(DNN!$Q$9:$U$9,AT$6,0)) + OFFSET(DNN!$P$9,AT$6,0))</f>
        <v>0</v>
      </c>
      <c r="AU11" s="422">
        <f ca="1">MAX(0, SUMPRODUCT($AM11:$AQ11,OFFSET(DNN!$Q$9:$U$9,AU$6,0)) + OFFSET(DNN!$P$9,AU$6,0))</f>
        <v>1.2813061932089246E-3</v>
      </c>
      <c r="AV11" s="422">
        <f ca="1">MAX(0, SUMPRODUCT($AM11:$AQ11,OFFSET(DNN!$Q$9:$U$9,AV$6,0)) + OFFSET(DNN!$P$9,AV$6,0))</f>
        <v>7.9008713909949296E-4</v>
      </c>
      <c r="AW11" s="423">
        <f ca="1">MAX(0, SUMPRODUCT($AM11:$AQ11,OFFSET(DNN!$Q$9:$U$9,AW$6,0)) + OFFSET(DNN!$P$9,AW$6,0))</f>
        <v>0</v>
      </c>
      <c r="AX11" s="1"/>
      <c r="AY11" s="86">
        <f ca="1">SUMPRODUCT($AS11:$AW11,OFFSET(DNN!$Y$9:$AC$9,AY$6,0)) + OFFSET(DNN!$X$9,AY$6,0)</f>
        <v>0.43031624110142336</v>
      </c>
      <c r="AZ11" s="84">
        <f ca="1">SUMPRODUCT($AS11:$AW11,OFFSET(DNN!$Y$9:$AC$9,AZ$6,0)) + OFFSET(DNN!$X$9,AZ$6,0)</f>
        <v>-1.2605794542999945E-5</v>
      </c>
      <c r="BA11" s="84">
        <f ca="1">SUMPRODUCT($AS11:$AW11,OFFSET(DNN!$Y$9:$AC$9,BA$6,0)) + OFFSET(DNN!$X$9,BA$6,0)</f>
        <v>1.5239757204016545E-2</v>
      </c>
      <c r="BB11" s="84">
        <f ca="1">SUMPRODUCT($AS11:$AW11,OFFSET(DNN!$Y$9:$AC$9,BB$6,0)) + OFFSET(DNN!$X$9,BB$6,0)</f>
        <v>-8.874417134134288E-4</v>
      </c>
      <c r="BC11" s="84">
        <f ca="1">SUMPRODUCT($AS11:$AW11,OFFSET(DNN!$Y$9:$AC$9,BC$6,0)) + OFFSET(DNN!$X$9,BC$6,0)</f>
        <v>-4.2362166638831871E-4</v>
      </c>
      <c r="BD11" s="84">
        <f ca="1">SUMPRODUCT($AS11:$AW11,OFFSET(DNN!$Y$9:$AC$9,BD$6,0)) + OFFSET(DNN!$X$9,BD$6,0)</f>
        <v>-1.5747029323297303E-5</v>
      </c>
      <c r="BE11" s="84">
        <f ca="1">SUMPRODUCT($AS11:$AW11,OFFSET(DNN!$Y$9:$AC$9,BE$6,0)) + OFFSET(DNN!$X$9,BE$6,0)</f>
        <v>-1.3490896798231617E-3</v>
      </c>
      <c r="BF11" s="84">
        <f ca="1">SUMPRODUCT($AS11:$AW11,OFFSET(DNN!$Y$9:$AC$9,BF$6,0)) + OFFSET(DNN!$X$9,BF$6,0)</f>
        <v>-6.2604865725685827E-2</v>
      </c>
      <c r="BG11" s="84">
        <f ca="1">SUMPRODUCT($AS11:$AW11,OFFSET(DNN!$Y$9:$AC$9,BG$6,0)) + OFFSET(DNN!$X$9,BG$6,0)</f>
        <v>8.6816449054469128E-4</v>
      </c>
      <c r="BH11" s="83">
        <f ca="1">SUMPRODUCT($AS11:$AW11,OFFSET(DNN!$Y$9:$AC$9,BH$6,0)) + OFFSET(DNN!$X$9,BH$6,0)</f>
        <v>-1.3182687286059418</v>
      </c>
      <c r="BI11" s="85">
        <f ca="1">SUMPRODUCT($AS11:$AW11,OFFSET(DNN!$Y$9:$AC$9,BI$6,0)) + OFFSET(DNN!$X$9,BI$6,0)</f>
        <v>-2.2563927322565084E-5</v>
      </c>
      <c r="BJ11" s="1"/>
      <c r="BK11" s="415">
        <f t="shared" ca="1" si="37"/>
        <v>0.43031624110142336</v>
      </c>
      <c r="BL11" s="86">
        <f t="shared" ref="BL11:BL36" ca="1" si="67">EXP(AY11-$BK11)</f>
        <v>1</v>
      </c>
      <c r="BM11" s="84">
        <f t="shared" ref="BM11:BM36" ca="1" si="68">EXP(AZ11-$BK11)</f>
        <v>0.65029521199598184</v>
      </c>
      <c r="BN11" s="84">
        <f t="shared" ref="BN11:BN36" ca="1" si="69">EXP(BA11-$BK11)</f>
        <v>0.66028977723807547</v>
      </c>
      <c r="BO11" s="84">
        <f t="shared" ref="BO11:BO36" ca="1" si="70">EXP(BB11-$BK11)</f>
        <v>0.64972655916188826</v>
      </c>
      <c r="BP11" s="84">
        <f t="shared" ref="BP11:BP36" ca="1" si="71">EXP(BC11-$BK11)</f>
        <v>0.65002798526344263</v>
      </c>
      <c r="BQ11" s="84">
        <f t="shared" ref="BQ11:BQ36" ca="1" si="72">EXP(BD11-$BK11)</f>
        <v>0.65029316926925285</v>
      </c>
      <c r="BR11" s="84">
        <f t="shared" ref="BR11:BR36" ca="1" si="73">EXP(BE11-$BK11)</f>
        <v>0.64942668344096288</v>
      </c>
      <c r="BS11" s="84">
        <f t="shared" ref="BS11:BS36" ca="1" si="74">EXP(BF11-$BK11)</f>
        <v>0.61083945822794783</v>
      </c>
      <c r="BT11" s="85">
        <f t="shared" ref="BT11:BT36" ca="1" si="75">EXP(BG11-$BK11)</f>
        <v>0.65086822500461494</v>
      </c>
      <c r="BU11" s="84">
        <f t="shared" ref="BU11:BU36" ca="1" si="76">EXP(BH11-$BK11)</f>
        <v>0.17402001290130267</v>
      </c>
      <c r="BV11" s="83">
        <f t="shared" ref="BV11:BV36" ca="1" si="77">TANH(BI11)</f>
        <v>-2.2563927318735753E-5</v>
      </c>
      <c r="BX11" s="86">
        <f t="shared" ca="1" si="49"/>
        <v>6.3457870825034686</v>
      </c>
      <c r="BY11" s="146">
        <f t="shared" ca="1" si="50"/>
        <v>-1.847156763700635</v>
      </c>
      <c r="BZ11" s="103">
        <f t="shared" ca="1" si="17"/>
        <v>-2.2771446321191742</v>
      </c>
      <c r="CA11" s="103">
        <f t="shared" ca="1" si="18"/>
        <v>-2.2619070256384264</v>
      </c>
      <c r="CB11" s="103">
        <f t="shared" ca="1" si="19"/>
        <v>-2.2780186148048345</v>
      </c>
      <c r="CC11" s="103">
        <f t="shared" ca="1" si="20"/>
        <v>-2.2775552472174172</v>
      </c>
      <c r="CD11" s="103">
        <f t="shared" ca="1" si="21"/>
        <v>-2.277147770291621</v>
      </c>
      <c r="CE11" s="103">
        <f t="shared" ca="1" si="22"/>
        <v>-2.2784798122222836</v>
      </c>
      <c r="CF11" s="103">
        <f t="shared" ca="1" si="23"/>
        <v>-2.3396739239000017</v>
      </c>
      <c r="CG11" s="104">
        <f t="shared" ca="1" si="24"/>
        <v>-2.2762647201021373</v>
      </c>
      <c r="CH11" s="103">
        <f t="shared" ca="1" si="25"/>
        <v>-3.5927361588742635</v>
      </c>
      <c r="CI11" s="83">
        <f t="shared" ref="CI11:CI36" ca="1" si="78">BV11</f>
        <v>-2.2563927318735753E-5</v>
      </c>
      <c r="CK11" s="130">
        <f t="shared" ref="CK11:CK36" ca="1" si="79">N11</f>
        <v>0.16666666666666666</v>
      </c>
      <c r="CL11" s="131">
        <f t="shared" ref="CL11:CL36" ca="1" si="80">O11</f>
        <v>9.5238095238095233E-2</v>
      </c>
      <c r="CM11" s="131">
        <f t="shared" ref="CM11:CM36" ca="1" si="81">P11</f>
        <v>9.5238095238095233E-2</v>
      </c>
      <c r="CN11" s="131">
        <f t="shared" ref="CN11:CN36" ca="1" si="82">Q11</f>
        <v>0.14285714285714285</v>
      </c>
      <c r="CO11" s="131">
        <f t="shared" ref="CO11:CO36" ca="1" si="83">R11</f>
        <v>0.11904761904761904</v>
      </c>
      <c r="CP11" s="131">
        <f t="shared" ref="CP11:CP36" ca="1" si="84">S11</f>
        <v>0.14285714285714285</v>
      </c>
      <c r="CQ11" s="131">
        <f t="shared" ref="CQ11:CQ36" ca="1" si="85">T11</f>
        <v>0.14285714285714285</v>
      </c>
      <c r="CR11" s="131">
        <f t="shared" ref="CR11:CR36" ca="1" si="86">U11</f>
        <v>0</v>
      </c>
      <c r="CS11" s="132">
        <f t="shared" ref="CS11:CS36" ca="1" si="87">V11</f>
        <v>9.5238095238095233E-2</v>
      </c>
      <c r="CT11" s="131">
        <f t="shared" ref="CT11:CT36" ca="1" si="88">W11</f>
        <v>0</v>
      </c>
      <c r="CU11" s="315">
        <f t="shared" ref="CU11:CU36" ca="1" si="89">X11</f>
        <v>-1</v>
      </c>
      <c r="CW11" s="63">
        <f t="shared" ref="CW11:CW36" ca="1" si="90">-SUMPRODUCT(BY11:CH11,CK11:CT11)</f>
        <v>2.2043099113653075</v>
      </c>
      <c r="CX11" s="64">
        <f t="shared" ref="CX11:CX36" ca="1" si="91">(CU11-CI11)^2</f>
        <v>0.99995487265449345</v>
      </c>
      <c r="CY11" s="275">
        <f t="shared" si="56"/>
        <v>1.9274949456632443E-2</v>
      </c>
      <c r="CZ11" s="65">
        <f t="shared" ref="CZ11:CZ36" ca="1" si="92">SUM(CW11:CY11)</f>
        <v>3.2235397334764335</v>
      </c>
    </row>
    <row r="12" spans="1:105">
      <c r="C12" s="232">
        <f t="shared" si="55"/>
        <v>5</v>
      </c>
      <c r="D12" s="271">
        <f>IFERROR(MATCH(C12,ExperienceReplayBuffer!$B$5:$B$260,FALSE), D11)</f>
        <v>234</v>
      </c>
      <c r="E12" s="280">
        <f ca="1">OFFSET(ExperienceReplayBuffer!G$4,$D12,0)</f>
        <v>-1</v>
      </c>
      <c r="F12" s="281">
        <f ca="1">OFFSET(ExperienceReplayBuffer!H$4,$D12,0)</f>
        <v>0</v>
      </c>
      <c r="G12" s="281">
        <f ca="1">OFFSET(ExperienceReplayBuffer!I$4,$D12,0)</f>
        <v>-1</v>
      </c>
      <c r="H12" s="281">
        <f ca="1">OFFSET(ExperienceReplayBuffer!J$4,$D12,0)</f>
        <v>-1</v>
      </c>
      <c r="I12" s="281">
        <f ca="1">OFFSET(ExperienceReplayBuffer!K$4,$D12,0)</f>
        <v>1</v>
      </c>
      <c r="J12" s="281">
        <f ca="1">OFFSET(ExperienceReplayBuffer!L$4,$D12,0)</f>
        <v>1</v>
      </c>
      <c r="K12" s="281">
        <f ca="1">OFFSET(ExperienceReplayBuffer!M$4,$D12,0)</f>
        <v>1</v>
      </c>
      <c r="L12" s="281">
        <f ca="1">OFFSET(ExperienceReplayBuffer!N$4,$D12,0)</f>
        <v>1</v>
      </c>
      <c r="M12" s="282">
        <f ca="1">OFFSET(ExperienceReplayBuffer!O$4,$D12,0)</f>
        <v>-1</v>
      </c>
      <c r="N12" s="387">
        <f ca="1">OFFSET(ExperienceReplayBuffer!P$4,$D12,0)</f>
        <v>0</v>
      </c>
      <c r="O12" s="388">
        <f ca="1">OFFSET(ExperienceReplayBuffer!Q$4,$D12,0)</f>
        <v>1</v>
      </c>
      <c r="P12" s="388">
        <f ca="1">OFFSET(ExperienceReplayBuffer!R$4,$D12,0)</f>
        <v>0</v>
      </c>
      <c r="Q12" s="388">
        <f ca="1">OFFSET(ExperienceReplayBuffer!S$4,$D12,0)</f>
        <v>0</v>
      </c>
      <c r="R12" s="388">
        <f ca="1">OFFSET(ExperienceReplayBuffer!T$4,$D12,0)</f>
        <v>0</v>
      </c>
      <c r="S12" s="388">
        <f ca="1">OFFSET(ExperienceReplayBuffer!U$4,$D12,0)</f>
        <v>0</v>
      </c>
      <c r="T12" s="388">
        <f ca="1">OFFSET(ExperienceReplayBuffer!V$4,$D12,0)</f>
        <v>0</v>
      </c>
      <c r="U12" s="388">
        <f ca="1">OFFSET(ExperienceReplayBuffer!W$4,$D12,0)</f>
        <v>0</v>
      </c>
      <c r="V12" s="389">
        <f ca="1">OFFSET(ExperienceReplayBuffer!X$4,$D12,0)</f>
        <v>0</v>
      </c>
      <c r="W12" s="390">
        <f ca="1">OFFSET(ExperienceReplayBuffer!Y$4,$D12,0)</f>
        <v>0</v>
      </c>
      <c r="X12" s="396">
        <f ca="1">OFFSET(ExperienceReplayBuffer!Z$4,$D12,0)</f>
        <v>1</v>
      </c>
      <c r="AC12" s="139">
        <f t="shared" ca="1" si="58"/>
        <v>-1</v>
      </c>
      <c r="AD12" s="140">
        <f t="shared" ca="1" si="59"/>
        <v>0</v>
      </c>
      <c r="AE12" s="140">
        <f t="shared" ca="1" si="60"/>
        <v>-1</v>
      </c>
      <c r="AF12" s="140">
        <f t="shared" ca="1" si="61"/>
        <v>-1</v>
      </c>
      <c r="AG12" s="140">
        <f t="shared" ca="1" si="62"/>
        <v>1</v>
      </c>
      <c r="AH12" s="140">
        <f t="shared" ca="1" si="63"/>
        <v>1</v>
      </c>
      <c r="AI12" s="140">
        <f t="shared" ca="1" si="64"/>
        <v>1</v>
      </c>
      <c r="AJ12" s="140">
        <f t="shared" ca="1" si="65"/>
        <v>1</v>
      </c>
      <c r="AK12" s="141">
        <f t="shared" ca="1" si="66"/>
        <v>-1</v>
      </c>
      <c r="AM12" s="86">
        <f ca="1">MAX(0, SUMPRODUCT($AC12:$AK12,OFFSET(DNN!$E$9:$M$9,AM$6,0)) + OFFSET(DNN!$D$9,AM$6,0))</f>
        <v>0</v>
      </c>
      <c r="AN12" s="84">
        <f ca="1">MAX(0, SUMPRODUCT($AC12:$AK12,OFFSET(DNN!$E$9:$M$9,AN$6,0)) + OFFSET(DNN!$D$9,AN$6,0))</f>
        <v>0</v>
      </c>
      <c r="AO12" s="84">
        <f ca="1">MAX(0, SUMPRODUCT($AC12:$AK12,OFFSET(DNN!$E$9:$M$9,AO$6,0)) + OFFSET(DNN!$D$9,AO$6,0))</f>
        <v>7.4379114559039138E-3</v>
      </c>
      <c r="AP12" s="84">
        <f ca="1">MAX(0, SUMPRODUCT($AC12:$AK12,OFFSET(DNN!$E$9:$M$9,AP$6,0)) + OFFSET(DNN!$D$9,AP$6,0))</f>
        <v>0</v>
      </c>
      <c r="AQ12" s="85">
        <f ca="1">MAX(0, SUMPRODUCT($AC12:$AK12,OFFSET(DNN!$E$9:$M$9,AQ$6,0)) + OFFSET(DNN!$D$9,AQ$6,0))</f>
        <v>2.6537216806065706E-3</v>
      </c>
      <c r="AR12" s="1"/>
      <c r="AS12" s="421">
        <f ca="1">MAX(0, SUMPRODUCT($AM12:$AQ12,OFFSET(DNN!$Q$9:$U$9,AS$6,0)) + OFFSET(DNN!$P$9,AS$6,0))</f>
        <v>4.5170818985341445E-4</v>
      </c>
      <c r="AT12" s="422">
        <f ca="1">MAX(0, SUMPRODUCT($AM12:$AQ12,OFFSET(DNN!$Q$9:$U$9,AT$6,0)) + OFFSET(DNN!$P$9,AT$6,0))</f>
        <v>0</v>
      </c>
      <c r="AU12" s="422">
        <f ca="1">MAX(0, SUMPRODUCT($AM12:$AQ12,OFFSET(DNN!$Q$9:$U$9,AU$6,0)) + OFFSET(DNN!$P$9,AU$6,0))</f>
        <v>1.2738363868608552E-3</v>
      </c>
      <c r="AV12" s="422">
        <f ca="1">MAX(0, SUMPRODUCT($AM12:$AQ12,OFFSET(DNN!$Q$9:$U$9,AV$6,0)) + OFFSET(DNN!$P$9,AV$6,0))</f>
        <v>8.0009242703024859E-4</v>
      </c>
      <c r="AW12" s="423">
        <f ca="1">MAX(0, SUMPRODUCT($AM12:$AQ12,OFFSET(DNN!$Q$9:$U$9,AW$6,0)) + OFFSET(DNN!$P$9,AW$6,0))</f>
        <v>0</v>
      </c>
      <c r="AX12" s="1"/>
      <c r="AY12" s="86">
        <f ca="1">SUMPRODUCT($AS12:$AW12,OFFSET(DNN!$Y$9:$AC$9,AY$6,0)) + OFFSET(DNN!$X$9,AY$6,0)</f>
        <v>0.43031623420815529</v>
      </c>
      <c r="AZ12" s="84">
        <f ca="1">SUMPRODUCT($AS12:$AW12,OFFSET(DNN!$Y$9:$AC$9,AZ$6,0)) + OFFSET(DNN!$X$9,AZ$6,0)</f>
        <v>-1.2633971358225673E-5</v>
      </c>
      <c r="BA12" s="84">
        <f ca="1">SUMPRODUCT($AS12:$AW12,OFFSET(DNN!$Y$9:$AC$9,BA$6,0)) + OFFSET(DNN!$X$9,BA$6,0)</f>
        <v>1.5239798067531226E-2</v>
      </c>
      <c r="BB12" s="84">
        <f ca="1">SUMPRODUCT($AS12:$AW12,OFFSET(DNN!$Y$9:$AC$9,BB$6,0)) + OFFSET(DNN!$X$9,BB$6,0)</f>
        <v>-8.8749032253478317E-4</v>
      </c>
      <c r="BC12" s="84">
        <f ca="1">SUMPRODUCT($AS12:$AW12,OFFSET(DNN!$Y$9:$AC$9,BC$6,0)) + OFFSET(DNN!$X$9,BC$6,0)</f>
        <v>-4.2357920882658297E-4</v>
      </c>
      <c r="BD12" s="84">
        <f ca="1">SUMPRODUCT($AS12:$AW12,OFFSET(DNN!$Y$9:$AC$9,BD$6,0)) + OFFSET(DNN!$X$9,BD$6,0)</f>
        <v>-1.5724970268964461E-5</v>
      </c>
      <c r="BE12" s="84">
        <f ca="1">SUMPRODUCT($AS12:$AW12,OFFSET(DNN!$Y$9:$AC$9,BE$6,0)) + OFFSET(DNN!$X$9,BE$6,0)</f>
        <v>-1.3491142956877922E-3</v>
      </c>
      <c r="BF12" s="84">
        <f ca="1">SUMPRODUCT($AS12:$AW12,OFFSET(DNN!$Y$9:$AC$9,BF$6,0)) + OFFSET(DNN!$X$9,BF$6,0)</f>
        <v>-6.2604831975651365E-2</v>
      </c>
      <c r="BG12" s="84">
        <f ca="1">SUMPRODUCT($AS12:$AW12,OFFSET(DNN!$Y$9:$AC$9,BG$6,0)) + OFFSET(DNN!$X$9,BG$6,0)</f>
        <v>8.6813508625632079E-4</v>
      </c>
      <c r="BH12" s="83">
        <f ca="1">SUMPRODUCT($AS12:$AW12,OFFSET(DNN!$Y$9:$AC$9,BH$6,0)) + OFFSET(DNN!$X$9,BH$6,0)</f>
        <v>-1.3182687545935088</v>
      </c>
      <c r="BI12" s="85">
        <f ca="1">SUMPRODUCT($AS12:$AW12,OFFSET(DNN!$Y$9:$AC$9,BI$6,0)) + OFFSET(DNN!$X$9,BI$6,0)</f>
        <v>-2.2565194207888664E-5</v>
      </c>
      <c r="BJ12" s="1"/>
      <c r="BK12" s="415">
        <f t="shared" ca="1" si="37"/>
        <v>0.43031623420815529</v>
      </c>
      <c r="BL12" s="86">
        <f t="shared" ca="1" si="67"/>
        <v>1</v>
      </c>
      <c r="BM12" s="84">
        <f t="shared" ca="1" si="68"/>
        <v>0.65029519815539316</v>
      </c>
      <c r="BN12" s="84">
        <f t="shared" ca="1" si="69"/>
        <v>0.66028980877139165</v>
      </c>
      <c r="BO12" s="84">
        <f t="shared" ca="1" si="70"/>
        <v>0.64972653205799102</v>
      </c>
      <c r="BP12" s="84">
        <f t="shared" ca="1" si="71"/>
        <v>0.65002801734286397</v>
      </c>
      <c r="BQ12" s="84">
        <f t="shared" ca="1" si="72"/>
        <v>0.65029318809675052</v>
      </c>
      <c r="BR12" s="84">
        <f t="shared" ca="1" si="73"/>
        <v>0.64942667193143588</v>
      </c>
      <c r="BS12" s="84">
        <f t="shared" ca="1" si="74"/>
        <v>0.61083948305448121</v>
      </c>
      <c r="BT12" s="85">
        <f t="shared" ca="1" si="75"/>
        <v>0.65086821035290732</v>
      </c>
      <c r="BU12" s="84">
        <f t="shared" ca="1" si="76"/>
        <v>0.1740200095785126</v>
      </c>
      <c r="BV12" s="83">
        <f t="shared" ca="1" si="77"/>
        <v>-2.2565194204058693E-5</v>
      </c>
      <c r="BX12" s="86">
        <f t="shared" ca="1" si="49"/>
        <v>6.3457871193417272</v>
      </c>
      <c r="BY12" s="146">
        <f t="shared" ca="1" si="50"/>
        <v>-1.8471567695021054</v>
      </c>
      <c r="BZ12" s="103">
        <f t="shared" ca="1" si="17"/>
        <v>-2.2771446591814652</v>
      </c>
      <c r="CA12" s="103">
        <f t="shared" ca="1" si="18"/>
        <v>-2.2619069837270751</v>
      </c>
      <c r="CB12" s="103">
        <f t="shared" ca="1" si="19"/>
        <v>-2.278018662279472</v>
      </c>
      <c r="CC12" s="103">
        <f t="shared" ca="1" si="20"/>
        <v>-2.2775552037142086</v>
      </c>
      <c r="CD12" s="103">
        <f t="shared" ca="1" si="21"/>
        <v>-2.277147747167017</v>
      </c>
      <c r="CE12" s="103">
        <f t="shared" ca="1" si="22"/>
        <v>-2.2784798357270644</v>
      </c>
      <c r="CF12" s="103">
        <f t="shared" ca="1" si="23"/>
        <v>-2.3396738890980058</v>
      </c>
      <c r="CG12" s="104">
        <f t="shared" ca="1" si="24"/>
        <v>-2.2762647483907288</v>
      </c>
      <c r="CH12" s="103">
        <f t="shared" ca="1" si="25"/>
        <v>-3.5927361836832463</v>
      </c>
      <c r="CI12" s="83">
        <f t="shared" ca="1" si="78"/>
        <v>-2.2565194204058693E-5</v>
      </c>
      <c r="CK12" s="130">
        <f t="shared" ca="1" si="79"/>
        <v>0</v>
      </c>
      <c r="CL12" s="131">
        <f t="shared" ca="1" si="80"/>
        <v>1</v>
      </c>
      <c r="CM12" s="131">
        <f t="shared" ca="1" si="81"/>
        <v>0</v>
      </c>
      <c r="CN12" s="131">
        <f t="shared" ca="1" si="82"/>
        <v>0</v>
      </c>
      <c r="CO12" s="131">
        <f t="shared" ca="1" si="83"/>
        <v>0</v>
      </c>
      <c r="CP12" s="131">
        <f t="shared" ca="1" si="84"/>
        <v>0</v>
      </c>
      <c r="CQ12" s="131">
        <f t="shared" ca="1" si="85"/>
        <v>0</v>
      </c>
      <c r="CR12" s="131">
        <f t="shared" ca="1" si="86"/>
        <v>0</v>
      </c>
      <c r="CS12" s="132">
        <f t="shared" ca="1" si="87"/>
        <v>0</v>
      </c>
      <c r="CT12" s="131">
        <f t="shared" ca="1" si="88"/>
        <v>0</v>
      </c>
      <c r="CU12" s="315">
        <f t="shared" ca="1" si="89"/>
        <v>1</v>
      </c>
      <c r="CW12" s="63">
        <f t="shared" ca="1" si="90"/>
        <v>2.2771446591814652</v>
      </c>
      <c r="CX12" s="64">
        <f t="shared" ca="1" si="91"/>
        <v>1.0000451308975962</v>
      </c>
      <c r="CY12" s="275">
        <f t="shared" si="56"/>
        <v>1.9274949456632443E-2</v>
      </c>
      <c r="CZ12" s="65">
        <f t="shared" ca="1" si="92"/>
        <v>3.2964647395356943</v>
      </c>
    </row>
    <row r="13" spans="1:105">
      <c r="C13" s="232">
        <f t="shared" si="55"/>
        <v>6</v>
      </c>
      <c r="D13" s="271">
        <f>IFERROR(MATCH(C13,ExperienceReplayBuffer!$B$5:$B$260,FALSE), D12)</f>
        <v>50</v>
      </c>
      <c r="E13" s="280">
        <f ca="1">OFFSET(ExperienceReplayBuffer!G$4,$D13,0)</f>
        <v>0</v>
      </c>
      <c r="F13" s="281">
        <f ca="1">OFFSET(ExperienceReplayBuffer!H$4,$D13,0)</f>
        <v>-1</v>
      </c>
      <c r="G13" s="281">
        <f ca="1">OFFSET(ExperienceReplayBuffer!I$4,$D13,0)</f>
        <v>0</v>
      </c>
      <c r="H13" s="281">
        <f ca="1">OFFSET(ExperienceReplayBuffer!J$4,$D13,0)</f>
        <v>-1</v>
      </c>
      <c r="I13" s="281">
        <f ca="1">OFFSET(ExperienceReplayBuffer!K$4,$D13,0)</f>
        <v>1</v>
      </c>
      <c r="J13" s="281">
        <f ca="1">OFFSET(ExperienceReplayBuffer!L$4,$D13,0)</f>
        <v>0</v>
      </c>
      <c r="K13" s="281">
        <f ca="1">OFFSET(ExperienceReplayBuffer!M$4,$D13,0)</f>
        <v>-1</v>
      </c>
      <c r="L13" s="281">
        <f ca="1">OFFSET(ExperienceReplayBuffer!N$4,$D13,0)</f>
        <v>1</v>
      </c>
      <c r="M13" s="282">
        <f ca="1">OFFSET(ExperienceReplayBuffer!O$4,$D13,0)</f>
        <v>1</v>
      </c>
      <c r="N13" s="387">
        <f ca="1">OFFSET(ExperienceReplayBuffer!P$4,$D13,0)</f>
        <v>0.97709923664122134</v>
      </c>
      <c r="O13" s="388">
        <f ca="1">OFFSET(ExperienceReplayBuffer!Q$4,$D13,0)</f>
        <v>0</v>
      </c>
      <c r="P13" s="388">
        <f ca="1">OFFSET(ExperienceReplayBuffer!R$4,$D13,0)</f>
        <v>7.6335877862595417E-3</v>
      </c>
      <c r="Q13" s="388">
        <f ca="1">OFFSET(ExperienceReplayBuffer!S$4,$D13,0)</f>
        <v>0</v>
      </c>
      <c r="R13" s="388">
        <f ca="1">OFFSET(ExperienceReplayBuffer!T$4,$D13,0)</f>
        <v>0</v>
      </c>
      <c r="S13" s="388">
        <f ca="1">OFFSET(ExperienceReplayBuffer!U$4,$D13,0)</f>
        <v>1.5267175572519083E-2</v>
      </c>
      <c r="T13" s="388">
        <f ca="1">OFFSET(ExperienceReplayBuffer!V$4,$D13,0)</f>
        <v>0</v>
      </c>
      <c r="U13" s="388">
        <f ca="1">OFFSET(ExperienceReplayBuffer!W$4,$D13,0)</f>
        <v>0</v>
      </c>
      <c r="V13" s="389">
        <f ca="1">OFFSET(ExperienceReplayBuffer!X$4,$D13,0)</f>
        <v>0</v>
      </c>
      <c r="W13" s="390">
        <f ca="1">OFFSET(ExperienceReplayBuffer!Y$4,$D13,0)</f>
        <v>0</v>
      </c>
      <c r="X13" s="396">
        <f ca="1">OFFSET(ExperienceReplayBuffer!Z$4,$D13,0)</f>
        <v>1</v>
      </c>
      <c r="AC13" s="139">
        <f t="shared" ca="1" si="58"/>
        <v>0</v>
      </c>
      <c r="AD13" s="140">
        <f t="shared" ca="1" si="59"/>
        <v>-1</v>
      </c>
      <c r="AE13" s="140">
        <f t="shared" ca="1" si="60"/>
        <v>0</v>
      </c>
      <c r="AF13" s="140">
        <f t="shared" ca="1" si="61"/>
        <v>-1</v>
      </c>
      <c r="AG13" s="140">
        <f t="shared" ca="1" si="62"/>
        <v>1</v>
      </c>
      <c r="AH13" s="140">
        <f t="shared" ca="1" si="63"/>
        <v>0</v>
      </c>
      <c r="AI13" s="140">
        <f t="shared" ca="1" si="64"/>
        <v>-1</v>
      </c>
      <c r="AJ13" s="140">
        <f t="shared" ca="1" si="65"/>
        <v>1</v>
      </c>
      <c r="AK13" s="141">
        <f t="shared" ca="1" si="66"/>
        <v>1</v>
      </c>
      <c r="AM13" s="86">
        <f ca="1">MAX(0, SUMPRODUCT($AC13:$AK13,OFFSET(DNN!$E$9:$M$9,AM$6,0)) + OFFSET(DNN!$D$9,AM$6,0))</f>
        <v>7.590107108644357E-3</v>
      </c>
      <c r="AN13" s="84">
        <f ca="1">MAX(0, SUMPRODUCT($AC13:$AK13,OFFSET(DNN!$E$9:$M$9,AN$6,0)) + OFFSET(DNN!$D$9,AN$6,0))</f>
        <v>0</v>
      </c>
      <c r="AO13" s="84">
        <f ca="1">MAX(0, SUMPRODUCT($AC13:$AK13,OFFSET(DNN!$E$9:$M$9,AO$6,0)) + OFFSET(DNN!$D$9,AO$6,0))</f>
        <v>7.0004013888376408E-3</v>
      </c>
      <c r="AP13" s="84">
        <f ca="1">MAX(0, SUMPRODUCT($AC13:$AK13,OFFSET(DNN!$E$9:$M$9,AP$6,0)) + OFFSET(DNN!$D$9,AP$6,0))</f>
        <v>0</v>
      </c>
      <c r="AQ13" s="85">
        <f ca="1">MAX(0, SUMPRODUCT($AC13:$AK13,OFFSET(DNN!$E$9:$M$9,AQ$6,0)) + OFFSET(DNN!$D$9,AQ$6,0))</f>
        <v>0</v>
      </c>
      <c r="AR13" s="1"/>
      <c r="AS13" s="421">
        <f ca="1">MAX(0, SUMPRODUCT($AM13:$AQ13,OFFSET(DNN!$Q$9:$U$9,AS$6,0)) + OFFSET(DNN!$P$9,AS$6,0))</f>
        <v>4.6213690206731286E-4</v>
      </c>
      <c r="AT13" s="422">
        <f ca="1">MAX(0, SUMPRODUCT($AM13:$AQ13,OFFSET(DNN!$Q$9:$U$9,AT$6,0)) + OFFSET(DNN!$P$9,AT$6,0))</f>
        <v>0</v>
      </c>
      <c r="AU13" s="422">
        <f ca="1">MAX(0, SUMPRODUCT($AM13:$AQ13,OFFSET(DNN!$Q$9:$U$9,AU$6,0)) + OFFSET(DNN!$P$9,AU$6,0))</f>
        <v>1.2556474646265216E-3</v>
      </c>
      <c r="AV13" s="422">
        <f ca="1">MAX(0, SUMPRODUCT($AM13:$AQ13,OFFSET(DNN!$Q$9:$U$9,AV$6,0)) + OFFSET(DNN!$P$9,AV$6,0))</f>
        <v>8.0948945145087933E-4</v>
      </c>
      <c r="AW13" s="423">
        <f ca="1">MAX(0, SUMPRODUCT($AM13:$AQ13,OFFSET(DNN!$Q$9:$U$9,AW$6,0)) + OFFSET(DNN!$P$9,AW$6,0))</f>
        <v>0</v>
      </c>
      <c r="AX13" s="1"/>
      <c r="AY13" s="86">
        <f ca="1">SUMPRODUCT($AS13:$AW13,OFFSET(DNN!$Y$9:$AC$9,AY$6,0)) + OFFSET(DNN!$X$9,AY$6,0)</f>
        <v>0.43031628058533994</v>
      </c>
      <c r="AZ13" s="84">
        <f ca="1">SUMPRODUCT($AS13:$AW13,OFFSET(DNN!$Y$9:$AC$9,AZ$6,0)) + OFFSET(DNN!$X$9,AZ$6,0)</f>
        <v>-1.2612421647663208E-5</v>
      </c>
      <c r="BA13" s="84">
        <f ca="1">SUMPRODUCT($AS13:$AW13,OFFSET(DNN!$Y$9:$AC$9,BA$6,0)) + OFFSET(DNN!$X$9,BA$6,0)</f>
        <v>1.5239807409327765E-2</v>
      </c>
      <c r="BB13" s="84">
        <f ca="1">SUMPRODUCT($AS13:$AW13,OFFSET(DNN!$Y$9:$AC$9,BB$6,0)) + OFFSET(DNN!$X$9,BB$6,0)</f>
        <v>-8.874932634258078E-4</v>
      </c>
      <c r="BC13" s="84">
        <f ca="1">SUMPRODUCT($AS13:$AW13,OFFSET(DNN!$Y$9:$AC$9,BC$6,0)) + OFFSET(DNN!$X$9,BC$6,0)</f>
        <v>-4.2356900589141268E-4</v>
      </c>
      <c r="BD13" s="84">
        <f ca="1">SUMPRODUCT($AS13:$AW13,OFFSET(DNN!$Y$9:$AC$9,BD$6,0)) + OFFSET(DNN!$X$9,BD$6,0)</f>
        <v>-1.5703332269094744E-5</v>
      </c>
      <c r="BE13" s="84">
        <f ca="1">SUMPRODUCT($AS13:$AW13,OFFSET(DNN!$Y$9:$AC$9,BE$6,0)) + OFFSET(DNN!$X$9,BE$6,0)</f>
        <v>-1.3491042235659369E-3</v>
      </c>
      <c r="BF13" s="84">
        <f ca="1">SUMPRODUCT($AS13:$AW13,OFFSET(DNN!$Y$9:$AC$9,BF$6,0)) + OFFSET(DNN!$X$9,BF$6,0)</f>
        <v>-6.2604865658029168E-2</v>
      </c>
      <c r="BG13" s="84">
        <f ca="1">SUMPRODUCT($AS13:$AW13,OFFSET(DNN!$Y$9:$AC$9,BG$6,0)) + OFFSET(DNN!$X$9,BG$6,0)</f>
        <v>8.6814602740956385E-4</v>
      </c>
      <c r="BH13" s="83">
        <f ca="1">SUMPRODUCT($AS13:$AW13,OFFSET(DNN!$Y$9:$AC$9,BH$6,0)) + OFFSET(DNN!$X$9,BH$6,0)</f>
        <v>-1.3182687270135802</v>
      </c>
      <c r="BI13" s="85">
        <f ca="1">SUMPRODUCT($AS13:$AW13,OFFSET(DNN!$Y$9:$AC$9,BI$6,0)) + OFFSET(DNN!$X$9,BI$6,0)</f>
        <v>-2.2605180040724304E-5</v>
      </c>
      <c r="BJ13" s="1"/>
      <c r="BK13" s="415">
        <f t="shared" ca="1" si="37"/>
        <v>0.43031628058533994</v>
      </c>
      <c r="BL13" s="86">
        <f t="shared" ca="1" si="67"/>
        <v>1</v>
      </c>
      <c r="BM13" s="84">
        <f t="shared" ca="1" si="68"/>
        <v>0.6502951820102062</v>
      </c>
      <c r="BN13" s="84">
        <f t="shared" ca="1" si="69"/>
        <v>0.66028978431730279</v>
      </c>
      <c r="BO13" s="84">
        <f t="shared" ca="1" si="70"/>
        <v>0.64972650001472954</v>
      </c>
      <c r="BP13" s="84">
        <f t="shared" ca="1" si="71"/>
        <v>0.65002799382858867</v>
      </c>
      <c r="BQ13" s="84">
        <f t="shared" ca="1" si="72"/>
        <v>0.65029317200902748</v>
      </c>
      <c r="BR13" s="84">
        <f t="shared" ca="1" si="73"/>
        <v>0.64942664835396025</v>
      </c>
      <c r="BS13" s="84">
        <f t="shared" ca="1" si="74"/>
        <v>0.61083943415094144</v>
      </c>
      <c r="BT13" s="85">
        <f t="shared" ca="1" si="75"/>
        <v>0.65086818728872142</v>
      </c>
      <c r="BU13" s="84">
        <f t="shared" ca="1" si="76"/>
        <v>0.1740200063074139</v>
      </c>
      <c r="BV13" s="83">
        <f t="shared" ca="1" si="77"/>
        <v>-2.260518003687393E-5</v>
      </c>
      <c r="BX13" s="86">
        <f t="shared" ca="1" si="49"/>
        <v>6.3457869082808909</v>
      </c>
      <c r="BY13" s="146">
        <f t="shared" ca="1" si="50"/>
        <v>-1.8471567362632044</v>
      </c>
      <c r="BZ13" s="103">
        <f t="shared" ca="1" si="17"/>
        <v>-2.2771446507571662</v>
      </c>
      <c r="CA13" s="103">
        <f t="shared" ca="1" si="18"/>
        <v>-2.2619069874988447</v>
      </c>
      <c r="CB13" s="103">
        <f t="shared" ca="1" si="19"/>
        <v>-2.2780186783218856</v>
      </c>
      <c r="CC13" s="103">
        <f t="shared" ca="1" si="20"/>
        <v>-2.2775552066256219</v>
      </c>
      <c r="CD13" s="103">
        <f t="shared" ca="1" si="21"/>
        <v>-2.2771477386545143</v>
      </c>
      <c r="CE13" s="103">
        <f t="shared" ca="1" si="22"/>
        <v>-2.2784798387691607</v>
      </c>
      <c r="CF13" s="103">
        <f t="shared" ca="1" si="23"/>
        <v>-2.3396739358490066</v>
      </c>
      <c r="CG13" s="104">
        <f t="shared" ca="1" si="24"/>
        <v>-2.2762647505646467</v>
      </c>
      <c r="CH13" s="103">
        <f t="shared" ca="1" si="25"/>
        <v>-3.5927361692730568</v>
      </c>
      <c r="CI13" s="83">
        <f t="shared" ca="1" si="78"/>
        <v>-2.260518003687393E-5</v>
      </c>
      <c r="CK13" s="130">
        <f t="shared" ca="1" si="79"/>
        <v>0.97709923664122134</v>
      </c>
      <c r="CL13" s="131">
        <f t="shared" ca="1" si="80"/>
        <v>0</v>
      </c>
      <c r="CM13" s="131">
        <f t="shared" ca="1" si="81"/>
        <v>7.6335877862595417E-3</v>
      </c>
      <c r="CN13" s="131">
        <f t="shared" ca="1" si="82"/>
        <v>0</v>
      </c>
      <c r="CO13" s="131">
        <f t="shared" ca="1" si="83"/>
        <v>0</v>
      </c>
      <c r="CP13" s="131">
        <f t="shared" ca="1" si="84"/>
        <v>1.5267175572519083E-2</v>
      </c>
      <c r="CQ13" s="131">
        <f t="shared" ca="1" si="85"/>
        <v>0</v>
      </c>
      <c r="CR13" s="131">
        <f t="shared" ca="1" si="86"/>
        <v>0</v>
      </c>
      <c r="CS13" s="132">
        <f t="shared" ca="1" si="87"/>
        <v>0</v>
      </c>
      <c r="CT13" s="131">
        <f t="shared" ca="1" si="88"/>
        <v>0</v>
      </c>
      <c r="CU13" s="315">
        <f t="shared" ca="1" si="89"/>
        <v>1</v>
      </c>
      <c r="CW13" s="63">
        <f t="shared" ca="1" si="90"/>
        <v>1.8568875168434964</v>
      </c>
      <c r="CX13" s="64">
        <f t="shared" ca="1" si="91"/>
        <v>1.000045210871068</v>
      </c>
      <c r="CY13" s="275">
        <f t="shared" si="56"/>
        <v>1.9274949456632443E-2</v>
      </c>
      <c r="CZ13" s="65">
        <f t="shared" ca="1" si="92"/>
        <v>2.8762076771711973</v>
      </c>
    </row>
    <row r="14" spans="1:105">
      <c r="C14" s="232">
        <f t="shared" si="55"/>
        <v>7</v>
      </c>
      <c r="D14" s="271">
        <f>IFERROR(MATCH(C14,ExperienceReplayBuffer!$B$5:$B$260,FALSE), D13)</f>
        <v>87</v>
      </c>
      <c r="E14" s="280">
        <f ca="1">OFFSET(ExperienceReplayBuffer!G$4,$D14,0)</f>
        <v>1</v>
      </c>
      <c r="F14" s="281">
        <f ca="1">OFFSET(ExperienceReplayBuffer!H$4,$D14,0)</f>
        <v>0</v>
      </c>
      <c r="G14" s="281">
        <f ca="1">OFFSET(ExperienceReplayBuffer!I$4,$D14,0)</f>
        <v>0</v>
      </c>
      <c r="H14" s="281">
        <f ca="1">OFFSET(ExperienceReplayBuffer!J$4,$D14,0)</f>
        <v>-1</v>
      </c>
      <c r="I14" s="281">
        <f ca="1">OFFSET(ExperienceReplayBuffer!K$4,$D14,0)</f>
        <v>0</v>
      </c>
      <c r="J14" s="281">
        <f ca="1">OFFSET(ExperienceReplayBuffer!L$4,$D14,0)</f>
        <v>1</v>
      </c>
      <c r="K14" s="281">
        <f ca="1">OFFSET(ExperienceReplayBuffer!M$4,$D14,0)</f>
        <v>-1</v>
      </c>
      <c r="L14" s="281">
        <f ca="1">OFFSET(ExperienceReplayBuffer!N$4,$D14,0)</f>
        <v>0</v>
      </c>
      <c r="M14" s="282">
        <f ca="1">OFFSET(ExperienceReplayBuffer!O$4,$D14,0)</f>
        <v>-1</v>
      </c>
      <c r="N14" s="387">
        <f ca="1">OFFSET(ExperienceReplayBuffer!P$4,$D14,0)</f>
        <v>0</v>
      </c>
      <c r="O14" s="388">
        <f ca="1">OFFSET(ExperienceReplayBuffer!Q$4,$D14,0)</f>
        <v>0.1</v>
      </c>
      <c r="P14" s="388">
        <f ca="1">OFFSET(ExperienceReplayBuffer!R$4,$D14,0)</f>
        <v>0.1</v>
      </c>
      <c r="Q14" s="388">
        <f ca="1">OFFSET(ExperienceReplayBuffer!S$4,$D14,0)</f>
        <v>0</v>
      </c>
      <c r="R14" s="388">
        <f ca="1">OFFSET(ExperienceReplayBuffer!T$4,$D14,0)</f>
        <v>0.1</v>
      </c>
      <c r="S14" s="388">
        <f ca="1">OFFSET(ExperienceReplayBuffer!U$4,$D14,0)</f>
        <v>0</v>
      </c>
      <c r="T14" s="388">
        <f ca="1">OFFSET(ExperienceReplayBuffer!V$4,$D14,0)</f>
        <v>0</v>
      </c>
      <c r="U14" s="388">
        <f ca="1">OFFSET(ExperienceReplayBuffer!W$4,$D14,0)</f>
        <v>0.7</v>
      </c>
      <c r="V14" s="389">
        <f ca="1">OFFSET(ExperienceReplayBuffer!X$4,$D14,0)</f>
        <v>0</v>
      </c>
      <c r="W14" s="390">
        <f ca="1">OFFSET(ExperienceReplayBuffer!Y$4,$D14,0)</f>
        <v>0</v>
      </c>
      <c r="X14" s="396">
        <f ca="1">OFFSET(ExperienceReplayBuffer!Z$4,$D14,0)</f>
        <v>0</v>
      </c>
      <c r="AC14" s="139">
        <f t="shared" ca="1" si="58"/>
        <v>1</v>
      </c>
      <c r="AD14" s="140">
        <f t="shared" ca="1" si="59"/>
        <v>0</v>
      </c>
      <c r="AE14" s="140">
        <f t="shared" ca="1" si="60"/>
        <v>0</v>
      </c>
      <c r="AF14" s="140">
        <f t="shared" ca="1" si="61"/>
        <v>-1</v>
      </c>
      <c r="AG14" s="140">
        <f t="shared" ca="1" si="62"/>
        <v>0</v>
      </c>
      <c r="AH14" s="140">
        <f t="shared" ca="1" si="63"/>
        <v>1</v>
      </c>
      <c r="AI14" s="140">
        <f t="shared" ca="1" si="64"/>
        <v>-1</v>
      </c>
      <c r="AJ14" s="140">
        <f t="shared" ca="1" si="65"/>
        <v>0</v>
      </c>
      <c r="AK14" s="141">
        <f t="shared" ca="1" si="66"/>
        <v>-1</v>
      </c>
      <c r="AM14" s="86">
        <f ca="1">MAX(0, SUMPRODUCT($AC14:$AK14,OFFSET(DNN!$E$9:$M$9,AM$6,0)) + OFFSET(DNN!$D$9,AM$6,0))</f>
        <v>3.1564744446442522E-3</v>
      </c>
      <c r="AN14" s="84">
        <f ca="1">MAX(0, SUMPRODUCT($AC14:$AK14,OFFSET(DNN!$E$9:$M$9,AN$6,0)) + OFFSET(DNN!$D$9,AN$6,0))</f>
        <v>0</v>
      </c>
      <c r="AO14" s="84">
        <f ca="1">MAX(0, SUMPRODUCT($AC14:$AK14,OFFSET(DNN!$E$9:$M$9,AO$6,0)) + OFFSET(DNN!$D$9,AO$6,0))</f>
        <v>2.4674802213162377E-3</v>
      </c>
      <c r="AP14" s="84">
        <f ca="1">MAX(0, SUMPRODUCT($AC14:$AK14,OFFSET(DNN!$E$9:$M$9,AP$6,0)) + OFFSET(DNN!$D$9,AP$6,0))</f>
        <v>0</v>
      </c>
      <c r="AQ14" s="85">
        <f ca="1">MAX(0, SUMPRODUCT($AC14:$AK14,OFFSET(DNN!$E$9:$M$9,AQ$6,0)) + OFFSET(DNN!$D$9,AQ$6,0))</f>
        <v>5.3076460434578285E-3</v>
      </c>
      <c r="AR14" s="1"/>
      <c r="AS14" s="421">
        <f ca="1">MAX(0, SUMPRODUCT($AM14:$AQ14,OFFSET(DNN!$Q$9:$U$9,AS$6,0)) + OFFSET(DNN!$P$9,AS$6,0))</f>
        <v>4.7434523500560968E-4</v>
      </c>
      <c r="AT14" s="422">
        <f ca="1">MAX(0, SUMPRODUCT($AM14:$AQ14,OFFSET(DNN!$Q$9:$U$9,AT$6,0)) + OFFSET(DNN!$P$9,AT$6,0))</f>
        <v>0</v>
      </c>
      <c r="AU14" s="422">
        <f ca="1">MAX(0, SUMPRODUCT($AM14:$AQ14,OFFSET(DNN!$Q$9:$U$9,AU$6,0)) + OFFSET(DNN!$P$9,AU$6,0))</f>
        <v>1.2736042478744324E-3</v>
      </c>
      <c r="AV14" s="422">
        <f ca="1">MAX(0, SUMPRODUCT($AM14:$AQ14,OFFSET(DNN!$Q$9:$U$9,AV$6,0)) + OFFSET(DNN!$P$9,AV$6,0))</f>
        <v>7.956122097128994E-4</v>
      </c>
      <c r="AW14" s="423">
        <f ca="1">MAX(0, SUMPRODUCT($AM14:$AQ14,OFFSET(DNN!$Q$9:$U$9,AW$6,0)) + OFFSET(DNN!$P$9,AW$6,0))</f>
        <v>0</v>
      </c>
      <c r="AX14" s="1"/>
      <c r="AY14" s="86">
        <f ca="1">SUMPRODUCT($AS14:$AW14,OFFSET(DNN!$Y$9:$AC$9,AY$6,0)) + OFFSET(DNN!$X$9,AY$6,0)</f>
        <v>0.43031626787656924</v>
      </c>
      <c r="AZ14" s="84">
        <f ca="1">SUMPRODUCT($AS14:$AW14,OFFSET(DNN!$Y$9:$AC$9,AZ$6,0)) + OFFSET(DNN!$X$9,AZ$6,0)</f>
        <v>-1.2592850636865051E-5</v>
      </c>
      <c r="BA14" s="84">
        <f ca="1">SUMPRODUCT($AS14:$AW14,OFFSET(DNN!$Y$9:$AC$9,BA$6,0)) + OFFSET(DNN!$X$9,BA$6,0)</f>
        <v>1.5239757664672312E-2</v>
      </c>
      <c r="BB14" s="84">
        <f ca="1">SUMPRODUCT($AS14:$AW14,OFFSET(DNN!$Y$9:$AC$9,BB$6,0)) + OFFSET(DNN!$X$9,BB$6,0)</f>
        <v>-8.8743724564399194E-4</v>
      </c>
      <c r="BC14" s="84">
        <f ca="1">SUMPRODUCT($AS14:$AW14,OFFSET(DNN!$Y$9:$AC$9,BC$6,0)) + OFFSET(DNN!$X$9,BC$6,0)</f>
        <v>-4.236213935813201E-4</v>
      </c>
      <c r="BD14" s="84">
        <f ca="1">SUMPRODUCT($AS14:$AW14,OFFSET(DNN!$Y$9:$AC$9,BD$6,0)) + OFFSET(DNN!$X$9,BD$6,0)</f>
        <v>-1.5737741127458149E-5</v>
      </c>
      <c r="BE14" s="84">
        <f ca="1">SUMPRODUCT($AS14:$AW14,OFFSET(DNN!$Y$9:$AC$9,BE$6,0)) + OFFSET(DNN!$X$9,BE$6,0)</f>
        <v>-1.3490778235077635E-3</v>
      </c>
      <c r="BF14" s="84">
        <f ca="1">SUMPRODUCT($AS14:$AW14,OFFSET(DNN!$Y$9:$AC$9,BF$6,0)) + OFFSET(DNN!$X$9,BF$6,0)</f>
        <v>-6.2604886497338877E-2</v>
      </c>
      <c r="BG14" s="84">
        <f ca="1">SUMPRODUCT($AS14:$AW14,OFFSET(DNN!$Y$9:$AC$9,BG$6,0)) + OFFSET(DNN!$X$9,BG$6,0)</f>
        <v>8.6817771031134916E-4</v>
      </c>
      <c r="BH14" s="83">
        <f ca="1">SUMPRODUCT($AS14:$AW14,OFFSET(DNN!$Y$9:$AC$9,BH$6,0)) + OFFSET(DNN!$X$9,BH$6,0)</f>
        <v>-1.3182687139685014</v>
      </c>
      <c r="BI14" s="85">
        <f ca="1">SUMPRODUCT($AS14:$AW14,OFFSET(DNN!$Y$9:$AC$9,BI$6,0)) + OFFSET(DNN!$X$9,BI$6,0)</f>
        <v>-2.2584796670389244E-5</v>
      </c>
      <c r="BJ14" s="1"/>
      <c r="BK14" s="415">
        <f t="shared" ca="1" si="37"/>
        <v>0.43031626787656924</v>
      </c>
      <c r="BL14" s="86">
        <f t="shared" ca="1" si="67"/>
        <v>1</v>
      </c>
      <c r="BM14" s="84">
        <f t="shared" ca="1" si="68"/>
        <v>0.65029520300159294</v>
      </c>
      <c r="BN14" s="84">
        <f t="shared" ca="1" si="69"/>
        <v>0.66028975986288685</v>
      </c>
      <c r="BO14" s="84">
        <f t="shared" ca="1" si="70"/>
        <v>0.64972654466819346</v>
      </c>
      <c r="BP14" s="84">
        <f t="shared" ca="1" si="71"/>
        <v>0.6500279680361809</v>
      </c>
      <c r="BQ14" s="84">
        <f t="shared" ca="1" si="72"/>
        <v>0.65029315789760878</v>
      </c>
      <c r="BR14" s="84">
        <f t="shared" ca="1" si="73"/>
        <v>0.64942667375227636</v>
      </c>
      <c r="BS14" s="84">
        <f t="shared" ca="1" si="74"/>
        <v>0.61083942918448764</v>
      </c>
      <c r="BT14" s="85">
        <f t="shared" ca="1" si="75"/>
        <v>0.65086821618184942</v>
      </c>
      <c r="BU14" s="84">
        <f t="shared" ca="1" si="76"/>
        <v>0.17402001078909904</v>
      </c>
      <c r="BV14" s="83">
        <f t="shared" ca="1" si="77"/>
        <v>-2.2584796666549281E-5</v>
      </c>
      <c r="BX14" s="86">
        <f t="shared" ca="1" si="49"/>
        <v>6.3457869633741746</v>
      </c>
      <c r="BY14" s="146">
        <f t="shared" ca="1" si="50"/>
        <v>-1.8471567449395665</v>
      </c>
      <c r="BZ14" s="103">
        <f t="shared" ca="1" si="17"/>
        <v>-2.2771446271822575</v>
      </c>
      <c r="CA14" s="103">
        <f t="shared" ca="1" si="18"/>
        <v>-2.2619070331727018</v>
      </c>
      <c r="CB14" s="103">
        <f t="shared" ca="1" si="19"/>
        <v>-2.2780186183357887</v>
      </c>
      <c r="CC14" s="103">
        <f t="shared" ca="1" si="20"/>
        <v>-2.2775552549392439</v>
      </c>
      <c r="CD14" s="103">
        <f t="shared" ca="1" si="21"/>
        <v>-2.2771477690068509</v>
      </c>
      <c r="CE14" s="103">
        <f t="shared" ca="1" si="22"/>
        <v>-2.2784798083719022</v>
      </c>
      <c r="CF14" s="103">
        <f t="shared" ca="1" si="23"/>
        <v>-2.3396739526439658</v>
      </c>
      <c r="CG14" s="104">
        <f t="shared" ca="1" si="24"/>
        <v>-2.2762647148896242</v>
      </c>
      <c r="CH14" s="103">
        <f t="shared" ca="1" si="25"/>
        <v>-3.5927361522631034</v>
      </c>
      <c r="CI14" s="83">
        <f t="shared" ca="1" si="78"/>
        <v>-2.2584796666549281E-5</v>
      </c>
      <c r="CK14" s="130">
        <f t="shared" ca="1" si="79"/>
        <v>0</v>
      </c>
      <c r="CL14" s="131">
        <f t="shared" ca="1" si="80"/>
        <v>0.1</v>
      </c>
      <c r="CM14" s="131">
        <f t="shared" ca="1" si="81"/>
        <v>0.1</v>
      </c>
      <c r="CN14" s="131">
        <f t="shared" ca="1" si="82"/>
        <v>0</v>
      </c>
      <c r="CO14" s="131">
        <f t="shared" ca="1" si="83"/>
        <v>0.1</v>
      </c>
      <c r="CP14" s="131">
        <f t="shared" ca="1" si="84"/>
        <v>0</v>
      </c>
      <c r="CQ14" s="131">
        <f t="shared" ca="1" si="85"/>
        <v>0</v>
      </c>
      <c r="CR14" s="131">
        <f t="shared" ca="1" si="86"/>
        <v>0.7</v>
      </c>
      <c r="CS14" s="132">
        <f t="shared" ca="1" si="87"/>
        <v>0</v>
      </c>
      <c r="CT14" s="131">
        <f t="shared" ca="1" si="88"/>
        <v>0</v>
      </c>
      <c r="CU14" s="315">
        <f t="shared" ca="1" si="89"/>
        <v>0</v>
      </c>
      <c r="CW14" s="63">
        <f t="shared" ca="1" si="90"/>
        <v>2.3194324583801964</v>
      </c>
      <c r="CX14" s="64">
        <f t="shared" ca="1" si="91"/>
        <v>5.1007304046937555E-10</v>
      </c>
      <c r="CY14" s="275">
        <f t="shared" si="56"/>
        <v>1.9274949456632443E-2</v>
      </c>
      <c r="CZ14" s="65">
        <f t="shared" ca="1" si="92"/>
        <v>2.3387074083469019</v>
      </c>
    </row>
    <row r="15" spans="1:105">
      <c r="C15" s="232">
        <f t="shared" si="55"/>
        <v>8</v>
      </c>
      <c r="D15" s="271">
        <f>IFERROR(MATCH(C15,ExperienceReplayBuffer!$B$5:$B$260,FALSE), D14)</f>
        <v>113</v>
      </c>
      <c r="E15" s="280">
        <f ca="1">OFFSET(ExperienceReplayBuffer!G$4,$D15,0)</f>
        <v>0</v>
      </c>
      <c r="F15" s="281">
        <f ca="1">OFFSET(ExperienceReplayBuffer!H$4,$D15,0)</f>
        <v>-1</v>
      </c>
      <c r="G15" s="281">
        <f ca="1">OFFSET(ExperienceReplayBuffer!I$4,$D15,0)</f>
        <v>-1</v>
      </c>
      <c r="H15" s="281">
        <f ca="1">OFFSET(ExperienceReplayBuffer!J$4,$D15,0)</f>
        <v>0</v>
      </c>
      <c r="I15" s="281">
        <f ca="1">OFFSET(ExperienceReplayBuffer!K$4,$D15,0)</f>
        <v>0</v>
      </c>
      <c r="J15" s="281">
        <f ca="1">OFFSET(ExperienceReplayBuffer!L$4,$D15,0)</f>
        <v>0</v>
      </c>
      <c r="K15" s="281">
        <f ca="1">OFFSET(ExperienceReplayBuffer!M$4,$D15,0)</f>
        <v>1</v>
      </c>
      <c r="L15" s="281">
        <f ca="1">OFFSET(ExperienceReplayBuffer!N$4,$D15,0)</f>
        <v>1</v>
      </c>
      <c r="M15" s="282">
        <f ca="1">OFFSET(ExperienceReplayBuffer!O$4,$D15,0)</f>
        <v>0</v>
      </c>
      <c r="N15" s="387">
        <f ca="1">OFFSET(ExperienceReplayBuffer!P$4,$D15,0)</f>
        <v>2.4E-2</v>
      </c>
      <c r="O15" s="388">
        <f ca="1">OFFSET(ExperienceReplayBuffer!Q$4,$D15,0)</f>
        <v>0</v>
      </c>
      <c r="P15" s="388">
        <f ca="1">OFFSET(ExperienceReplayBuffer!R$4,$D15,0)</f>
        <v>0</v>
      </c>
      <c r="Q15" s="388">
        <f ca="1">OFFSET(ExperienceReplayBuffer!S$4,$D15,0)</f>
        <v>8.0000000000000002E-3</v>
      </c>
      <c r="R15" s="388">
        <f ca="1">OFFSET(ExperienceReplayBuffer!T$4,$D15,0)</f>
        <v>8.0000000000000002E-3</v>
      </c>
      <c r="S15" s="388">
        <f ca="1">OFFSET(ExperienceReplayBuffer!U$4,$D15,0)</f>
        <v>8.0000000000000002E-3</v>
      </c>
      <c r="T15" s="388">
        <f ca="1">OFFSET(ExperienceReplayBuffer!V$4,$D15,0)</f>
        <v>0</v>
      </c>
      <c r="U15" s="388">
        <f ca="1">OFFSET(ExperienceReplayBuffer!W$4,$D15,0)</f>
        <v>0</v>
      </c>
      <c r="V15" s="389">
        <f ca="1">OFFSET(ExperienceReplayBuffer!X$4,$D15,0)</f>
        <v>0.95199999999999996</v>
      </c>
      <c r="W15" s="390">
        <f ca="1">OFFSET(ExperienceReplayBuffer!Y$4,$D15,0)</f>
        <v>0</v>
      </c>
      <c r="X15" s="396">
        <f ca="1">OFFSET(ExperienceReplayBuffer!Z$4,$D15,0)</f>
        <v>1</v>
      </c>
      <c r="AC15" s="139">
        <f t="shared" ca="1" si="58"/>
        <v>0</v>
      </c>
      <c r="AD15" s="140">
        <f t="shared" ca="1" si="59"/>
        <v>-1</v>
      </c>
      <c r="AE15" s="140">
        <f t="shared" ca="1" si="60"/>
        <v>-1</v>
      </c>
      <c r="AF15" s="140">
        <f t="shared" ca="1" si="61"/>
        <v>0</v>
      </c>
      <c r="AG15" s="140">
        <f t="shared" ca="1" si="62"/>
        <v>0</v>
      </c>
      <c r="AH15" s="140">
        <f t="shared" ca="1" si="63"/>
        <v>0</v>
      </c>
      <c r="AI15" s="140">
        <f t="shared" ca="1" si="64"/>
        <v>1</v>
      </c>
      <c r="AJ15" s="140">
        <f t="shared" ca="1" si="65"/>
        <v>1</v>
      </c>
      <c r="AK15" s="141">
        <f t="shared" ca="1" si="66"/>
        <v>0</v>
      </c>
      <c r="AM15" s="86">
        <f ca="1">MAX(0, SUMPRODUCT($AC15:$AK15,OFFSET(DNN!$E$9:$M$9,AM$6,0)) + OFFSET(DNN!$D$9,AM$6,0))</f>
        <v>7.3046222026698065E-3</v>
      </c>
      <c r="AN15" s="84">
        <f ca="1">MAX(0, SUMPRODUCT($AC15:$AK15,OFFSET(DNN!$E$9:$M$9,AN$6,0)) + OFFSET(DNN!$D$9,AN$6,0))</f>
        <v>0</v>
      </c>
      <c r="AO15" s="84">
        <f ca="1">MAX(0, SUMPRODUCT($AC15:$AK15,OFFSET(DNN!$E$9:$M$9,AO$6,0)) + OFFSET(DNN!$D$9,AO$6,0))</f>
        <v>2.7187229222638606E-3</v>
      </c>
      <c r="AP15" s="84">
        <f ca="1">MAX(0, SUMPRODUCT($AC15:$AK15,OFFSET(DNN!$E$9:$M$9,AP$6,0)) + OFFSET(DNN!$D$9,AP$6,0))</f>
        <v>0</v>
      </c>
      <c r="AQ15" s="85">
        <f ca="1">MAX(0, SUMPRODUCT($AC15:$AK15,OFFSET(DNN!$E$9:$M$9,AQ$6,0)) + OFFSET(DNN!$D$9,AQ$6,0))</f>
        <v>2.5228697515734273E-3</v>
      </c>
      <c r="AR15" s="1"/>
      <c r="AS15" s="421">
        <f ca="1">MAX(0, SUMPRODUCT($AM15:$AQ15,OFFSET(DNN!$Q$9:$U$9,AS$6,0)) + OFFSET(DNN!$P$9,AS$6,0))</f>
        <v>4.7614165768173006E-4</v>
      </c>
      <c r="AT15" s="422">
        <f ca="1">MAX(0, SUMPRODUCT($AM15:$AQ15,OFFSET(DNN!$Q$9:$U$9,AT$6,0)) + OFFSET(DNN!$P$9,AT$6,0))</f>
        <v>0</v>
      </c>
      <c r="AU15" s="422">
        <f ca="1">MAX(0, SUMPRODUCT($AM15:$AQ15,OFFSET(DNN!$Q$9:$U$9,AU$6,0)) + OFFSET(DNN!$P$9,AU$6,0))</f>
        <v>1.2620151814575155E-3</v>
      </c>
      <c r="AV15" s="422">
        <f ca="1">MAX(0, SUMPRODUCT($AM15:$AQ15,OFFSET(DNN!$Q$9:$U$9,AV$6,0)) + OFFSET(DNN!$P$9,AV$6,0))</f>
        <v>8.0258629198402852E-4</v>
      </c>
      <c r="AW15" s="423">
        <f ca="1">MAX(0, SUMPRODUCT($AM15:$AQ15,OFFSET(DNN!$Q$9:$U$9,AW$6,0)) + OFFSET(DNN!$P$9,AW$6,0))</f>
        <v>0</v>
      </c>
      <c r="AX15" s="1"/>
      <c r="AY15" s="86">
        <f ca="1">SUMPRODUCT($AS15:$AW15,OFFSET(DNN!$Y$9:$AC$9,AY$6,0)) + OFFSET(DNN!$X$9,AY$6,0)</f>
        <v>0.43031629029531793</v>
      </c>
      <c r="AZ15" s="84">
        <f ca="1">SUMPRODUCT($AS15:$AW15,OFFSET(DNN!$Y$9:$AC$9,AZ$6,0)) + OFFSET(DNN!$X$9,AZ$6,0)</f>
        <v>-1.2587915892924834E-5</v>
      </c>
      <c r="BA15" s="84">
        <f ca="1">SUMPRODUCT($AS15:$AW15,OFFSET(DNN!$Y$9:$AC$9,BA$6,0)) + OFFSET(DNN!$X$9,BA$6,0)</f>
        <v>1.523977234219126E-2</v>
      </c>
      <c r="BB15" s="84">
        <f ca="1">SUMPRODUCT($AS15:$AW15,OFFSET(DNN!$Y$9:$AC$9,BB$6,0)) + OFFSET(DNN!$X$9,BB$6,0)</f>
        <v>-8.8745055845348161E-4</v>
      </c>
      <c r="BC15" s="84">
        <f ca="1">SUMPRODUCT($AS15:$AW15,OFFSET(DNN!$Y$9:$AC$9,BC$6,0)) + OFFSET(DNN!$X$9,BC$6,0)</f>
        <v>-4.2360578056720898E-4</v>
      </c>
      <c r="BD15" s="84">
        <f ca="1">SUMPRODUCT($AS15:$AW15,OFFSET(DNN!$Y$9:$AC$9,BD$6,0)) + OFFSET(DNN!$X$9,BD$6,0)</f>
        <v>-1.5721147557558251E-5</v>
      </c>
      <c r="BE15" s="84">
        <f ca="1">SUMPRODUCT($AS15:$AW15,OFFSET(DNN!$Y$9:$AC$9,BE$6,0)) + OFFSET(DNN!$X$9,BE$6,0)</f>
        <v>-1.3490792403420568E-3</v>
      </c>
      <c r="BF15" s="84">
        <f ca="1">SUMPRODUCT($AS15:$AW15,OFFSET(DNN!$Y$9:$AC$9,BF$6,0)) + OFFSET(DNN!$X$9,BF$6,0)</f>
        <v>-6.2604896307203881E-2</v>
      </c>
      <c r="BG15" s="84">
        <f ca="1">SUMPRODUCT($AS15:$AW15,OFFSET(DNN!$Y$9:$AC$9,BG$6,0)) + OFFSET(DNN!$X$9,BG$6,0)</f>
        <v>8.6817552401918904E-4</v>
      </c>
      <c r="BH15" s="83">
        <f ca="1">SUMPRODUCT($AS15:$AW15,OFFSET(DNN!$Y$9:$AC$9,BH$6,0)) + OFFSET(DNN!$X$9,BH$6,0)</f>
        <v>-1.3182687050667288</v>
      </c>
      <c r="BI15" s="85">
        <f ca="1">SUMPRODUCT($AS15:$AW15,OFFSET(DNN!$Y$9:$AC$9,BI$6,0)) + OFFSET(DNN!$X$9,BI$6,0)</f>
        <v>-2.2606158201551523E-5</v>
      </c>
      <c r="BJ15" s="1"/>
      <c r="BK15" s="415">
        <f t="shared" ca="1" si="37"/>
        <v>0.43031629029531793</v>
      </c>
      <c r="BL15" s="86">
        <f t="shared" ca="1" si="67"/>
        <v>1</v>
      </c>
      <c r="BM15" s="84">
        <f t="shared" ca="1" si="68"/>
        <v>0.65029519163182858</v>
      </c>
      <c r="BN15" s="84">
        <f t="shared" ca="1" si="69"/>
        <v>0.66028975475143215</v>
      </c>
      <c r="BO15" s="84">
        <f t="shared" ca="1" si="70"/>
        <v>0.64972652145245202</v>
      </c>
      <c r="BP15" s="84">
        <f t="shared" ca="1" si="71"/>
        <v>0.65002796361226312</v>
      </c>
      <c r="BQ15" s="84">
        <f t="shared" ca="1" si="72"/>
        <v>0.65029315410953481</v>
      </c>
      <c r="BR15" s="84">
        <f t="shared" ca="1" si="73"/>
        <v>0.64942665827281321</v>
      </c>
      <c r="BS15" s="84">
        <f t="shared" ca="1" si="74"/>
        <v>0.61083940949797988</v>
      </c>
      <c r="BT15" s="85">
        <f t="shared" ca="1" si="75"/>
        <v>0.65086820016721059</v>
      </c>
      <c r="BU15" s="84">
        <f t="shared" ca="1" si="76"/>
        <v>0.17402000843687473</v>
      </c>
      <c r="BV15" s="83">
        <f t="shared" ca="1" si="77"/>
        <v>-2.260615819770065E-5</v>
      </c>
      <c r="BX15" s="86">
        <f t="shared" ca="1" si="49"/>
        <v>6.3457868619323889</v>
      </c>
      <c r="BY15" s="146">
        <f t="shared" ca="1" si="50"/>
        <v>-1.8471567289640138</v>
      </c>
      <c r="BZ15" s="103">
        <f t="shared" ca="1" si="17"/>
        <v>-2.2771446286791113</v>
      </c>
      <c r="CA15" s="103">
        <f t="shared" ca="1" si="18"/>
        <v>-2.261907024936157</v>
      </c>
      <c r="CB15" s="103">
        <f t="shared" ca="1" si="19"/>
        <v>-2.2780186380623895</v>
      </c>
      <c r="CC15" s="103">
        <f t="shared" ca="1" si="20"/>
        <v>-2.2775552457682409</v>
      </c>
      <c r="CD15" s="103">
        <f t="shared" ca="1" si="21"/>
        <v>-2.2771477588562448</v>
      </c>
      <c r="CE15" s="103">
        <f t="shared" ca="1" si="22"/>
        <v>-2.2784798162141318</v>
      </c>
      <c r="CF15" s="103">
        <f t="shared" ca="1" si="23"/>
        <v>-2.3396739688700325</v>
      </c>
      <c r="CG15" s="104">
        <f t="shared" ca="1" si="24"/>
        <v>-2.2762647235005793</v>
      </c>
      <c r="CH15" s="103">
        <f t="shared" ca="1" si="25"/>
        <v>-3.5927361498033585</v>
      </c>
      <c r="CI15" s="83">
        <f t="shared" ca="1" si="78"/>
        <v>-2.260615819770065E-5</v>
      </c>
      <c r="CK15" s="130">
        <f t="shared" ca="1" si="79"/>
        <v>2.4E-2</v>
      </c>
      <c r="CL15" s="131">
        <f t="shared" ca="1" si="80"/>
        <v>0</v>
      </c>
      <c r="CM15" s="131">
        <f t="shared" ca="1" si="81"/>
        <v>0</v>
      </c>
      <c r="CN15" s="131">
        <f t="shared" ca="1" si="82"/>
        <v>8.0000000000000002E-3</v>
      </c>
      <c r="CO15" s="131">
        <f t="shared" ca="1" si="83"/>
        <v>8.0000000000000002E-3</v>
      </c>
      <c r="CP15" s="131">
        <f t="shared" ca="1" si="84"/>
        <v>8.0000000000000002E-3</v>
      </c>
      <c r="CQ15" s="131">
        <f t="shared" ca="1" si="85"/>
        <v>0</v>
      </c>
      <c r="CR15" s="131">
        <f t="shared" ca="1" si="86"/>
        <v>0</v>
      </c>
      <c r="CS15" s="132">
        <f t="shared" ca="1" si="87"/>
        <v>0.95199999999999996</v>
      </c>
      <c r="CT15" s="131">
        <f t="shared" ca="1" si="88"/>
        <v>0</v>
      </c>
      <c r="CU15" s="315">
        <f t="shared" ca="1" si="89"/>
        <v>1</v>
      </c>
      <c r="CW15" s="63">
        <f t="shared" ca="1" si="90"/>
        <v>2.2659975514091828</v>
      </c>
      <c r="CX15" s="64">
        <f t="shared" ca="1" si="91"/>
        <v>1.0000452128274335</v>
      </c>
      <c r="CY15" s="275">
        <f t="shared" si="56"/>
        <v>1.9274949456632443E-2</v>
      </c>
      <c r="CZ15" s="65">
        <f t="shared" ca="1" si="92"/>
        <v>3.285317713693249</v>
      </c>
    </row>
    <row r="16" spans="1:105">
      <c r="C16" s="232">
        <f t="shared" si="55"/>
        <v>9</v>
      </c>
      <c r="D16" s="271">
        <f>IFERROR(MATCH(C16,ExperienceReplayBuffer!$B$5:$B$260,FALSE), D15)</f>
        <v>49</v>
      </c>
      <c r="E16" s="280">
        <f ca="1">OFFSET(ExperienceReplayBuffer!G$4,$D16,0)</f>
        <v>0</v>
      </c>
      <c r="F16" s="281">
        <f ca="1">OFFSET(ExperienceReplayBuffer!H$4,$D16,0)</f>
        <v>1</v>
      </c>
      <c r="G16" s="281">
        <f ca="1">OFFSET(ExperienceReplayBuffer!I$4,$D16,0)</f>
        <v>0</v>
      </c>
      <c r="H16" s="281">
        <f ca="1">OFFSET(ExperienceReplayBuffer!J$4,$D16,0)</f>
        <v>1</v>
      </c>
      <c r="I16" s="281">
        <f ca="1">OFFSET(ExperienceReplayBuffer!K$4,$D16,0)</f>
        <v>-1</v>
      </c>
      <c r="J16" s="281">
        <f ca="1">OFFSET(ExperienceReplayBuffer!L$4,$D16,0)</f>
        <v>0</v>
      </c>
      <c r="K16" s="281">
        <f ca="1">OFFSET(ExperienceReplayBuffer!M$4,$D16,0)</f>
        <v>0</v>
      </c>
      <c r="L16" s="281">
        <f ca="1">OFFSET(ExperienceReplayBuffer!N$4,$D16,0)</f>
        <v>-1</v>
      </c>
      <c r="M16" s="282">
        <f ca="1">OFFSET(ExperienceReplayBuffer!O$4,$D16,0)</f>
        <v>-1</v>
      </c>
      <c r="N16" s="387">
        <f ca="1">OFFSET(ExperienceReplayBuffer!P$4,$D16,0)</f>
        <v>0.46153846153846156</v>
      </c>
      <c r="O16" s="388">
        <f ca="1">OFFSET(ExperienceReplayBuffer!Q$4,$D16,0)</f>
        <v>0</v>
      </c>
      <c r="P16" s="388">
        <f ca="1">OFFSET(ExperienceReplayBuffer!R$4,$D16,0)</f>
        <v>0.12307692307692308</v>
      </c>
      <c r="Q16" s="388">
        <f ca="1">OFFSET(ExperienceReplayBuffer!S$4,$D16,0)</f>
        <v>0</v>
      </c>
      <c r="R16" s="388">
        <f ca="1">OFFSET(ExperienceReplayBuffer!T$4,$D16,0)</f>
        <v>0</v>
      </c>
      <c r="S16" s="388">
        <f ca="1">OFFSET(ExperienceReplayBuffer!U$4,$D16,0)</f>
        <v>0.18461538461538463</v>
      </c>
      <c r="T16" s="388">
        <f ca="1">OFFSET(ExperienceReplayBuffer!V$4,$D16,0)</f>
        <v>0.23076923076923078</v>
      </c>
      <c r="U16" s="388">
        <f ca="1">OFFSET(ExperienceReplayBuffer!W$4,$D16,0)</f>
        <v>0</v>
      </c>
      <c r="V16" s="389">
        <f ca="1">OFFSET(ExperienceReplayBuffer!X$4,$D16,0)</f>
        <v>0</v>
      </c>
      <c r="W16" s="390">
        <f ca="1">OFFSET(ExperienceReplayBuffer!Y$4,$D16,0)</f>
        <v>0</v>
      </c>
      <c r="X16" s="396">
        <f ca="1">OFFSET(ExperienceReplayBuffer!Z$4,$D16,0)</f>
        <v>-1</v>
      </c>
      <c r="AC16" s="139">
        <f t="shared" ca="1" si="58"/>
        <v>0</v>
      </c>
      <c r="AD16" s="140">
        <f t="shared" ca="1" si="59"/>
        <v>1</v>
      </c>
      <c r="AE16" s="140">
        <f t="shared" ca="1" si="60"/>
        <v>0</v>
      </c>
      <c r="AF16" s="140">
        <f t="shared" ca="1" si="61"/>
        <v>1</v>
      </c>
      <c r="AG16" s="140">
        <f t="shared" ca="1" si="62"/>
        <v>-1</v>
      </c>
      <c r="AH16" s="140">
        <f t="shared" ca="1" si="63"/>
        <v>0</v>
      </c>
      <c r="AI16" s="140">
        <f t="shared" ca="1" si="64"/>
        <v>0</v>
      </c>
      <c r="AJ16" s="140">
        <f t="shared" ca="1" si="65"/>
        <v>-1</v>
      </c>
      <c r="AK16" s="141">
        <f t="shared" ca="1" si="66"/>
        <v>-1</v>
      </c>
      <c r="AM16" s="86">
        <f ca="1">MAX(0, SUMPRODUCT($AC16:$AK16,OFFSET(DNN!$E$9:$M$9,AM$6,0)) + OFFSET(DNN!$D$9,AM$6,0))</f>
        <v>0</v>
      </c>
      <c r="AN16" s="84">
        <f ca="1">MAX(0, SUMPRODUCT($AC16:$AK16,OFFSET(DNN!$E$9:$M$9,AN$6,0)) + OFFSET(DNN!$D$9,AN$6,0))</f>
        <v>4.4690889300292077E-3</v>
      </c>
      <c r="AO16" s="84">
        <f ca="1">MAX(0, SUMPRODUCT($AC16:$AK16,OFFSET(DNN!$E$9:$M$9,AO$6,0)) + OFFSET(DNN!$D$9,AO$6,0))</f>
        <v>0</v>
      </c>
      <c r="AP16" s="84">
        <f ca="1">MAX(0, SUMPRODUCT($AC16:$AK16,OFFSET(DNN!$E$9:$M$9,AP$6,0)) + OFFSET(DNN!$D$9,AP$6,0))</f>
        <v>0</v>
      </c>
      <c r="AQ16" s="85">
        <f ca="1">MAX(0, SUMPRODUCT($AC16:$AK16,OFFSET(DNN!$E$9:$M$9,AQ$6,0)) + OFFSET(DNN!$D$9,AQ$6,0))</f>
        <v>2.4613280204339419E-3</v>
      </c>
      <c r="AR16" s="1"/>
      <c r="AS16" s="421">
        <f ca="1">MAX(0, SUMPRODUCT($AM16:$AQ16,OFFSET(DNN!$Q$9:$U$9,AS$6,0)) + OFFSET(DNN!$P$9,AS$6,0))</f>
        <v>4.5828432569898774E-4</v>
      </c>
      <c r="AT16" s="422">
        <f ca="1">MAX(0, SUMPRODUCT($AM16:$AQ16,OFFSET(DNN!$Q$9:$U$9,AT$6,0)) + OFFSET(DNN!$P$9,AT$6,0))</f>
        <v>0</v>
      </c>
      <c r="AU16" s="422">
        <f ca="1">MAX(0, SUMPRODUCT($AM16:$AQ16,OFFSET(DNN!$Q$9:$U$9,AU$6,0)) + OFFSET(DNN!$P$9,AU$6,0))</f>
        <v>1.2836836814580478E-3</v>
      </c>
      <c r="AV16" s="422">
        <f ca="1">MAX(0, SUMPRODUCT($AM16:$AQ16,OFFSET(DNN!$Q$9:$U$9,AV$6,0)) + OFFSET(DNN!$P$9,AV$6,0))</f>
        <v>7.8371802219548523E-4</v>
      </c>
      <c r="AW16" s="423">
        <f ca="1">MAX(0, SUMPRODUCT($AM16:$AQ16,OFFSET(DNN!$Q$9:$U$9,AW$6,0)) + OFFSET(DNN!$P$9,AW$6,0))</f>
        <v>0</v>
      </c>
      <c r="AX16" s="1"/>
      <c r="AY16" s="86">
        <f ca="1">SUMPRODUCT($AS16:$AW16,OFFSET(DNN!$Y$9:$AC$9,AY$6,0)) + OFFSET(DNN!$X$9,AY$6,0)</f>
        <v>0.43031621784901442</v>
      </c>
      <c r="AZ16" s="84">
        <f ca="1">SUMPRODUCT($AS16:$AW16,OFFSET(DNN!$Y$9:$AC$9,AZ$6,0)) + OFFSET(DNN!$X$9,AZ$6,0)</f>
        <v>-1.2615021090667455E-5</v>
      </c>
      <c r="BA16" s="84">
        <f ca="1">SUMPRODUCT($AS16:$AW16,OFFSET(DNN!$Y$9:$AC$9,BA$6,0)) + OFFSET(DNN!$X$9,BA$6,0)</f>
        <v>1.5239761470982761E-2</v>
      </c>
      <c r="BB16" s="84">
        <f ca="1">SUMPRODUCT($AS16:$AW16,OFFSET(DNN!$Y$9:$AC$9,BB$6,0)) + OFFSET(DNN!$X$9,BB$6,0)</f>
        <v>-8.8745188071061927E-4</v>
      </c>
      <c r="BC16" s="84">
        <f ca="1">SUMPRODUCT($AS16:$AW16,OFFSET(DNN!$Y$9:$AC$9,BC$6,0)) + OFFSET(DNN!$X$9,BC$6,0)</f>
        <v>-4.2361608879352655E-4</v>
      </c>
      <c r="BD16" s="84">
        <f ca="1">SUMPRODUCT($AS16:$AW16,OFFSET(DNN!$Y$9:$AC$9,BD$6,0)) + OFFSET(DNN!$X$9,BD$6,0)</f>
        <v>-1.5751802409677991E-5</v>
      </c>
      <c r="BE16" s="84">
        <f ca="1">SUMPRODUCT($AS16:$AW16,OFFSET(DNN!$Y$9:$AC$9,BE$6,0)) + OFFSET(DNN!$X$9,BE$6,0)</f>
        <v>-1.3491091408822443E-3</v>
      </c>
      <c r="BF16" s="84">
        <f ca="1">SUMPRODUCT($AS16:$AW16,OFFSET(DNN!$Y$9:$AC$9,BF$6,0)) + OFFSET(DNN!$X$9,BF$6,0)</f>
        <v>-6.2604848527245224E-2</v>
      </c>
      <c r="BG16" s="84">
        <f ca="1">SUMPRODUCT($AS16:$AW16,OFFSET(DNN!$Y$9:$AC$9,BG$6,0)) + OFFSET(DNN!$X$9,BG$6,0)</f>
        <v>8.6814270220281816E-4</v>
      </c>
      <c r="BH16" s="83">
        <f ca="1">SUMPRODUCT($AS16:$AW16,OFFSET(DNN!$Y$9:$AC$9,BH$6,0)) + OFFSET(DNN!$X$9,BH$6,0)</f>
        <v>-1.31826873613846</v>
      </c>
      <c r="BI16" s="85">
        <f ca="1">SUMPRODUCT($AS16:$AW16,OFFSET(DNN!$Y$9:$AC$9,BI$6,0)) + OFFSET(DNN!$X$9,BI$6,0)</f>
        <v>-2.2549318034999757E-5</v>
      </c>
      <c r="BJ16" s="1"/>
      <c r="BK16" s="415">
        <f t="shared" ca="1" si="37"/>
        <v>0.43031621784901442</v>
      </c>
      <c r="BL16" s="86">
        <f t="shared" ca="1" si="67"/>
        <v>1</v>
      </c>
      <c r="BM16" s="84">
        <f t="shared" ca="1" si="68"/>
        <v>0.65029522111693228</v>
      </c>
      <c r="BN16" s="84">
        <f t="shared" ca="1" si="69"/>
        <v>0.66028979540883781</v>
      </c>
      <c r="BO16" s="84">
        <f t="shared" ca="1" si="70"/>
        <v>0.6497265676636329</v>
      </c>
      <c r="BP16" s="84">
        <f t="shared" ca="1" si="71"/>
        <v>0.65002800400375216</v>
      </c>
      <c r="BQ16" s="84">
        <f t="shared" ca="1" si="72"/>
        <v>0.65029318128623015</v>
      </c>
      <c r="BR16" s="84">
        <f t="shared" ca="1" si="73"/>
        <v>0.64942668590316666</v>
      </c>
      <c r="BS16" s="84">
        <f t="shared" ca="1" si="74"/>
        <v>0.61083948293692336</v>
      </c>
      <c r="BT16" s="85">
        <f t="shared" ca="1" si="75"/>
        <v>0.65086822595752969</v>
      </c>
      <c r="BU16" s="84">
        <f t="shared" ca="1" si="76"/>
        <v>0.1740200156368783</v>
      </c>
      <c r="BV16" s="83">
        <f t="shared" ca="1" si="77"/>
        <v>-2.254931803117786E-5</v>
      </c>
      <c r="BX16" s="86">
        <f t="shared" ca="1" si="49"/>
        <v>6.3457871799138834</v>
      </c>
      <c r="BY16" s="146">
        <f t="shared" ca="1" si="50"/>
        <v>-1.847156779041307</v>
      </c>
      <c r="BZ16" s="103">
        <f t="shared" ca="1" si="17"/>
        <v>-2.2771446334424286</v>
      </c>
      <c r="CA16" s="103">
        <f t="shared" ca="1" si="18"/>
        <v>-2.2619070134811423</v>
      </c>
      <c r="CB16" s="103">
        <f t="shared" ca="1" si="19"/>
        <v>-2.2780186170679193</v>
      </c>
      <c r="CC16" s="103">
        <f t="shared" ca="1" si="20"/>
        <v>-2.2775552337509666</v>
      </c>
      <c r="CD16" s="103">
        <f t="shared" ca="1" si="21"/>
        <v>-2.2771477671657561</v>
      </c>
      <c r="CE16" s="103">
        <f t="shared" ca="1" si="22"/>
        <v>-2.2784798237700565</v>
      </c>
      <c r="CF16" s="103">
        <f t="shared" ca="1" si="23"/>
        <v>-2.3396738988256081</v>
      </c>
      <c r="CG16" s="104">
        <f t="shared" ca="1" si="24"/>
        <v>-2.2762647339749513</v>
      </c>
      <c r="CH16" s="103">
        <f t="shared" ca="1" si="25"/>
        <v>-3.5927361585061219</v>
      </c>
      <c r="CI16" s="83">
        <f t="shared" ca="1" si="78"/>
        <v>-2.254931803117786E-5</v>
      </c>
      <c r="CK16" s="130">
        <f t="shared" ca="1" si="79"/>
        <v>0.46153846153846156</v>
      </c>
      <c r="CL16" s="131">
        <f t="shared" ca="1" si="80"/>
        <v>0</v>
      </c>
      <c r="CM16" s="131">
        <f t="shared" ca="1" si="81"/>
        <v>0.12307692307692308</v>
      </c>
      <c r="CN16" s="131">
        <f t="shared" ca="1" si="82"/>
        <v>0</v>
      </c>
      <c r="CO16" s="131">
        <f t="shared" ca="1" si="83"/>
        <v>0</v>
      </c>
      <c r="CP16" s="131">
        <f t="shared" ca="1" si="84"/>
        <v>0.18461538461538463</v>
      </c>
      <c r="CQ16" s="131">
        <f t="shared" ca="1" si="85"/>
        <v>0.23076923076923078</v>
      </c>
      <c r="CR16" s="131">
        <f t="shared" ca="1" si="86"/>
        <v>0</v>
      </c>
      <c r="CS16" s="132">
        <f t="shared" ca="1" si="87"/>
        <v>0</v>
      </c>
      <c r="CT16" s="131">
        <f t="shared" ca="1" si="88"/>
        <v>0</v>
      </c>
      <c r="CU16" s="315">
        <f t="shared" ca="1" si="89"/>
        <v>-1</v>
      </c>
      <c r="CW16" s="63">
        <f t="shared" ca="1" si="90"/>
        <v>2.077122000640435</v>
      </c>
      <c r="CX16" s="64">
        <f t="shared" ca="1" si="91"/>
        <v>0.99995490187240943</v>
      </c>
      <c r="CY16" s="275">
        <f t="shared" si="56"/>
        <v>1.9274949456632443E-2</v>
      </c>
      <c r="CZ16" s="65">
        <f t="shared" ca="1" si="92"/>
        <v>3.096351851969477</v>
      </c>
    </row>
    <row r="17" spans="3:104">
      <c r="C17" s="232">
        <f t="shared" si="55"/>
        <v>10</v>
      </c>
      <c r="D17" s="271">
        <f>IFERROR(MATCH(C17,ExperienceReplayBuffer!$B$5:$B$260,FALSE), D16)</f>
        <v>23</v>
      </c>
      <c r="E17" s="280">
        <f ca="1">OFFSET(ExperienceReplayBuffer!G$4,$D17,0)</f>
        <v>0</v>
      </c>
      <c r="F17" s="281">
        <f ca="1">OFFSET(ExperienceReplayBuffer!H$4,$D17,0)</f>
        <v>0</v>
      </c>
      <c r="G17" s="281">
        <f ca="1">OFFSET(ExperienceReplayBuffer!I$4,$D17,0)</f>
        <v>0</v>
      </c>
      <c r="H17" s="281">
        <f ca="1">OFFSET(ExperienceReplayBuffer!J$4,$D17,0)</f>
        <v>0</v>
      </c>
      <c r="I17" s="281">
        <f ca="1">OFFSET(ExperienceReplayBuffer!K$4,$D17,0)</f>
        <v>0</v>
      </c>
      <c r="J17" s="281">
        <f ca="1">OFFSET(ExperienceReplayBuffer!L$4,$D17,0)</f>
        <v>0</v>
      </c>
      <c r="K17" s="281">
        <f ca="1">OFFSET(ExperienceReplayBuffer!M$4,$D17,0)</f>
        <v>0</v>
      </c>
      <c r="L17" s="281">
        <f ca="1">OFFSET(ExperienceReplayBuffer!N$4,$D17,0)</f>
        <v>0</v>
      </c>
      <c r="M17" s="282">
        <f ca="1">OFFSET(ExperienceReplayBuffer!O$4,$D17,0)</f>
        <v>0</v>
      </c>
      <c r="N17" s="387">
        <f ca="1">OFFSET(ExperienceReplayBuffer!P$4,$D17,0)</f>
        <v>0.10638297872340426</v>
      </c>
      <c r="O17" s="388">
        <f ca="1">OFFSET(ExperienceReplayBuffer!Q$4,$D17,0)</f>
        <v>0.1276595744680851</v>
      </c>
      <c r="P17" s="388">
        <f ca="1">OFFSET(ExperienceReplayBuffer!R$4,$D17,0)</f>
        <v>8.5106382978723402E-2</v>
      </c>
      <c r="Q17" s="388">
        <f ca="1">OFFSET(ExperienceReplayBuffer!S$4,$D17,0)</f>
        <v>0.1276595744680851</v>
      </c>
      <c r="R17" s="388">
        <f ca="1">OFFSET(ExperienceReplayBuffer!T$4,$D17,0)</f>
        <v>0.10638297872340426</v>
      </c>
      <c r="S17" s="388">
        <f ca="1">OFFSET(ExperienceReplayBuffer!U$4,$D17,0)</f>
        <v>0.10638297872340426</v>
      </c>
      <c r="T17" s="388">
        <f ca="1">OFFSET(ExperienceReplayBuffer!V$4,$D17,0)</f>
        <v>0.10638297872340426</v>
      </c>
      <c r="U17" s="388">
        <f ca="1">OFFSET(ExperienceReplayBuffer!W$4,$D17,0)</f>
        <v>0.10638297872340426</v>
      </c>
      <c r="V17" s="389">
        <f ca="1">OFFSET(ExperienceReplayBuffer!X$4,$D17,0)</f>
        <v>0.1276595744680851</v>
      </c>
      <c r="W17" s="390">
        <f ca="1">OFFSET(ExperienceReplayBuffer!Y$4,$D17,0)</f>
        <v>0</v>
      </c>
      <c r="X17" s="396">
        <f ca="1">OFFSET(ExperienceReplayBuffer!Z$4,$D17,0)</f>
        <v>1</v>
      </c>
      <c r="AC17" s="139">
        <f t="shared" ca="1" si="58"/>
        <v>0</v>
      </c>
      <c r="AD17" s="140">
        <f t="shared" ca="1" si="59"/>
        <v>0</v>
      </c>
      <c r="AE17" s="140">
        <f t="shared" ca="1" si="60"/>
        <v>0</v>
      </c>
      <c r="AF17" s="140">
        <f t="shared" ca="1" si="61"/>
        <v>0</v>
      </c>
      <c r="AG17" s="140">
        <f t="shared" ca="1" si="62"/>
        <v>0</v>
      </c>
      <c r="AH17" s="140">
        <f t="shared" ca="1" si="63"/>
        <v>0</v>
      </c>
      <c r="AI17" s="140">
        <f t="shared" ca="1" si="64"/>
        <v>0</v>
      </c>
      <c r="AJ17" s="140">
        <f t="shared" ca="1" si="65"/>
        <v>0</v>
      </c>
      <c r="AK17" s="141">
        <f t="shared" ca="1" si="66"/>
        <v>0</v>
      </c>
      <c r="AM17" s="86">
        <f ca="1">MAX(0, SUMPRODUCT($AC17:$AK17,OFFSET(DNN!$E$9:$M$9,AM$6,0)) + OFFSET(DNN!$D$9,AM$6,0))</f>
        <v>2.0631558248247021E-3</v>
      </c>
      <c r="AN17" s="84">
        <f ca="1">MAX(0, SUMPRODUCT($AC17:$AK17,OFFSET(DNN!$E$9:$M$9,AN$6,0)) + OFFSET(DNN!$D$9,AN$6,0))</f>
        <v>0</v>
      </c>
      <c r="AO17" s="84">
        <f ca="1">MAX(0, SUMPRODUCT($AC17:$AK17,OFFSET(DNN!$E$9:$M$9,AO$6,0)) + OFFSET(DNN!$D$9,AO$6,0))</f>
        <v>2.154285938296177E-3</v>
      </c>
      <c r="AP17" s="84">
        <f ca="1">MAX(0, SUMPRODUCT($AC17:$AK17,OFFSET(DNN!$E$9:$M$9,AP$6,0)) + OFFSET(DNN!$D$9,AP$6,0))</f>
        <v>0</v>
      </c>
      <c r="AQ17" s="85">
        <f ca="1">MAX(0, SUMPRODUCT($AC17:$AK17,OFFSET(DNN!$E$9:$M$9,AQ$6,0)) + OFFSET(DNN!$D$9,AQ$6,0))</f>
        <v>1.8366060460347161E-3</v>
      </c>
      <c r="AR17" s="1"/>
      <c r="AS17" s="421">
        <f ca="1">MAX(0, SUMPRODUCT($AM17:$AQ17,OFFSET(DNN!$Q$9:$U$9,AS$6,0)) + OFFSET(DNN!$P$9,AS$6,0))</f>
        <v>4.6541703104327264E-4</v>
      </c>
      <c r="AT17" s="422">
        <f ca="1">MAX(0, SUMPRODUCT($AM17:$AQ17,OFFSET(DNN!$Q$9:$U$9,AT$6,0)) + OFFSET(DNN!$P$9,AT$6,0))</f>
        <v>0</v>
      </c>
      <c r="AU17" s="422">
        <f ca="1">MAX(0, SUMPRODUCT($AM17:$AQ17,OFFSET(DNN!$Q$9:$U$9,AU$6,0)) + OFFSET(DNN!$P$9,AU$6,0))</f>
        <v>1.2728791875745589E-3</v>
      </c>
      <c r="AV17" s="422">
        <f ca="1">MAX(0, SUMPRODUCT($AM17:$AQ17,OFFSET(DNN!$Q$9:$U$9,AV$6,0)) + OFFSET(DNN!$P$9,AV$6,0))</f>
        <v>7.9787814168382897E-4</v>
      </c>
      <c r="AW17" s="423">
        <f ca="1">MAX(0, SUMPRODUCT($AM17:$AQ17,OFFSET(DNN!$Q$9:$U$9,AW$6,0)) + OFFSET(DNN!$P$9,AW$6,0))</f>
        <v>0</v>
      </c>
      <c r="AX17" s="1"/>
      <c r="AY17" s="86">
        <f ca="1">SUMPRODUCT($AS17:$AW17,OFFSET(DNN!$Y$9:$AC$9,AY$6,0)) + OFFSET(DNN!$X$9,AY$6,0)</f>
        <v>0.43031625597189976</v>
      </c>
      <c r="AZ17" s="84">
        <f ca="1">SUMPRODUCT($AS17:$AW17,OFFSET(DNN!$Y$9:$AC$9,AZ$6,0)) + OFFSET(DNN!$X$9,AZ$6,0)</f>
        <v>-1.2608933306266211E-5</v>
      </c>
      <c r="BA17" s="84">
        <f ca="1">SUMPRODUCT($AS17:$AW17,OFFSET(DNN!$Y$9:$AC$9,BA$6,0)) + OFFSET(DNN!$X$9,BA$6,0)</f>
        <v>1.5239774842061692E-2</v>
      </c>
      <c r="BB17" s="84">
        <f ca="1">SUMPRODUCT($AS17:$AW17,OFFSET(DNN!$Y$9:$AC$9,BB$6,0)) + OFFSET(DNN!$X$9,BB$6,0)</f>
        <v>-8.8745939962467173E-4</v>
      </c>
      <c r="BC17" s="84">
        <f ca="1">SUMPRODUCT($AS17:$AW17,OFFSET(DNN!$Y$9:$AC$9,BC$6,0)) + OFFSET(DNN!$X$9,BC$6,0)</f>
        <v>-4.2360343497512535E-4</v>
      </c>
      <c r="BD17" s="84">
        <f ca="1">SUMPRODUCT($AS17:$AW17,OFFSET(DNN!$Y$9:$AC$9,BD$6,0)) + OFFSET(DNN!$X$9,BD$6,0)</f>
        <v>-1.5731478380349936E-5</v>
      </c>
      <c r="BE17" s="84">
        <f ca="1">SUMPRODUCT($AS17:$AW17,OFFSET(DNN!$Y$9:$AC$9,BE$6,0)) + OFFSET(DNN!$X$9,BE$6,0)</f>
        <v>-1.3490925317642625E-3</v>
      </c>
      <c r="BF17" s="84">
        <f ca="1">SUMPRODUCT($AS17:$AW17,OFFSET(DNN!$Y$9:$AC$9,BF$6,0)) + OFFSET(DNN!$X$9,BF$6,0)</f>
        <v>-6.2604865391920853E-2</v>
      </c>
      <c r="BG17" s="84">
        <f ca="1">SUMPRODUCT($AS17:$AW17,OFFSET(DNN!$Y$9:$AC$9,BG$6,0)) + OFFSET(DNN!$X$9,BG$6,0)</f>
        <v>8.6816048610788385E-4</v>
      </c>
      <c r="BH17" s="83">
        <f ca="1">SUMPRODUCT($AS17:$AW17,OFFSET(DNN!$Y$9:$AC$9,BH$6,0)) + OFFSET(DNN!$X$9,BH$6,0)</f>
        <v>-1.3182687295664537</v>
      </c>
      <c r="BI17" s="85">
        <f ca="1">SUMPRODUCT($AS17:$AW17,OFFSET(DNN!$Y$9:$AC$9,BI$6,0)) + OFFSET(DNN!$X$9,BI$6,0)</f>
        <v>-2.2578453539223673E-5</v>
      </c>
      <c r="BJ17" s="1"/>
      <c r="BK17" s="415">
        <f t="shared" ca="1" si="37"/>
        <v>0.43031625597189976</v>
      </c>
      <c r="BL17" s="86">
        <f t="shared" ca="1" si="67"/>
        <v>1</v>
      </c>
      <c r="BM17" s="84">
        <f t="shared" ca="1" si="68"/>
        <v>0.65029520028465959</v>
      </c>
      <c r="BN17" s="84">
        <f t="shared" ca="1" si="69"/>
        <v>0.66028977906547281</v>
      </c>
      <c r="BO17" s="84">
        <f t="shared" ca="1" si="70"/>
        <v>0.64972653800894398</v>
      </c>
      <c r="BP17" s="84">
        <f t="shared" ca="1" si="71"/>
        <v>0.65002798744814561</v>
      </c>
      <c r="BQ17" s="84">
        <f t="shared" ca="1" si="72"/>
        <v>0.65029316971175555</v>
      </c>
      <c r="BR17" s="84">
        <f t="shared" ca="1" si="73"/>
        <v>0.64942667193155224</v>
      </c>
      <c r="BS17" s="84">
        <f t="shared" ca="1" si="74"/>
        <v>0.61083944934835099</v>
      </c>
      <c r="BT17" s="85">
        <f t="shared" ca="1" si="75"/>
        <v>0.65086821271953388</v>
      </c>
      <c r="BU17" s="84">
        <f t="shared" ca="1" si="76"/>
        <v>0.17402001014639393</v>
      </c>
      <c r="BV17" s="83">
        <f t="shared" ca="1" si="77"/>
        <v>-2.2578453535386946E-5</v>
      </c>
      <c r="BX17" s="86">
        <f t="shared" ca="1" si="49"/>
        <v>6.345787018664808</v>
      </c>
      <c r="BY17" s="146">
        <f t="shared" ca="1" si="50"/>
        <v>-1.8471567536470082</v>
      </c>
      <c r="BZ17" s="103">
        <f t="shared" ca="1" si="17"/>
        <v>-2.2771446400606576</v>
      </c>
      <c r="CA17" s="103">
        <f t="shared" ca="1" si="18"/>
        <v>-2.2619070128231673</v>
      </c>
      <c r="CB17" s="103">
        <f t="shared" ca="1" si="19"/>
        <v>-2.2780186372795646</v>
      </c>
      <c r="CC17" s="103">
        <f t="shared" ca="1" si="20"/>
        <v>-2.2775552338095628</v>
      </c>
      <c r="CD17" s="103">
        <f t="shared" ca="1" si="21"/>
        <v>-2.2771477595616187</v>
      </c>
      <c r="CE17" s="103">
        <f t="shared" ca="1" si="22"/>
        <v>-2.278479819877214</v>
      </c>
      <c r="CF17" s="103">
        <f t="shared" ca="1" si="23"/>
        <v>-2.3396739283720609</v>
      </c>
      <c r="CG17" s="104">
        <f t="shared" ca="1" si="24"/>
        <v>-2.2762647289084574</v>
      </c>
      <c r="CH17" s="103">
        <f t="shared" ca="1" si="25"/>
        <v>-3.5927361646242768</v>
      </c>
      <c r="CI17" s="83">
        <f t="shared" ca="1" si="78"/>
        <v>-2.2578453535386946E-5</v>
      </c>
      <c r="CK17" s="130">
        <f t="shared" ca="1" si="79"/>
        <v>0.10638297872340426</v>
      </c>
      <c r="CL17" s="131">
        <f t="shared" ca="1" si="80"/>
        <v>0.1276595744680851</v>
      </c>
      <c r="CM17" s="131">
        <f t="shared" ca="1" si="81"/>
        <v>8.5106382978723402E-2</v>
      </c>
      <c r="CN17" s="131">
        <f t="shared" ca="1" si="82"/>
        <v>0.1276595744680851</v>
      </c>
      <c r="CO17" s="131">
        <f t="shared" ca="1" si="83"/>
        <v>0.10638297872340426</v>
      </c>
      <c r="CP17" s="131">
        <f t="shared" ca="1" si="84"/>
        <v>0.10638297872340426</v>
      </c>
      <c r="CQ17" s="131">
        <f t="shared" ca="1" si="85"/>
        <v>0.10638297872340426</v>
      </c>
      <c r="CR17" s="131">
        <f t="shared" ca="1" si="86"/>
        <v>0.10638297872340426</v>
      </c>
      <c r="CS17" s="132">
        <f t="shared" ca="1" si="87"/>
        <v>0.1276595744680851</v>
      </c>
      <c r="CT17" s="131">
        <f t="shared" ca="1" si="88"/>
        <v>0</v>
      </c>
      <c r="CU17" s="315">
        <f t="shared" ca="1" si="89"/>
        <v>1</v>
      </c>
      <c r="CW17" s="63">
        <f t="shared" ca="1" si="90"/>
        <v>2.2369417779813205</v>
      </c>
      <c r="CX17" s="64">
        <f t="shared" ca="1" si="91"/>
        <v>1.0000451574168576</v>
      </c>
      <c r="CY17" s="275">
        <f t="shared" si="56"/>
        <v>1.9274949456632443E-2</v>
      </c>
      <c r="CZ17" s="65">
        <f t="shared" ca="1" si="92"/>
        <v>3.2562618848548111</v>
      </c>
    </row>
    <row r="18" spans="3:104">
      <c r="C18" s="232">
        <f t="shared" si="55"/>
        <v>11</v>
      </c>
      <c r="D18" s="271">
        <f>IFERROR(MATCH(C18,ExperienceReplayBuffer!$B$5:$B$260,FALSE), D17)</f>
        <v>52</v>
      </c>
      <c r="E18" s="280">
        <f ca="1">OFFSET(ExperienceReplayBuffer!G$4,$D18,0)</f>
        <v>0</v>
      </c>
      <c r="F18" s="281">
        <f ca="1">OFFSET(ExperienceReplayBuffer!H$4,$D18,0)</f>
        <v>0</v>
      </c>
      <c r="G18" s="281">
        <f ca="1">OFFSET(ExperienceReplayBuffer!I$4,$D18,0)</f>
        <v>0</v>
      </c>
      <c r="H18" s="281">
        <f ca="1">OFFSET(ExperienceReplayBuffer!J$4,$D18,0)</f>
        <v>0</v>
      </c>
      <c r="I18" s="281">
        <f ca="1">OFFSET(ExperienceReplayBuffer!K$4,$D18,0)</f>
        <v>-1</v>
      </c>
      <c r="J18" s="281">
        <f ca="1">OFFSET(ExperienceReplayBuffer!L$4,$D18,0)</f>
        <v>0</v>
      </c>
      <c r="K18" s="281">
        <f ca="1">OFFSET(ExperienceReplayBuffer!M$4,$D18,0)</f>
        <v>0</v>
      </c>
      <c r="L18" s="281">
        <f ca="1">OFFSET(ExperienceReplayBuffer!N$4,$D18,0)</f>
        <v>0</v>
      </c>
      <c r="M18" s="282">
        <f ca="1">OFFSET(ExperienceReplayBuffer!O$4,$D18,0)</f>
        <v>0</v>
      </c>
      <c r="N18" s="387">
        <f ca="1">OFFSET(ExperienceReplayBuffer!P$4,$D18,0)</f>
        <v>0.1276595744680851</v>
      </c>
      <c r="O18" s="388">
        <f ca="1">OFFSET(ExperienceReplayBuffer!Q$4,$D18,0)</f>
        <v>0.1276595744680851</v>
      </c>
      <c r="P18" s="388">
        <f ca="1">OFFSET(ExperienceReplayBuffer!R$4,$D18,0)</f>
        <v>0.10638297872340426</v>
      </c>
      <c r="Q18" s="388">
        <f ca="1">OFFSET(ExperienceReplayBuffer!S$4,$D18,0)</f>
        <v>0.1276595744680851</v>
      </c>
      <c r="R18" s="388">
        <f ca="1">OFFSET(ExperienceReplayBuffer!T$4,$D18,0)</f>
        <v>0</v>
      </c>
      <c r="S18" s="388">
        <f ca="1">OFFSET(ExperienceReplayBuffer!U$4,$D18,0)</f>
        <v>0.1276595744680851</v>
      </c>
      <c r="T18" s="388">
        <f ca="1">OFFSET(ExperienceReplayBuffer!V$4,$D18,0)</f>
        <v>0.1276595744680851</v>
      </c>
      <c r="U18" s="388">
        <f ca="1">OFFSET(ExperienceReplayBuffer!W$4,$D18,0)</f>
        <v>0.1276595744680851</v>
      </c>
      <c r="V18" s="389">
        <f ca="1">OFFSET(ExperienceReplayBuffer!X$4,$D18,0)</f>
        <v>0.1276595744680851</v>
      </c>
      <c r="W18" s="390">
        <f ca="1">OFFSET(ExperienceReplayBuffer!Y$4,$D18,0)</f>
        <v>0</v>
      </c>
      <c r="X18" s="396">
        <f ca="1">OFFSET(ExperienceReplayBuffer!Z$4,$D18,0)</f>
        <v>-1</v>
      </c>
      <c r="AC18" s="139">
        <f t="shared" ca="1" si="58"/>
        <v>0</v>
      </c>
      <c r="AD18" s="140">
        <f t="shared" ca="1" si="59"/>
        <v>0</v>
      </c>
      <c r="AE18" s="140">
        <f t="shared" ca="1" si="60"/>
        <v>0</v>
      </c>
      <c r="AF18" s="140">
        <f t="shared" ca="1" si="61"/>
        <v>0</v>
      </c>
      <c r="AG18" s="140">
        <f t="shared" ca="1" si="62"/>
        <v>-1</v>
      </c>
      <c r="AH18" s="140">
        <f t="shared" ca="1" si="63"/>
        <v>0</v>
      </c>
      <c r="AI18" s="140">
        <f t="shared" ca="1" si="64"/>
        <v>0</v>
      </c>
      <c r="AJ18" s="140">
        <f t="shared" ca="1" si="65"/>
        <v>0</v>
      </c>
      <c r="AK18" s="141">
        <f t="shared" ca="1" si="66"/>
        <v>0</v>
      </c>
      <c r="AM18" s="86">
        <f ca="1">MAX(0, SUMPRODUCT($AC18:$AK18,OFFSET(DNN!$E$9:$M$9,AM$6,0)) + OFFSET(DNN!$D$9,AM$6,0))</f>
        <v>4.2013452257221948E-3</v>
      </c>
      <c r="AN18" s="84">
        <f ca="1">MAX(0, SUMPRODUCT($AC18:$AK18,OFFSET(DNN!$E$9:$M$9,AN$6,0)) + OFFSET(DNN!$D$9,AN$6,0))</f>
        <v>5.1532469352609338E-4</v>
      </c>
      <c r="AO18" s="84">
        <f ca="1">MAX(0, SUMPRODUCT($AC18:$AK18,OFFSET(DNN!$E$9:$M$9,AO$6,0)) + OFFSET(DNN!$D$9,AO$6,0))</f>
        <v>1.4266607118229115E-3</v>
      </c>
      <c r="AP18" s="84">
        <f ca="1">MAX(0, SUMPRODUCT($AC18:$AK18,OFFSET(DNN!$E$9:$M$9,AP$6,0)) + OFFSET(DNN!$D$9,AP$6,0))</f>
        <v>0</v>
      </c>
      <c r="AQ18" s="85">
        <f ca="1">MAX(0, SUMPRODUCT($AC18:$AK18,OFFSET(DNN!$E$9:$M$9,AQ$6,0)) + OFFSET(DNN!$D$9,AQ$6,0))</f>
        <v>3.9687840195325105E-3</v>
      </c>
      <c r="AR18" s="1"/>
      <c r="AS18" s="421">
        <f ca="1">MAX(0, SUMPRODUCT($AM18:$AQ18,OFFSET(DNN!$Q$9:$U$9,AS$6,0)) + OFFSET(DNN!$P$9,AS$6,0))</f>
        <v>4.7477017536390884E-4</v>
      </c>
      <c r="AT18" s="422">
        <f ca="1">MAX(0, SUMPRODUCT($AM18:$AQ18,OFFSET(DNN!$Q$9:$U$9,AT$6,0)) + OFFSET(DNN!$P$9,AT$6,0))</f>
        <v>0</v>
      </c>
      <c r="AU18" s="422">
        <f ca="1">MAX(0, SUMPRODUCT($AM18:$AQ18,OFFSET(DNN!$Q$9:$U$9,AU$6,0)) + OFFSET(DNN!$P$9,AU$6,0))</f>
        <v>1.2714336370708537E-3</v>
      </c>
      <c r="AV18" s="422">
        <f ca="1">MAX(0, SUMPRODUCT($AM18:$AQ18,OFFSET(DNN!$Q$9:$U$9,AV$6,0)) + OFFSET(DNN!$P$9,AV$6,0))</f>
        <v>7.9588303845915507E-4</v>
      </c>
      <c r="AW18" s="423">
        <f ca="1">MAX(0, SUMPRODUCT($AM18:$AQ18,OFFSET(DNN!$Q$9:$U$9,AW$6,0)) + OFFSET(DNN!$P$9,AW$6,0))</f>
        <v>0</v>
      </c>
      <c r="AX18" s="1"/>
      <c r="AY18" s="86">
        <f ca="1">SUMPRODUCT($AS18:$AW18,OFFSET(DNN!$Y$9:$AC$9,AY$6,0)) + OFFSET(DNN!$X$9,AY$6,0)</f>
        <v>0.43031627113889281</v>
      </c>
      <c r="AZ18" s="84">
        <f ca="1">SUMPRODUCT($AS18:$AW18,OFFSET(DNN!$Y$9:$AC$9,AZ$6,0)) + OFFSET(DNN!$X$9,AZ$6,0)</f>
        <v>-1.2590789585958429E-5</v>
      </c>
      <c r="BA18" s="84">
        <f ca="1">SUMPRODUCT($AS18:$AW18,OFFSET(DNN!$Y$9:$AC$9,BA$6,0)) + OFFSET(DNN!$X$9,BA$6,0)</f>
        <v>1.5239759151171317E-2</v>
      </c>
      <c r="BB18" s="84">
        <f ca="1">SUMPRODUCT($AS18:$AW18,OFFSET(DNN!$Y$9:$AC$9,BB$6,0)) + OFFSET(DNN!$X$9,BB$6,0)</f>
        <v>-8.8743860394558251E-4</v>
      </c>
      <c r="BC18" s="84">
        <f ca="1">SUMPRODUCT($AS18:$AW18,OFFSET(DNN!$Y$9:$AC$9,BC$6,0)) + OFFSET(DNN!$X$9,BC$6,0)</f>
        <v>-4.2361960504070251E-4</v>
      </c>
      <c r="BD18" s="84">
        <f ca="1">SUMPRODUCT($AS18:$AW18,OFFSET(DNN!$Y$9:$AC$9,BD$6,0)) + OFFSET(DNN!$X$9,BD$6,0)</f>
        <v>-1.5735614170267023E-5</v>
      </c>
      <c r="BE18" s="84">
        <f ca="1">SUMPRODUCT($AS18:$AW18,OFFSET(DNN!$Y$9:$AC$9,BE$6,0)) + OFFSET(DNN!$X$9,BE$6,0)</f>
        <v>-1.3490790029358835E-3</v>
      </c>
      <c r="BF18" s="84">
        <f ca="1">SUMPRODUCT($AS18:$AW18,OFFSET(DNN!$Y$9:$AC$9,BF$6,0)) + OFFSET(DNN!$X$9,BF$6,0)</f>
        <v>-6.2604889173492509E-2</v>
      </c>
      <c r="BG18" s="84">
        <f ca="1">SUMPRODUCT($AS18:$AW18,OFFSET(DNN!$Y$9:$AC$9,BG$6,0)) + OFFSET(DNN!$X$9,BG$6,0)</f>
        <v>8.6817636420051623E-4</v>
      </c>
      <c r="BH18" s="83">
        <f ca="1">SUMPRODUCT($AS18:$AW18,OFFSET(DNN!$Y$9:$AC$9,BH$6,0)) + OFFSET(DNN!$X$9,BH$6,0)</f>
        <v>-1.3182687108101014</v>
      </c>
      <c r="BI18" s="85">
        <f ca="1">SUMPRODUCT($AS18:$AW18,OFFSET(DNN!$Y$9:$AC$9,BI$6,0)) + OFFSET(DNN!$X$9,BI$6,0)</f>
        <v>-2.258834053500659E-5</v>
      </c>
      <c r="BJ18" s="1"/>
      <c r="BK18" s="415">
        <f t="shared" ca="1" si="37"/>
        <v>0.43031627113889281</v>
      </c>
      <c r="BL18" s="86">
        <f t="shared" ca="1" si="67"/>
        <v>1</v>
      </c>
      <c r="BM18" s="84">
        <f t="shared" ca="1" si="68"/>
        <v>0.65029520222041104</v>
      </c>
      <c r="BN18" s="84">
        <f t="shared" ca="1" si="69"/>
        <v>0.66028975869032813</v>
      </c>
      <c r="BO18" s="84">
        <f t="shared" ca="1" si="70"/>
        <v>0.64972654166605059</v>
      </c>
      <c r="BP18" s="84">
        <f t="shared" ca="1" si="71"/>
        <v>0.65002796707818078</v>
      </c>
      <c r="BQ18" s="84">
        <f t="shared" ca="1" si="72"/>
        <v>0.6502931571592877</v>
      </c>
      <c r="BR18" s="84">
        <f t="shared" ca="1" si="73"/>
        <v>0.64942667086768435</v>
      </c>
      <c r="BS18" s="84">
        <f t="shared" ca="1" si="74"/>
        <v>0.61083942555703163</v>
      </c>
      <c r="BT18" s="85">
        <f t="shared" ca="1" si="75"/>
        <v>0.65086821318236598</v>
      </c>
      <c r="BU18" s="84">
        <f t="shared" ca="1" si="76"/>
        <v>0.17402001077101426</v>
      </c>
      <c r="BV18" s="83">
        <f t="shared" ca="1" si="77"/>
        <v>-2.2588340531164815E-5</v>
      </c>
      <c r="BX18" s="86">
        <f t="shared" ca="1" si="49"/>
        <v>6.3457869471923534</v>
      </c>
      <c r="BY18" s="146">
        <f t="shared" ca="1" si="50"/>
        <v>-1.8471567423911734</v>
      </c>
      <c r="BZ18" s="103">
        <f t="shared" ca="1" si="17"/>
        <v>-2.2771446258348349</v>
      </c>
      <c r="CA18" s="103">
        <f t="shared" ca="1" si="18"/>
        <v>-2.2619070323992596</v>
      </c>
      <c r="CB18" s="103">
        <f t="shared" ca="1" si="19"/>
        <v>-2.2780186204043833</v>
      </c>
      <c r="CC18" s="103">
        <f t="shared" ca="1" si="20"/>
        <v>-2.2775552538640662</v>
      </c>
      <c r="CD18" s="103">
        <f t="shared" ca="1" si="21"/>
        <v>-2.2771477675935867</v>
      </c>
      <c r="CE18" s="103">
        <f t="shared" ca="1" si="22"/>
        <v>-2.2784798102617971</v>
      </c>
      <c r="CF18" s="103">
        <f t="shared" ca="1" si="23"/>
        <v>-2.3396739560289164</v>
      </c>
      <c r="CG18" s="104">
        <f t="shared" ca="1" si="24"/>
        <v>-2.2762647169460437</v>
      </c>
      <c r="CH18" s="103">
        <f t="shared" ca="1" si="25"/>
        <v>-3.5927361498259041</v>
      </c>
      <c r="CI18" s="83">
        <f t="shared" ca="1" si="78"/>
        <v>-2.2588340531164815E-5</v>
      </c>
      <c r="CK18" s="130">
        <f t="shared" ca="1" si="79"/>
        <v>0.1276595744680851</v>
      </c>
      <c r="CL18" s="131">
        <f t="shared" ca="1" si="80"/>
        <v>0.1276595744680851</v>
      </c>
      <c r="CM18" s="131">
        <f t="shared" ca="1" si="81"/>
        <v>0.10638297872340426</v>
      </c>
      <c r="CN18" s="131">
        <f t="shared" ca="1" si="82"/>
        <v>0.1276595744680851</v>
      </c>
      <c r="CO18" s="131">
        <f t="shared" ca="1" si="83"/>
        <v>0</v>
      </c>
      <c r="CP18" s="131">
        <f t="shared" ca="1" si="84"/>
        <v>0.1276595744680851</v>
      </c>
      <c r="CQ18" s="131">
        <f t="shared" ca="1" si="85"/>
        <v>0.1276595744680851</v>
      </c>
      <c r="CR18" s="131">
        <f t="shared" ca="1" si="86"/>
        <v>0.1276595744680851</v>
      </c>
      <c r="CS18" s="132">
        <f t="shared" ca="1" si="87"/>
        <v>0.1276595744680851</v>
      </c>
      <c r="CT18" s="131">
        <f t="shared" ca="1" si="88"/>
        <v>0</v>
      </c>
      <c r="CU18" s="315">
        <f t="shared" ca="1" si="89"/>
        <v>-1</v>
      </c>
      <c r="CW18" s="63">
        <f t="shared" ca="1" si="90"/>
        <v>2.2287840978459728</v>
      </c>
      <c r="CX18" s="64">
        <f t="shared" ca="1" si="91"/>
        <v>0.99995482382917078</v>
      </c>
      <c r="CY18" s="275">
        <f t="shared" si="56"/>
        <v>1.9274949456632443E-2</v>
      </c>
      <c r="CZ18" s="65">
        <f t="shared" ca="1" si="92"/>
        <v>3.2480138711317763</v>
      </c>
    </row>
    <row r="19" spans="3:104">
      <c r="C19" s="232">
        <f t="shared" si="55"/>
        <v>12</v>
      </c>
      <c r="D19" s="271">
        <f>IFERROR(MATCH(C19,ExperienceReplayBuffer!$B$5:$B$260,FALSE), D18)</f>
        <v>36</v>
      </c>
      <c r="E19" s="280">
        <f ca="1">OFFSET(ExperienceReplayBuffer!G$4,$D19,0)</f>
        <v>0</v>
      </c>
      <c r="F19" s="281">
        <f ca="1">OFFSET(ExperienceReplayBuffer!H$4,$D19,0)</f>
        <v>-1</v>
      </c>
      <c r="G19" s="281">
        <f ca="1">OFFSET(ExperienceReplayBuffer!I$4,$D19,0)</f>
        <v>0</v>
      </c>
      <c r="H19" s="281">
        <f ca="1">OFFSET(ExperienceReplayBuffer!J$4,$D19,0)</f>
        <v>0</v>
      </c>
      <c r="I19" s="281">
        <f ca="1">OFFSET(ExperienceReplayBuffer!K$4,$D19,0)</f>
        <v>0</v>
      </c>
      <c r="J19" s="281">
        <f ca="1">OFFSET(ExperienceReplayBuffer!L$4,$D19,0)</f>
        <v>0</v>
      </c>
      <c r="K19" s="281">
        <f ca="1">OFFSET(ExperienceReplayBuffer!M$4,$D19,0)</f>
        <v>1</v>
      </c>
      <c r="L19" s="281">
        <f ca="1">OFFSET(ExperienceReplayBuffer!N$4,$D19,0)</f>
        <v>0</v>
      </c>
      <c r="M19" s="282">
        <f ca="1">OFFSET(ExperienceReplayBuffer!O$4,$D19,0)</f>
        <v>0</v>
      </c>
      <c r="N19" s="387">
        <f ca="1">OFFSET(ExperienceReplayBuffer!P$4,$D19,0)</f>
        <v>0.20454545454545456</v>
      </c>
      <c r="O19" s="388">
        <f ca="1">OFFSET(ExperienceReplayBuffer!Q$4,$D19,0)</f>
        <v>0</v>
      </c>
      <c r="P19" s="388">
        <f ca="1">OFFSET(ExperienceReplayBuffer!R$4,$D19,0)</f>
        <v>6.8181818181818177E-2</v>
      </c>
      <c r="Q19" s="388">
        <f ca="1">OFFSET(ExperienceReplayBuffer!S$4,$D19,0)</f>
        <v>0.27272727272727271</v>
      </c>
      <c r="R19" s="388">
        <f ca="1">OFFSET(ExperienceReplayBuffer!T$4,$D19,0)</f>
        <v>0.18181818181818182</v>
      </c>
      <c r="S19" s="388">
        <f ca="1">OFFSET(ExperienceReplayBuffer!U$4,$D19,0)</f>
        <v>9.0909090909090912E-2</v>
      </c>
      <c r="T19" s="388">
        <f ca="1">OFFSET(ExperienceReplayBuffer!V$4,$D19,0)</f>
        <v>0</v>
      </c>
      <c r="U19" s="388">
        <f ca="1">OFFSET(ExperienceReplayBuffer!W$4,$D19,0)</f>
        <v>9.0909090909090912E-2</v>
      </c>
      <c r="V19" s="389">
        <f ca="1">OFFSET(ExperienceReplayBuffer!X$4,$D19,0)</f>
        <v>9.0909090909090912E-2</v>
      </c>
      <c r="W19" s="390">
        <f ca="1">OFFSET(ExperienceReplayBuffer!Y$4,$D19,0)</f>
        <v>0</v>
      </c>
      <c r="X19" s="396">
        <f ca="1">OFFSET(ExperienceReplayBuffer!Z$4,$D19,0)</f>
        <v>1</v>
      </c>
      <c r="AC19" s="139">
        <f t="shared" ca="1" si="58"/>
        <v>0</v>
      </c>
      <c r="AD19" s="140">
        <f t="shared" ca="1" si="59"/>
        <v>-1</v>
      </c>
      <c r="AE19" s="140">
        <f t="shared" ca="1" si="60"/>
        <v>0</v>
      </c>
      <c r="AF19" s="140">
        <f t="shared" ca="1" si="61"/>
        <v>0</v>
      </c>
      <c r="AG19" s="140">
        <f t="shared" ca="1" si="62"/>
        <v>0</v>
      </c>
      <c r="AH19" s="140">
        <f t="shared" ca="1" si="63"/>
        <v>0</v>
      </c>
      <c r="AI19" s="140">
        <f t="shared" ca="1" si="64"/>
        <v>1</v>
      </c>
      <c r="AJ19" s="140">
        <f t="shared" ca="1" si="65"/>
        <v>0</v>
      </c>
      <c r="AK19" s="141">
        <f t="shared" ca="1" si="66"/>
        <v>0</v>
      </c>
      <c r="AM19" s="86">
        <f ca="1">MAX(0, SUMPRODUCT($AC19:$AK19,OFFSET(DNN!$E$9:$M$9,AM$6,0)) + OFFSET(DNN!$D$9,AM$6,0))</f>
        <v>3.006235911002905E-3</v>
      </c>
      <c r="AN19" s="84">
        <f ca="1">MAX(0, SUMPRODUCT($AC19:$AK19,OFFSET(DNN!$E$9:$M$9,AN$6,0)) + OFFSET(DNN!$D$9,AN$6,0))</f>
        <v>0</v>
      </c>
      <c r="AO19" s="84">
        <f ca="1">MAX(0, SUMPRODUCT($AC19:$AK19,OFFSET(DNN!$E$9:$M$9,AO$6,0)) + OFFSET(DNN!$D$9,AO$6,0))</f>
        <v>0</v>
      </c>
      <c r="AP19" s="84">
        <f ca="1">MAX(0, SUMPRODUCT($AC19:$AK19,OFFSET(DNN!$E$9:$M$9,AP$6,0)) + OFFSET(DNN!$D$9,AP$6,0))</f>
        <v>0</v>
      </c>
      <c r="AQ19" s="85">
        <f ca="1">MAX(0, SUMPRODUCT($AC19:$AK19,OFFSET(DNN!$E$9:$M$9,AQ$6,0)) + OFFSET(DNN!$D$9,AQ$6,0))</f>
        <v>6.1172737072838221E-3</v>
      </c>
      <c r="AR19" s="1"/>
      <c r="AS19" s="421">
        <f ca="1">MAX(0, SUMPRODUCT($AM19:$AQ19,OFFSET(DNN!$Q$9:$U$9,AS$6,0)) + OFFSET(DNN!$P$9,AS$6,0))</f>
        <v>4.8106797511310127E-4</v>
      </c>
      <c r="AT19" s="422">
        <f ca="1">MAX(0, SUMPRODUCT($AM19:$AQ19,OFFSET(DNN!$Q$9:$U$9,AT$6,0)) + OFFSET(DNN!$P$9,AT$6,0))</f>
        <v>0</v>
      </c>
      <c r="AU19" s="422">
        <f ca="1">MAX(0, SUMPRODUCT($AM19:$AQ19,OFFSET(DNN!$Q$9:$U$9,AU$6,0)) + OFFSET(DNN!$P$9,AU$6,0))</f>
        <v>1.2766347684397903E-3</v>
      </c>
      <c r="AV19" s="422">
        <f ca="1">MAX(0, SUMPRODUCT($AM19:$AQ19,OFFSET(DNN!$Q$9:$U$9,AV$6,0)) + OFFSET(DNN!$P$9,AV$6,0))</f>
        <v>7.9231177833243699E-4</v>
      </c>
      <c r="AW19" s="423">
        <f ca="1">MAX(0, SUMPRODUCT($AM19:$AQ19,OFFSET(DNN!$Q$9:$U$9,AW$6,0)) + OFFSET(DNN!$P$9,AW$6,0))</f>
        <v>0</v>
      </c>
      <c r="AX19" s="1"/>
      <c r="AY19" s="86">
        <f ca="1">SUMPRODUCT($AS19:$AW19,OFFSET(DNN!$Y$9:$AC$9,AY$6,0)) + OFFSET(DNN!$X$9,AY$6,0)</f>
        <v>0.43031627257893512</v>
      </c>
      <c r="AZ19" s="84">
        <f ca="1">SUMPRODUCT($AS19:$AW19,OFFSET(DNN!$Y$9:$AC$9,AZ$6,0)) + OFFSET(DNN!$X$9,AZ$6,0)</f>
        <v>-1.2581080142362421E-5</v>
      </c>
      <c r="BA19" s="84">
        <f ca="1">SUMPRODUCT($AS19:$AW19,OFFSET(DNN!$Y$9:$AC$9,BA$6,0)) + OFFSET(DNN!$X$9,BA$6,0)</f>
        <v>1.523974086822551E-2</v>
      </c>
      <c r="BB19" s="84">
        <f ca="1">SUMPRODUCT($AS19:$AW19,OFFSET(DNN!$Y$9:$AC$9,BB$6,0)) + OFFSET(DNN!$X$9,BB$6,0)</f>
        <v>-8.8741678254460955E-4</v>
      </c>
      <c r="BC19" s="84">
        <f ca="1">SUMPRODUCT($AS19:$AW19,OFFSET(DNN!$Y$9:$AC$9,BC$6,0)) + OFFSET(DNN!$X$9,BC$6,0)</f>
        <v>-4.2363900683332114E-4</v>
      </c>
      <c r="BD19" s="84">
        <f ca="1">SUMPRODUCT($AS19:$AW19,OFFSET(DNN!$Y$9:$AC$9,BD$6,0)) + OFFSET(DNN!$X$9,BD$6,0)</f>
        <v>-1.5746256190460622E-5</v>
      </c>
      <c r="BE19" s="84">
        <f ca="1">SUMPRODUCT($AS19:$AW19,OFFSET(DNN!$Y$9:$AC$9,BE$6,0)) + OFFSET(DNN!$X$9,BE$6,0)</f>
        <v>-1.349065843911774E-3</v>
      </c>
      <c r="BF19" s="84">
        <f ca="1">SUMPRODUCT($AS19:$AW19,OFFSET(DNN!$Y$9:$AC$9,BF$6,0)) + OFFSET(DNN!$X$9,BF$6,0)</f>
        <v>-6.2604901224374759E-2</v>
      </c>
      <c r="BG19" s="84">
        <f ca="1">SUMPRODUCT($AS19:$AW19,OFFSET(DNN!$Y$9:$AC$9,BG$6,0)) + OFFSET(DNN!$X$9,BG$6,0)</f>
        <v>8.681918534824306E-4</v>
      </c>
      <c r="BH19" s="83">
        <f ca="1">SUMPRODUCT($AS19:$AW19,OFFSET(DNN!$Y$9:$AC$9,BH$6,0)) + OFFSET(DNN!$X$9,BH$6,0)</f>
        <v>-1.3182687034161453</v>
      </c>
      <c r="BI19" s="85">
        <f ca="1">SUMPRODUCT($AS19:$AW19,OFFSET(DNN!$Y$9:$AC$9,BI$6,0)) + OFFSET(DNN!$X$9,BI$6,0)</f>
        <v>-2.2585309336303586E-5</v>
      </c>
      <c r="BJ19" s="1"/>
      <c r="BK19" s="415">
        <f t="shared" ca="1" si="37"/>
        <v>0.43031627257893512</v>
      </c>
      <c r="BL19" s="86">
        <f t="shared" ca="1" si="67"/>
        <v>1</v>
      </c>
      <c r="BM19" s="84">
        <f t="shared" ca="1" si="68"/>
        <v>0.65029520759796311</v>
      </c>
      <c r="BN19" s="84">
        <f t="shared" ca="1" si="69"/>
        <v>0.66028974566744114</v>
      </c>
      <c r="BO19" s="84">
        <f t="shared" ca="1" si="70"/>
        <v>0.6497265549083604</v>
      </c>
      <c r="BP19" s="84">
        <f t="shared" ca="1" si="71"/>
        <v>0.65002795353040532</v>
      </c>
      <c r="BQ19" s="84">
        <f t="shared" ca="1" si="72"/>
        <v>0.65029314930240523</v>
      </c>
      <c r="BR19" s="84">
        <f t="shared" ca="1" si="73"/>
        <v>0.64942667847830371</v>
      </c>
      <c r="BS19" s="84">
        <f t="shared" ca="1" si="74"/>
        <v>0.61083941731624303</v>
      </c>
      <c r="BT19" s="85">
        <f t="shared" ca="1" si="75"/>
        <v>0.65086822232656949</v>
      </c>
      <c r="BU19" s="84">
        <f t="shared" ca="1" si="76"/>
        <v>0.17402001180711441</v>
      </c>
      <c r="BV19" s="83">
        <f t="shared" ca="1" si="77"/>
        <v>-2.2585309332463356E-5</v>
      </c>
      <c r="BX19" s="86">
        <f t="shared" ca="1" si="49"/>
        <v>6.345786940934806</v>
      </c>
      <c r="BY19" s="146">
        <f t="shared" ca="1" si="50"/>
        <v>-1.8471567414057042</v>
      </c>
      <c r="BZ19" s="103">
        <f t="shared" ca="1" si="17"/>
        <v>-2.277144616588362</v>
      </c>
      <c r="CA19" s="103">
        <f t="shared" ca="1" si="18"/>
        <v>-2.2619070511181629</v>
      </c>
      <c r="CB19" s="103">
        <f t="shared" ca="1" si="19"/>
        <v>-2.2780185990577788</v>
      </c>
      <c r="CC19" s="103">
        <f t="shared" ca="1" si="20"/>
        <v>-2.2775552737004414</v>
      </c>
      <c r="CD19" s="103">
        <f t="shared" ca="1" si="21"/>
        <v>-2.2771477786787369</v>
      </c>
      <c r="CE19" s="103">
        <f t="shared" ca="1" si="22"/>
        <v>-2.2784797975691231</v>
      </c>
      <c r="CF19" s="103">
        <f t="shared" ca="1" si="23"/>
        <v>-2.3396739685207688</v>
      </c>
      <c r="CG19" s="104">
        <f t="shared" ca="1" si="24"/>
        <v>-2.2762647019253541</v>
      </c>
      <c r="CH19" s="103">
        <f t="shared" ca="1" si="25"/>
        <v>-3.5927361429111109</v>
      </c>
      <c r="CI19" s="83">
        <f t="shared" ca="1" si="78"/>
        <v>-2.2585309332463356E-5</v>
      </c>
      <c r="CK19" s="130">
        <f t="shared" ca="1" si="79"/>
        <v>0.20454545454545456</v>
      </c>
      <c r="CL19" s="131">
        <f t="shared" ca="1" si="80"/>
        <v>0</v>
      </c>
      <c r="CM19" s="131">
        <f t="shared" ca="1" si="81"/>
        <v>6.8181818181818177E-2</v>
      </c>
      <c r="CN19" s="131">
        <f t="shared" ca="1" si="82"/>
        <v>0.27272727272727271</v>
      </c>
      <c r="CO19" s="131">
        <f t="shared" ca="1" si="83"/>
        <v>0.18181818181818182</v>
      </c>
      <c r="CP19" s="131">
        <f t="shared" ca="1" si="84"/>
        <v>9.0909090909090912E-2</v>
      </c>
      <c r="CQ19" s="131">
        <f t="shared" ca="1" si="85"/>
        <v>0</v>
      </c>
      <c r="CR19" s="131">
        <f t="shared" ca="1" si="86"/>
        <v>9.0909090909090912E-2</v>
      </c>
      <c r="CS19" s="132">
        <f t="shared" ca="1" si="87"/>
        <v>9.0909090909090912E-2</v>
      </c>
      <c r="CT19" s="131">
        <f t="shared" ca="1" si="88"/>
        <v>0</v>
      </c>
      <c r="CU19" s="315">
        <f t="shared" ca="1" si="89"/>
        <v>1</v>
      </c>
      <c r="CW19" s="63">
        <f t="shared" ca="1" si="90"/>
        <v>2.1940714318364125</v>
      </c>
      <c r="CX19" s="64">
        <f t="shared" ca="1" si="91"/>
        <v>1.0000451711287612</v>
      </c>
      <c r="CY19" s="275">
        <f t="shared" si="56"/>
        <v>1.9274949456632443E-2</v>
      </c>
      <c r="CZ19" s="65">
        <f t="shared" ca="1" si="92"/>
        <v>3.2133915524218066</v>
      </c>
    </row>
    <row r="20" spans="3:104">
      <c r="C20" s="232">
        <f t="shared" si="55"/>
        <v>13</v>
      </c>
      <c r="D20" s="271">
        <f>IFERROR(MATCH(C20,ExperienceReplayBuffer!$B$5:$B$260,FALSE), D19)</f>
        <v>118</v>
      </c>
      <c r="E20" s="280">
        <f ca="1">OFFSET(ExperienceReplayBuffer!G$4,$D20,0)</f>
        <v>0</v>
      </c>
      <c r="F20" s="281">
        <f ca="1">OFFSET(ExperienceReplayBuffer!H$4,$D20,0)</f>
        <v>0</v>
      </c>
      <c r="G20" s="281">
        <f ca="1">OFFSET(ExperienceReplayBuffer!I$4,$D20,0)</f>
        <v>0</v>
      </c>
      <c r="H20" s="281">
        <f ca="1">OFFSET(ExperienceReplayBuffer!J$4,$D20,0)</f>
        <v>0</v>
      </c>
      <c r="I20" s="281">
        <f ca="1">OFFSET(ExperienceReplayBuffer!K$4,$D20,0)</f>
        <v>-1</v>
      </c>
      <c r="J20" s="281">
        <f ca="1">OFFSET(ExperienceReplayBuffer!L$4,$D20,0)</f>
        <v>-1</v>
      </c>
      <c r="K20" s="281">
        <f ca="1">OFFSET(ExperienceReplayBuffer!M$4,$D20,0)</f>
        <v>1</v>
      </c>
      <c r="L20" s="281">
        <f ca="1">OFFSET(ExperienceReplayBuffer!N$4,$D20,0)</f>
        <v>1</v>
      </c>
      <c r="M20" s="282">
        <f ca="1">OFFSET(ExperienceReplayBuffer!O$4,$D20,0)</f>
        <v>0</v>
      </c>
      <c r="N20" s="387">
        <f ca="1">OFFSET(ExperienceReplayBuffer!P$4,$D20,0)</f>
        <v>2.5210084033613446E-2</v>
      </c>
      <c r="O20" s="388">
        <f ca="1">OFFSET(ExperienceReplayBuffer!Q$4,$D20,0)</f>
        <v>1.680672268907563E-2</v>
      </c>
      <c r="P20" s="388">
        <f ca="1">OFFSET(ExperienceReplayBuffer!R$4,$D20,0)</f>
        <v>1.680672268907563E-2</v>
      </c>
      <c r="Q20" s="388">
        <f ca="1">OFFSET(ExperienceReplayBuffer!S$4,$D20,0)</f>
        <v>1.680672268907563E-2</v>
      </c>
      <c r="R20" s="388">
        <f ca="1">OFFSET(ExperienceReplayBuffer!T$4,$D20,0)</f>
        <v>0</v>
      </c>
      <c r="S20" s="388">
        <f ca="1">OFFSET(ExperienceReplayBuffer!U$4,$D20,0)</f>
        <v>0</v>
      </c>
      <c r="T20" s="388">
        <f ca="1">OFFSET(ExperienceReplayBuffer!V$4,$D20,0)</f>
        <v>0</v>
      </c>
      <c r="U20" s="388">
        <f ca="1">OFFSET(ExperienceReplayBuffer!W$4,$D20,0)</f>
        <v>0</v>
      </c>
      <c r="V20" s="389">
        <f ca="1">OFFSET(ExperienceReplayBuffer!X$4,$D20,0)</f>
        <v>0.92436974789915971</v>
      </c>
      <c r="W20" s="390">
        <f ca="1">OFFSET(ExperienceReplayBuffer!Y$4,$D20,0)</f>
        <v>0</v>
      </c>
      <c r="X20" s="396">
        <f ca="1">OFFSET(ExperienceReplayBuffer!Z$4,$D20,0)</f>
        <v>1</v>
      </c>
      <c r="AC20" s="139">
        <f t="shared" ca="1" si="58"/>
        <v>0</v>
      </c>
      <c r="AD20" s="140">
        <f t="shared" ca="1" si="59"/>
        <v>0</v>
      </c>
      <c r="AE20" s="140">
        <f t="shared" ca="1" si="60"/>
        <v>0</v>
      </c>
      <c r="AF20" s="140">
        <f t="shared" ca="1" si="61"/>
        <v>0</v>
      </c>
      <c r="AG20" s="140">
        <f t="shared" ca="1" si="62"/>
        <v>-1</v>
      </c>
      <c r="AH20" s="140">
        <f t="shared" ca="1" si="63"/>
        <v>-1</v>
      </c>
      <c r="AI20" s="140">
        <f t="shared" ca="1" si="64"/>
        <v>1</v>
      </c>
      <c r="AJ20" s="140">
        <f t="shared" ca="1" si="65"/>
        <v>1</v>
      </c>
      <c r="AK20" s="141">
        <f t="shared" ca="1" si="66"/>
        <v>0</v>
      </c>
      <c r="AM20" s="86">
        <f ca="1">MAX(0, SUMPRODUCT($AC20:$AK20,OFFSET(DNN!$E$9:$M$9,AM$6,0)) + OFFSET(DNN!$D$9,AM$6,0))</f>
        <v>6.4380137879221679E-3</v>
      </c>
      <c r="AN20" s="84">
        <f ca="1">MAX(0, SUMPRODUCT($AC20:$AK20,OFFSET(DNN!$E$9:$M$9,AN$6,0)) + OFFSET(DNN!$D$9,AN$6,0))</f>
        <v>0</v>
      </c>
      <c r="AO20" s="84">
        <f ca="1">MAX(0, SUMPRODUCT($AC20:$AK20,OFFSET(DNN!$E$9:$M$9,AO$6,0)) + OFFSET(DNN!$D$9,AO$6,0))</f>
        <v>3.4510799067992703E-3</v>
      </c>
      <c r="AP20" s="84">
        <f ca="1">MAX(0, SUMPRODUCT($AC20:$AK20,OFFSET(DNN!$E$9:$M$9,AP$6,0)) + OFFSET(DNN!$D$9,AP$6,0))</f>
        <v>0</v>
      </c>
      <c r="AQ20" s="85">
        <f ca="1">MAX(0, SUMPRODUCT($AC20:$AK20,OFFSET(DNN!$E$9:$M$9,AQ$6,0)) + OFFSET(DNN!$D$9,AQ$6,0))</f>
        <v>2.9733802777772368E-3</v>
      </c>
      <c r="AR20" s="1"/>
      <c r="AS20" s="421">
        <f ca="1">MAX(0, SUMPRODUCT($AM20:$AQ20,OFFSET(DNN!$Q$9:$U$9,AS$6,0)) + OFFSET(DNN!$P$9,AS$6,0))</f>
        <v>4.7380232512596185E-4</v>
      </c>
      <c r="AT20" s="422">
        <f ca="1">MAX(0, SUMPRODUCT($AM20:$AQ20,OFFSET(DNN!$Q$9:$U$9,AT$6,0)) + OFFSET(DNN!$P$9,AT$6,0))</f>
        <v>0</v>
      </c>
      <c r="AU20" s="422">
        <f ca="1">MAX(0, SUMPRODUCT($AM20:$AQ20,OFFSET(DNN!$Q$9:$U$9,AU$6,0)) + OFFSET(DNN!$P$9,AU$6,0))</f>
        <v>1.2636926046173272E-3</v>
      </c>
      <c r="AV20" s="422">
        <f ca="1">MAX(0, SUMPRODUCT($AM20:$AQ20,OFFSET(DNN!$Q$9:$U$9,AV$6,0)) + OFFSET(DNN!$P$9,AV$6,0))</f>
        <v>8.0200435270480009E-4</v>
      </c>
      <c r="AW20" s="423">
        <f ca="1">MAX(0, SUMPRODUCT($AM20:$AQ20,OFFSET(DNN!$Q$9:$U$9,AW$6,0)) + OFFSET(DNN!$P$9,AW$6,0))</f>
        <v>0</v>
      </c>
      <c r="AX20" s="1"/>
      <c r="AY20" s="86">
        <f ca="1">SUMPRODUCT($AS20:$AW20,OFFSET(DNN!$Y$9:$AC$9,AY$6,0)) + OFFSET(DNN!$X$9,AY$6,0)</f>
        <v>0.43031628399676741</v>
      </c>
      <c r="AZ20" s="84">
        <f ca="1">SUMPRODUCT($AS20:$AW20,OFFSET(DNN!$Y$9:$AC$9,AZ$6,0)) + OFFSET(DNN!$X$9,AZ$6,0)</f>
        <v>-1.2592406567976914E-5</v>
      </c>
      <c r="BA20" s="84">
        <f ca="1">SUMPRODUCT($AS20:$AW20,OFFSET(DNN!$Y$9:$AC$9,BA$6,0)) + OFFSET(DNN!$X$9,BA$6,0)</f>
        <v>1.5239773964557437E-2</v>
      </c>
      <c r="BB20" s="84">
        <f ca="1">SUMPRODUCT($AS20:$AW20,OFFSET(DNN!$Y$9:$AC$9,BB$6,0)) + OFFSET(DNN!$X$9,BB$6,0)</f>
        <v>-8.8745354142696822E-4</v>
      </c>
      <c r="BC20" s="84">
        <f ca="1">SUMPRODUCT($AS20:$AW20,OFFSET(DNN!$Y$9:$AC$9,BC$6,0)) + OFFSET(DNN!$X$9,BC$6,0)</f>
        <v>-4.2360412827120454E-4</v>
      </c>
      <c r="BD20" s="84">
        <f ca="1">SUMPRODUCT($AS20:$AW20,OFFSET(DNN!$Y$9:$AC$9,BD$6,0)) + OFFSET(DNN!$X$9,BD$6,0)</f>
        <v>-1.5722341579283399E-5</v>
      </c>
      <c r="BE20" s="84">
        <f ca="1">SUMPRODUCT($AS20:$AW20,OFFSET(DNN!$Y$9:$AC$9,BE$6,0)) + OFFSET(DNN!$X$9,BE$6,0)</f>
        <v>-1.3490823907835081E-3</v>
      </c>
      <c r="BF20" s="84">
        <f ca="1">SUMPRODUCT($AS20:$AW20,OFFSET(DNN!$Y$9:$AC$9,BF$6,0)) + OFFSET(DNN!$X$9,BF$6,0)</f>
        <v>-6.2604889887828516E-2</v>
      </c>
      <c r="BG20" s="84">
        <f ca="1">SUMPRODUCT($AS20:$AW20,OFFSET(DNN!$Y$9:$AC$9,BG$6,0)) + OFFSET(DNN!$X$9,BG$6,0)</f>
        <v>8.6817191766854537E-4</v>
      </c>
      <c r="BH20" s="83">
        <f ca="1">SUMPRODUCT($AS20:$AW20,OFFSET(DNN!$Y$9:$AC$9,BH$6,0)) + OFFSET(DNN!$X$9,BH$6,0)</f>
        <v>-1.3182687100795469</v>
      </c>
      <c r="BI20" s="85">
        <f ca="1">SUMPRODUCT($AS20:$AW20,OFFSET(DNN!$Y$9:$AC$9,BI$6,0)) + OFFSET(DNN!$X$9,BI$6,0)</f>
        <v>-2.2601303508570089E-5</v>
      </c>
      <c r="BJ20" s="1"/>
      <c r="BK20" s="415">
        <f t="shared" ca="1" si="37"/>
        <v>0.43031628399676741</v>
      </c>
      <c r="BL20" s="86">
        <f t="shared" ca="1" si="67"/>
        <v>1</v>
      </c>
      <c r="BM20" s="84">
        <f t="shared" ca="1" si="68"/>
        <v>0.65029519280748127</v>
      </c>
      <c r="BN20" s="84">
        <f t="shared" ca="1" si="69"/>
        <v>0.66028975998153239</v>
      </c>
      <c r="BO20" s="84">
        <f t="shared" ca="1" si="70"/>
        <v>0.64972652360667038</v>
      </c>
      <c r="BP20" s="84">
        <f t="shared" ca="1" si="71"/>
        <v>0.6500279687805357</v>
      </c>
      <c r="BQ20" s="84">
        <f t="shared" ca="1" si="72"/>
        <v>0.65029315742897498</v>
      </c>
      <c r="BR20" s="84">
        <f t="shared" ca="1" si="73"/>
        <v>0.64942666031727914</v>
      </c>
      <c r="BS20" s="84">
        <f t="shared" ca="1" si="74"/>
        <v>0.6108394172665903</v>
      </c>
      <c r="BT20" s="85">
        <f t="shared" ca="1" si="75"/>
        <v>0.65086820191947781</v>
      </c>
      <c r="BU20" s="84">
        <f t="shared" ca="1" si="76"/>
        <v>0.1740200086606179</v>
      </c>
      <c r="BV20" s="83">
        <f t="shared" ca="1" si="77"/>
        <v>-2.26013035047217E-5</v>
      </c>
      <c r="BX20" s="86">
        <f t="shared" ca="1" si="49"/>
        <v>6.3457868907691601</v>
      </c>
      <c r="BY20" s="146">
        <f t="shared" ca="1" si="50"/>
        <v>-1.8471567335053709</v>
      </c>
      <c r="BZ20" s="103">
        <f t="shared" ca="1" si="17"/>
        <v>-2.2771446314128068</v>
      </c>
      <c r="CA20" s="103">
        <f t="shared" ca="1" si="18"/>
        <v>-2.2619070215627208</v>
      </c>
      <c r="CB20" s="103">
        <f t="shared" ca="1" si="19"/>
        <v>-2.2780186392898525</v>
      </c>
      <c r="CC20" s="103">
        <f t="shared" ca="1" si="20"/>
        <v>-2.2775552423649557</v>
      </c>
      <c r="CD20" s="103">
        <f t="shared" ca="1" si="21"/>
        <v>-2.277147758296501</v>
      </c>
      <c r="CE20" s="103">
        <f t="shared" ca="1" si="22"/>
        <v>-2.2784798176088987</v>
      </c>
      <c r="CF20" s="103">
        <f t="shared" ca="1" si="23"/>
        <v>-2.339673960704828</v>
      </c>
      <c r="CG20" s="104">
        <f t="shared" ca="1" si="24"/>
        <v>-2.2762647253508144</v>
      </c>
      <c r="CH20" s="103">
        <f t="shared" ca="1" si="25"/>
        <v>-3.5927361530500255</v>
      </c>
      <c r="CI20" s="83">
        <f t="shared" ca="1" si="78"/>
        <v>-2.26013035047217E-5</v>
      </c>
      <c r="CK20" s="130">
        <f t="shared" ca="1" si="79"/>
        <v>2.5210084033613446E-2</v>
      </c>
      <c r="CL20" s="131">
        <f t="shared" ca="1" si="80"/>
        <v>1.680672268907563E-2</v>
      </c>
      <c r="CM20" s="131">
        <f t="shared" ca="1" si="81"/>
        <v>1.680672268907563E-2</v>
      </c>
      <c r="CN20" s="131">
        <f t="shared" ca="1" si="82"/>
        <v>1.680672268907563E-2</v>
      </c>
      <c r="CO20" s="131">
        <f t="shared" ca="1" si="83"/>
        <v>0</v>
      </c>
      <c r="CP20" s="131">
        <f t="shared" ca="1" si="84"/>
        <v>0</v>
      </c>
      <c r="CQ20" s="131">
        <f t="shared" ca="1" si="85"/>
        <v>0</v>
      </c>
      <c r="CR20" s="131">
        <f t="shared" ca="1" si="86"/>
        <v>0</v>
      </c>
      <c r="CS20" s="132">
        <f t="shared" ca="1" si="87"/>
        <v>0.92436974789915971</v>
      </c>
      <c r="CT20" s="131">
        <f t="shared" ca="1" si="88"/>
        <v>0</v>
      </c>
      <c r="CU20" s="315">
        <f t="shared" ca="1" si="89"/>
        <v>1</v>
      </c>
      <c r="CW20" s="63">
        <f t="shared" ca="1" si="90"/>
        <v>2.2652498367532474</v>
      </c>
      <c r="CX20" s="64">
        <f t="shared" ca="1" si="91"/>
        <v>1.0000452031178284</v>
      </c>
      <c r="CY20" s="275">
        <f t="shared" si="56"/>
        <v>1.9274949456632443E-2</v>
      </c>
      <c r="CZ20" s="65">
        <f t="shared" ca="1" si="92"/>
        <v>3.2845699893277085</v>
      </c>
    </row>
    <row r="21" spans="3:104">
      <c r="C21" s="232">
        <f t="shared" si="55"/>
        <v>14</v>
      </c>
      <c r="D21" s="271">
        <f>IFERROR(MATCH(C21,ExperienceReplayBuffer!$B$5:$B$260,FALSE), D20)</f>
        <v>188</v>
      </c>
      <c r="E21" s="280">
        <f ca="1">OFFSET(ExperienceReplayBuffer!G$4,$D21,0)</f>
        <v>0</v>
      </c>
      <c r="F21" s="281">
        <f ca="1">OFFSET(ExperienceReplayBuffer!H$4,$D21,0)</f>
        <v>0</v>
      </c>
      <c r="G21" s="281">
        <f ca="1">OFFSET(ExperienceReplayBuffer!I$4,$D21,0)</f>
        <v>-1</v>
      </c>
      <c r="H21" s="281">
        <f ca="1">OFFSET(ExperienceReplayBuffer!J$4,$D21,0)</f>
        <v>0</v>
      </c>
      <c r="I21" s="281">
        <f ca="1">OFFSET(ExperienceReplayBuffer!K$4,$D21,0)</f>
        <v>0</v>
      </c>
      <c r="J21" s="281">
        <f ca="1">OFFSET(ExperienceReplayBuffer!L$4,$D21,0)</f>
        <v>0</v>
      </c>
      <c r="K21" s="281">
        <f ca="1">OFFSET(ExperienceReplayBuffer!M$4,$D21,0)</f>
        <v>0</v>
      </c>
      <c r="L21" s="281">
        <f ca="1">OFFSET(ExperienceReplayBuffer!N$4,$D21,0)</f>
        <v>0</v>
      </c>
      <c r="M21" s="282">
        <f ca="1">OFFSET(ExperienceReplayBuffer!O$4,$D21,0)</f>
        <v>0</v>
      </c>
      <c r="N21" s="387">
        <f ca="1">OFFSET(ExperienceReplayBuffer!P$4,$D21,0)</f>
        <v>0.19148936170212766</v>
      </c>
      <c r="O21" s="388">
        <f ca="1">OFFSET(ExperienceReplayBuffer!Q$4,$D21,0)</f>
        <v>0.1276595744680851</v>
      </c>
      <c r="P21" s="388">
        <f ca="1">OFFSET(ExperienceReplayBuffer!R$4,$D21,0)</f>
        <v>0</v>
      </c>
      <c r="Q21" s="388">
        <f ca="1">OFFSET(ExperienceReplayBuffer!S$4,$D21,0)</f>
        <v>0.10638297872340426</v>
      </c>
      <c r="R21" s="388">
        <f ca="1">OFFSET(ExperienceReplayBuffer!T$4,$D21,0)</f>
        <v>0.10638297872340426</v>
      </c>
      <c r="S21" s="388">
        <f ca="1">OFFSET(ExperienceReplayBuffer!U$4,$D21,0)</f>
        <v>0.1276595744680851</v>
      </c>
      <c r="T21" s="388">
        <f ca="1">OFFSET(ExperienceReplayBuffer!V$4,$D21,0)</f>
        <v>0.10638297872340426</v>
      </c>
      <c r="U21" s="388">
        <f ca="1">OFFSET(ExperienceReplayBuffer!W$4,$D21,0)</f>
        <v>0.1276595744680851</v>
      </c>
      <c r="V21" s="389">
        <f ca="1">OFFSET(ExperienceReplayBuffer!X$4,$D21,0)</f>
        <v>0.10638297872340426</v>
      </c>
      <c r="W21" s="390">
        <f ca="1">OFFSET(ExperienceReplayBuffer!Y$4,$D21,0)</f>
        <v>0</v>
      </c>
      <c r="X21" s="396">
        <f ca="1">OFFSET(ExperienceReplayBuffer!Z$4,$D21,0)</f>
        <v>-1</v>
      </c>
      <c r="AC21" s="139">
        <f t="shared" ca="1" si="58"/>
        <v>0</v>
      </c>
      <c r="AD21" s="140">
        <f t="shared" ca="1" si="59"/>
        <v>0</v>
      </c>
      <c r="AE21" s="140">
        <f t="shared" ca="1" si="60"/>
        <v>-1</v>
      </c>
      <c r="AF21" s="140">
        <f t="shared" ca="1" si="61"/>
        <v>0</v>
      </c>
      <c r="AG21" s="140">
        <f t="shared" ca="1" si="62"/>
        <v>0</v>
      </c>
      <c r="AH21" s="140">
        <f t="shared" ca="1" si="63"/>
        <v>0</v>
      </c>
      <c r="AI21" s="140">
        <f t="shared" ca="1" si="64"/>
        <v>0</v>
      </c>
      <c r="AJ21" s="140">
        <f t="shared" ca="1" si="65"/>
        <v>0</v>
      </c>
      <c r="AK21" s="141">
        <f t="shared" ca="1" si="66"/>
        <v>0</v>
      </c>
      <c r="AM21" s="86">
        <f ca="1">MAX(0, SUMPRODUCT($AC21:$AK21,OFFSET(DNN!$E$9:$M$9,AM$6,0)) + OFFSET(DNN!$D$9,AM$6,0))</f>
        <v>4.2082863753621982E-3</v>
      </c>
      <c r="AN21" s="84">
        <f ca="1">MAX(0, SUMPRODUCT($AC21:$AK21,OFFSET(DNN!$E$9:$M$9,AN$6,0)) + OFFSET(DNN!$D$9,AN$6,0))</f>
        <v>1.162141239188614E-3</v>
      </c>
      <c r="AO21" s="84">
        <f ca="1">MAX(0, SUMPRODUCT($AC21:$AK21,OFFSET(DNN!$E$9:$M$9,AO$6,0)) + OFFSET(DNN!$D$9,AO$6,0))</f>
        <v>4.2893161918080187E-3</v>
      </c>
      <c r="AP21" s="84">
        <f ca="1">MAX(0, SUMPRODUCT($AC21:$AK21,OFFSET(DNN!$E$9:$M$9,AP$6,0)) + OFFSET(DNN!$D$9,AP$6,0))</f>
        <v>0</v>
      </c>
      <c r="AQ21" s="85">
        <f ca="1">MAX(0, SUMPRODUCT($AC21:$AK21,OFFSET(DNN!$E$9:$M$9,AQ$6,0)) + OFFSET(DNN!$D$9,AQ$6,0))</f>
        <v>0</v>
      </c>
      <c r="AR21" s="1"/>
      <c r="AS21" s="421">
        <f ca="1">MAX(0, SUMPRODUCT($AM21:$AQ21,OFFSET(DNN!$Q$9:$U$9,AS$6,0)) + OFFSET(DNN!$P$9,AS$6,0))</f>
        <v>4.5886571657024604E-4</v>
      </c>
      <c r="AT21" s="422">
        <f ca="1">MAX(0, SUMPRODUCT($AM21:$AQ21,OFFSET(DNN!$Q$9:$U$9,AT$6,0)) + OFFSET(DNN!$P$9,AT$6,0))</f>
        <v>0</v>
      </c>
      <c r="AU21" s="422">
        <f ca="1">MAX(0, SUMPRODUCT($AM21:$AQ21,OFFSET(DNN!$Q$9:$U$9,AU$6,0)) + OFFSET(DNN!$P$9,AU$6,0))</f>
        <v>1.2660093312628796E-3</v>
      </c>
      <c r="AV21" s="422">
        <f ca="1">MAX(0, SUMPRODUCT($AM21:$AQ21,OFFSET(DNN!$Q$9:$U$9,AV$6,0)) + OFFSET(DNN!$P$9,AV$6,0))</f>
        <v>8.0129647926923861E-4</v>
      </c>
      <c r="AW21" s="423">
        <f ca="1">MAX(0, SUMPRODUCT($AM21:$AQ21,OFFSET(DNN!$Q$9:$U$9,AW$6,0)) + OFFSET(DNN!$P$9,AW$6,0))</f>
        <v>0</v>
      </c>
      <c r="AX21" s="1"/>
      <c r="AY21" s="86">
        <f ca="1">SUMPRODUCT($AS21:$AW21,OFFSET(DNN!$Y$9:$AC$9,AY$6,0)) + OFFSET(DNN!$X$9,AY$6,0)</f>
        <v>0.43031625568406384</v>
      </c>
      <c r="AZ21" s="84">
        <f ca="1">SUMPRODUCT($AS21:$AW21,OFFSET(DNN!$Y$9:$AC$9,AZ$6,0)) + OFFSET(DNN!$X$9,AZ$6,0)</f>
        <v>-1.2617651001920304E-5</v>
      </c>
      <c r="BA21" s="84">
        <f ca="1">SUMPRODUCT($AS21:$AW21,OFFSET(DNN!$Y$9:$AC$9,BA$6,0)) + OFFSET(DNN!$X$9,BA$6,0)</f>
        <v>1.52397947922877E-2</v>
      </c>
      <c r="BB21" s="84">
        <f ca="1">SUMPRODUCT($AS21:$AW21,OFFSET(DNN!$Y$9:$AC$9,BB$6,0)) + OFFSET(DNN!$X$9,BB$6,0)</f>
        <v>-8.8748319783587756E-4</v>
      </c>
      <c r="BC21" s="84">
        <f ca="1">SUMPRODUCT($AS21:$AW21,OFFSET(DNN!$Y$9:$AC$9,BC$6,0)) + OFFSET(DNN!$X$9,BC$6,0)</f>
        <v>-4.2358202434357976E-4</v>
      </c>
      <c r="BD21" s="84">
        <f ca="1">SUMPRODUCT($AS21:$AW21,OFFSET(DNN!$Y$9:$AC$9,BD$6,0)) + OFFSET(DNN!$X$9,BD$6,0)</f>
        <v>-1.5719303226352308E-5</v>
      </c>
      <c r="BE21" s="84">
        <f ca="1">SUMPRODUCT($AS21:$AW21,OFFSET(DNN!$Y$9:$AC$9,BE$6,0)) + OFFSET(DNN!$X$9,BE$6,0)</f>
        <v>-1.3491080329462422E-3</v>
      </c>
      <c r="BF21" s="84">
        <f ca="1">SUMPRODUCT($AS21:$AW21,OFFSET(DNN!$Y$9:$AC$9,BF$6,0)) + OFFSET(DNN!$X$9,BF$6,0)</f>
        <v>-6.2604854299068619E-2</v>
      </c>
      <c r="BG21" s="84">
        <f ca="1">SUMPRODUCT($AS21:$AW21,OFFSET(DNN!$Y$9:$AC$9,BG$6,0)) + OFFSET(DNN!$X$9,BG$6,0)</f>
        <v>8.6814234617731058E-4</v>
      </c>
      <c r="BH21" s="83">
        <f ca="1">SUMPRODUCT($AS21:$AW21,OFFSET(DNN!$Y$9:$AC$9,BH$6,0)) + OFFSET(DNN!$X$9,BH$6,0)</f>
        <v>-1.3182687349421234</v>
      </c>
      <c r="BI21" s="85">
        <f ca="1">SUMPRODUCT($AS21:$AW21,OFFSET(DNN!$Y$9:$AC$9,BI$6,0)) + OFFSET(DNN!$X$9,BI$6,0)</f>
        <v>-2.2583466004108335E-5</v>
      </c>
      <c r="BJ21" s="1"/>
      <c r="BK21" s="415">
        <f t="shared" ca="1" si="37"/>
        <v>0.43031625568406384</v>
      </c>
      <c r="BL21" s="86">
        <f t="shared" ca="1" si="67"/>
        <v>1</v>
      </c>
      <c r="BM21" s="84">
        <f t="shared" ca="1" si="68"/>
        <v>0.65029519480276232</v>
      </c>
      <c r="BN21" s="84">
        <f t="shared" ca="1" si="69"/>
        <v>0.66028979242845842</v>
      </c>
      <c r="BO21" s="84">
        <f t="shared" ca="1" si="70"/>
        <v>0.64972652273362941</v>
      </c>
      <c r="BP21" s="84">
        <f t="shared" ca="1" si="71"/>
        <v>0.65002800155275697</v>
      </c>
      <c r="BQ21" s="84">
        <f t="shared" ca="1" si="72"/>
        <v>0.65029317781635276</v>
      </c>
      <c r="BR21" s="84">
        <f t="shared" ca="1" si="73"/>
        <v>0.64942666205159949</v>
      </c>
      <c r="BS21" s="84">
        <f t="shared" ca="1" si="74"/>
        <v>0.61083945630012426</v>
      </c>
      <c r="BT21" s="85">
        <f t="shared" ca="1" si="75"/>
        <v>0.65086820110017296</v>
      </c>
      <c r="BU21" s="84">
        <f t="shared" ca="1" si="76"/>
        <v>0.17402000926100905</v>
      </c>
      <c r="BV21" s="83">
        <f t="shared" ca="1" si="77"/>
        <v>-2.258346600026905E-5</v>
      </c>
      <c r="BX21" s="86">
        <f t="shared" ca="1" si="49"/>
        <v>6.3457870180468658</v>
      </c>
      <c r="BY21" s="146">
        <f t="shared" ca="1" si="50"/>
        <v>-1.8471567535496916</v>
      </c>
      <c r="BZ21" s="103">
        <f t="shared" ca="1" si="17"/>
        <v>-2.2771446483850157</v>
      </c>
      <c r="CA21" s="103">
        <f t="shared" ca="1" si="18"/>
        <v>-2.2619069925072517</v>
      </c>
      <c r="CB21" s="103">
        <f t="shared" ca="1" si="19"/>
        <v>-2.2780186606697166</v>
      </c>
      <c r="CC21" s="103">
        <f t="shared" ca="1" si="20"/>
        <v>-2.277555212034974</v>
      </c>
      <c r="CD21" s="103">
        <f t="shared" ca="1" si="21"/>
        <v>-2.2771477470134953</v>
      </c>
      <c r="CE21" s="103">
        <f t="shared" ca="1" si="22"/>
        <v>-2.2784798349784259</v>
      </c>
      <c r="CF21" s="103">
        <f t="shared" ca="1" si="23"/>
        <v>-2.3396739169059062</v>
      </c>
      <c r="CG21" s="104">
        <f t="shared" ca="1" si="24"/>
        <v>-2.2762647466458805</v>
      </c>
      <c r="CH21" s="103">
        <f t="shared" ca="1" si="25"/>
        <v>-3.5927361695966007</v>
      </c>
      <c r="CI21" s="83">
        <f t="shared" ca="1" si="78"/>
        <v>-2.258346600026905E-5</v>
      </c>
      <c r="CK21" s="130">
        <f t="shared" ca="1" si="79"/>
        <v>0.19148936170212766</v>
      </c>
      <c r="CL21" s="131">
        <f t="shared" ca="1" si="80"/>
        <v>0.1276595744680851</v>
      </c>
      <c r="CM21" s="131">
        <f t="shared" ca="1" si="81"/>
        <v>0</v>
      </c>
      <c r="CN21" s="131">
        <f t="shared" ca="1" si="82"/>
        <v>0.10638297872340426</v>
      </c>
      <c r="CO21" s="131">
        <f t="shared" ca="1" si="83"/>
        <v>0.10638297872340426</v>
      </c>
      <c r="CP21" s="131">
        <f t="shared" ca="1" si="84"/>
        <v>0.1276595744680851</v>
      </c>
      <c r="CQ21" s="131">
        <f t="shared" ca="1" si="85"/>
        <v>0.10638297872340426</v>
      </c>
      <c r="CR21" s="131">
        <f t="shared" ca="1" si="86"/>
        <v>0.1276595744680851</v>
      </c>
      <c r="CS21" s="132">
        <f t="shared" ca="1" si="87"/>
        <v>0.10638297872340426</v>
      </c>
      <c r="CT21" s="131">
        <f t="shared" ca="1" si="88"/>
        <v>0</v>
      </c>
      <c r="CU21" s="315">
        <f t="shared" ca="1" si="89"/>
        <v>-1</v>
      </c>
      <c r="CW21" s="63">
        <f t="shared" ca="1" si="90"/>
        <v>2.2029744878174191</v>
      </c>
      <c r="CX21" s="64">
        <f t="shared" ca="1" si="91"/>
        <v>0.9999548335780124</v>
      </c>
      <c r="CY21" s="275">
        <f t="shared" si="56"/>
        <v>1.9274949456632443E-2</v>
      </c>
      <c r="CZ21" s="65">
        <f t="shared" ca="1" si="92"/>
        <v>3.222204270852064</v>
      </c>
    </row>
    <row r="22" spans="3:104">
      <c r="C22" s="232">
        <f t="shared" si="55"/>
        <v>15</v>
      </c>
      <c r="D22" s="271">
        <f>IFERROR(MATCH(C22,ExperienceReplayBuffer!$B$5:$B$260,FALSE), D21)</f>
        <v>64</v>
      </c>
      <c r="E22" s="280">
        <f ca="1">OFFSET(ExperienceReplayBuffer!G$4,$D22,0)</f>
        <v>-1</v>
      </c>
      <c r="F22" s="281">
        <f ca="1">OFFSET(ExperienceReplayBuffer!H$4,$D22,0)</f>
        <v>0</v>
      </c>
      <c r="G22" s="281">
        <f ca="1">OFFSET(ExperienceReplayBuffer!I$4,$D22,0)</f>
        <v>-1</v>
      </c>
      <c r="H22" s="281">
        <f ca="1">OFFSET(ExperienceReplayBuffer!J$4,$D22,0)</f>
        <v>0</v>
      </c>
      <c r="I22" s="281">
        <f ca="1">OFFSET(ExperienceReplayBuffer!K$4,$D22,0)</f>
        <v>0</v>
      </c>
      <c r="J22" s="281">
        <f ca="1">OFFSET(ExperienceReplayBuffer!L$4,$D22,0)</f>
        <v>0</v>
      </c>
      <c r="K22" s="281">
        <f ca="1">OFFSET(ExperienceReplayBuffer!M$4,$D22,0)</f>
        <v>0</v>
      </c>
      <c r="L22" s="281">
        <f ca="1">OFFSET(ExperienceReplayBuffer!N$4,$D22,0)</f>
        <v>0</v>
      </c>
      <c r="M22" s="282">
        <f ca="1">OFFSET(ExperienceReplayBuffer!O$4,$D22,0)</f>
        <v>1</v>
      </c>
      <c r="N22" s="387">
        <f ca="1">OFFSET(ExperienceReplayBuffer!P$4,$D22,0)</f>
        <v>0</v>
      </c>
      <c r="O22" s="388">
        <f ca="1">OFFSET(ExperienceReplayBuffer!Q$4,$D22,0)</f>
        <v>0.68292682926829273</v>
      </c>
      <c r="P22" s="388">
        <f ca="1">OFFSET(ExperienceReplayBuffer!R$4,$D22,0)</f>
        <v>0</v>
      </c>
      <c r="Q22" s="388">
        <f ca="1">OFFSET(ExperienceReplayBuffer!S$4,$D22,0)</f>
        <v>7.3170731707317069E-2</v>
      </c>
      <c r="R22" s="388">
        <f ca="1">OFFSET(ExperienceReplayBuffer!T$4,$D22,0)</f>
        <v>4.878048780487805E-2</v>
      </c>
      <c r="S22" s="388">
        <f ca="1">OFFSET(ExperienceReplayBuffer!U$4,$D22,0)</f>
        <v>7.3170731707317069E-2</v>
      </c>
      <c r="T22" s="388">
        <f ca="1">OFFSET(ExperienceReplayBuffer!V$4,$D22,0)</f>
        <v>4.878048780487805E-2</v>
      </c>
      <c r="U22" s="388">
        <f ca="1">OFFSET(ExperienceReplayBuffer!W$4,$D22,0)</f>
        <v>7.3170731707317069E-2</v>
      </c>
      <c r="V22" s="389">
        <f ca="1">OFFSET(ExperienceReplayBuffer!X$4,$D22,0)</f>
        <v>0</v>
      </c>
      <c r="W22" s="390">
        <f ca="1">OFFSET(ExperienceReplayBuffer!Y$4,$D22,0)</f>
        <v>0</v>
      </c>
      <c r="X22" s="396">
        <f ca="1">OFFSET(ExperienceReplayBuffer!Z$4,$D22,0)</f>
        <v>-1</v>
      </c>
      <c r="AC22" s="139">
        <f t="shared" ca="1" si="58"/>
        <v>-1</v>
      </c>
      <c r="AD22" s="140">
        <f t="shared" ca="1" si="59"/>
        <v>0</v>
      </c>
      <c r="AE22" s="140">
        <f t="shared" ca="1" si="60"/>
        <v>-1</v>
      </c>
      <c r="AF22" s="140">
        <f t="shared" ca="1" si="61"/>
        <v>0</v>
      </c>
      <c r="AG22" s="140">
        <f t="shared" ca="1" si="62"/>
        <v>0</v>
      </c>
      <c r="AH22" s="140">
        <f t="shared" ca="1" si="63"/>
        <v>0</v>
      </c>
      <c r="AI22" s="140">
        <f t="shared" ca="1" si="64"/>
        <v>0</v>
      </c>
      <c r="AJ22" s="140">
        <f t="shared" ca="1" si="65"/>
        <v>0</v>
      </c>
      <c r="AK22" s="141">
        <f t="shared" ca="1" si="66"/>
        <v>1</v>
      </c>
      <c r="AM22" s="86">
        <f ca="1">MAX(0, SUMPRODUCT($AC22:$AK22,OFFSET(DNN!$E$9:$M$9,AM$6,0)) + OFFSET(DNN!$D$9,AM$6,0))</f>
        <v>4.2180809923671658E-3</v>
      </c>
      <c r="AN22" s="84">
        <f ca="1">MAX(0, SUMPRODUCT($AC22:$AK22,OFFSET(DNN!$E$9:$M$9,AN$6,0)) + OFFSET(DNN!$D$9,AN$6,0))</f>
        <v>5.4668733276623666E-3</v>
      </c>
      <c r="AO22" s="84">
        <f ca="1">MAX(0, SUMPRODUCT($AC22:$AK22,OFFSET(DNN!$E$9:$M$9,AO$6,0)) + OFFSET(DNN!$D$9,AO$6,0))</f>
        <v>5.9648558942168948E-3</v>
      </c>
      <c r="AP22" s="84">
        <f ca="1">MAX(0, SUMPRODUCT($AC22:$AK22,OFFSET(DNN!$E$9:$M$9,AP$6,0)) + OFFSET(DNN!$D$9,AP$6,0))</f>
        <v>0</v>
      </c>
      <c r="AQ22" s="85">
        <f ca="1">MAX(0, SUMPRODUCT($AC22:$AK22,OFFSET(DNN!$E$9:$M$9,AQ$6,0)) + OFFSET(DNN!$D$9,AQ$6,0))</f>
        <v>0</v>
      </c>
      <c r="AR22" s="1"/>
      <c r="AS22" s="421">
        <f ca="1">MAX(0, SUMPRODUCT($AM22:$AQ22,OFFSET(DNN!$Q$9:$U$9,AS$6,0)) + OFFSET(DNN!$P$9,AS$6,0))</f>
        <v>4.4665315008838045E-4</v>
      </c>
      <c r="AT22" s="422">
        <f ca="1">MAX(0, SUMPRODUCT($AM22:$AQ22,OFFSET(DNN!$Q$9:$U$9,AT$6,0)) + OFFSET(DNN!$P$9,AT$6,0))</f>
        <v>0</v>
      </c>
      <c r="AU22" s="422">
        <f ca="1">MAX(0, SUMPRODUCT($AM22:$AQ22,OFFSET(DNN!$Q$9:$U$9,AU$6,0)) + OFFSET(DNN!$P$9,AU$6,0))</f>
        <v>1.2686699502682754E-3</v>
      </c>
      <c r="AV22" s="422">
        <f ca="1">MAX(0, SUMPRODUCT($AM22:$AQ22,OFFSET(DNN!$Q$9:$U$9,AV$6,0)) + OFFSET(DNN!$P$9,AV$6,0))</f>
        <v>7.9367328061309944E-4</v>
      </c>
      <c r="AW22" s="423">
        <f ca="1">MAX(0, SUMPRODUCT($AM22:$AQ22,OFFSET(DNN!$Q$9:$U$9,AW$6,0)) + OFFSET(DNN!$P$9,AW$6,0))</f>
        <v>0</v>
      </c>
      <c r="AX22" s="1"/>
      <c r="AY22" s="86">
        <f ca="1">SUMPRODUCT($AS22:$AW22,OFFSET(DNN!$Y$9:$AC$9,AY$6,0)) + OFFSET(DNN!$X$9,AY$6,0)</f>
        <v>0.43031622434952937</v>
      </c>
      <c r="AZ22" s="84">
        <f ca="1">SUMPRODUCT($AS22:$AW22,OFFSET(DNN!$Y$9:$AC$9,AZ$6,0)) + OFFSET(DNN!$X$9,AZ$6,0)</f>
        <v>-1.2632108413714197E-5</v>
      </c>
      <c r="BA22" s="84">
        <f ca="1">SUMPRODUCT($AS22:$AW22,OFFSET(DNN!$Y$9:$AC$9,BA$6,0)) + OFFSET(DNN!$X$9,BA$6,0)</f>
        <v>1.5239803523995914E-2</v>
      </c>
      <c r="BB22" s="84">
        <f ca="1">SUMPRODUCT($AS22:$AW22,OFFSET(DNN!$Y$9:$AC$9,BB$6,0)) + OFFSET(DNN!$X$9,BB$6,0)</f>
        <v>-8.8750031250957849E-4</v>
      </c>
      <c r="BC22" s="84">
        <f ca="1">SUMPRODUCT($AS22:$AW22,OFFSET(DNN!$Y$9:$AC$9,BC$6,0)) + OFFSET(DNN!$X$9,BC$6,0)</f>
        <v>-4.2357145739220254E-4</v>
      </c>
      <c r="BD22" s="84">
        <f ca="1">SUMPRODUCT($AS22:$AW22,OFFSET(DNN!$Y$9:$AC$9,BD$6,0)) + OFFSET(DNN!$X$9,BD$6,0)</f>
        <v>-1.5723979212811149E-5</v>
      </c>
      <c r="BE22" s="84">
        <f ca="1">SUMPRODUCT($AS22:$AW22,OFFSET(DNN!$Y$9:$AC$9,BE$6,0)) + OFFSET(DNN!$X$9,BE$6,0)</f>
        <v>-1.3491355274916051E-3</v>
      </c>
      <c r="BF22" s="84">
        <f ca="1">SUMPRODUCT($AS22:$AW22,OFFSET(DNN!$Y$9:$AC$9,BF$6,0)) + OFFSET(DNN!$X$9,BF$6,0)</f>
        <v>-6.2604828874359475E-2</v>
      </c>
      <c r="BG22" s="84">
        <f ca="1">SUMPRODUCT($AS22:$AW22,OFFSET(DNN!$Y$9:$AC$9,BG$6,0)) + OFFSET(DNN!$X$9,BG$6,0)</f>
        <v>8.6811142107916012E-4</v>
      </c>
      <c r="BH22" s="83">
        <f ca="1">SUMPRODUCT($AS22:$AW22,OFFSET(DNN!$Y$9:$AC$9,BH$6,0)) + OFFSET(DNN!$X$9,BH$6,0)</f>
        <v>-1.3182687470536965</v>
      </c>
      <c r="BI22" s="85">
        <f ca="1">SUMPRODUCT($AS22:$AW22,OFFSET(DNN!$Y$9:$AC$9,BI$6,0)) + OFFSET(DNN!$X$9,BI$6,0)</f>
        <v>-2.2564138655116461E-5</v>
      </c>
      <c r="BJ22" s="1"/>
      <c r="BK22" s="415">
        <f t="shared" ca="1" si="37"/>
        <v>0.43031622434952937</v>
      </c>
      <c r="BL22" s="86">
        <f t="shared" ca="1" si="67"/>
        <v>1</v>
      </c>
      <c r="BM22" s="84">
        <f t="shared" ca="1" si="68"/>
        <v>0.65029520577787414</v>
      </c>
      <c r="BN22" s="84">
        <f t="shared" ca="1" si="69"/>
        <v>0.66028981888379001</v>
      </c>
      <c r="BO22" s="84">
        <f t="shared" ca="1" si="70"/>
        <v>0.64972653197265018</v>
      </c>
      <c r="BP22" s="84">
        <f t="shared" ca="1" si="71"/>
        <v>0.65002802878989663</v>
      </c>
      <c r="BQ22" s="84">
        <f t="shared" ca="1" si="72"/>
        <v>0.65029319515222495</v>
      </c>
      <c r="BR22" s="84">
        <f t="shared" ca="1" si="73"/>
        <v>0.64942666454539089</v>
      </c>
      <c r="BS22" s="84">
        <f t="shared" ca="1" si="74"/>
        <v>0.61083949097091073</v>
      </c>
      <c r="BT22" s="85">
        <f t="shared" ca="1" si="75"/>
        <v>0.65086820136666212</v>
      </c>
      <c r="BU22" s="84">
        <f t="shared" ca="1" si="76"/>
        <v>0.17402001260618902</v>
      </c>
      <c r="BV22" s="83">
        <f t="shared" ca="1" si="77"/>
        <v>-2.2564138651287022E-5</v>
      </c>
      <c r="BX22" s="86">
        <f t="shared" ca="1" si="49"/>
        <v>6.345787150065588</v>
      </c>
      <c r="BY22" s="146">
        <f t="shared" ca="1" si="50"/>
        <v>-1.8471567743406505</v>
      </c>
      <c r="BZ22" s="103">
        <f t="shared" ca="1" si="17"/>
        <v>-2.2771446523082171</v>
      </c>
      <c r="CA22" s="103">
        <f t="shared" ca="1" si="18"/>
        <v>-2.2619069732636556</v>
      </c>
      <c r="CB22" s="103">
        <f t="shared" ca="1" si="19"/>
        <v>-2.2780186672475842</v>
      </c>
      <c r="CC22" s="103">
        <f t="shared" ca="1" si="20"/>
        <v>-2.2775551909582163</v>
      </c>
      <c r="CD22" s="103">
        <f t="shared" ca="1" si="21"/>
        <v>-2.2771477411648071</v>
      </c>
      <c r="CE22" s="103">
        <f t="shared" ca="1" si="22"/>
        <v>-2.2784798519260292</v>
      </c>
      <c r="CF22" s="103">
        <f t="shared" ca="1" si="23"/>
        <v>-2.3396738809881286</v>
      </c>
      <c r="CG22" s="104">
        <f t="shared" ca="1" si="24"/>
        <v>-2.2762647670207317</v>
      </c>
      <c r="CH22" s="103">
        <f t="shared" ca="1" si="25"/>
        <v>-3.5927361711720467</v>
      </c>
      <c r="CI22" s="83">
        <f t="shared" ca="1" si="78"/>
        <v>-2.2564138651287022E-5</v>
      </c>
      <c r="CK22" s="130">
        <f t="shared" ca="1" si="79"/>
        <v>0</v>
      </c>
      <c r="CL22" s="131">
        <f t="shared" ca="1" si="80"/>
        <v>0.68292682926829273</v>
      </c>
      <c r="CM22" s="131">
        <f t="shared" ca="1" si="81"/>
        <v>0</v>
      </c>
      <c r="CN22" s="131">
        <f t="shared" ca="1" si="82"/>
        <v>7.3170731707317069E-2</v>
      </c>
      <c r="CO22" s="131">
        <f t="shared" ca="1" si="83"/>
        <v>4.878048780487805E-2</v>
      </c>
      <c r="CP22" s="131">
        <f t="shared" ca="1" si="84"/>
        <v>7.3170731707317069E-2</v>
      </c>
      <c r="CQ22" s="131">
        <f t="shared" ca="1" si="85"/>
        <v>4.878048780487805E-2</v>
      </c>
      <c r="CR22" s="131">
        <f t="shared" ca="1" si="86"/>
        <v>7.3170731707317069E-2</v>
      </c>
      <c r="CS22" s="132">
        <f t="shared" ca="1" si="87"/>
        <v>0</v>
      </c>
      <c r="CT22" s="131">
        <f t="shared" ca="1" si="88"/>
        <v>0</v>
      </c>
      <c r="CU22" s="315">
        <f t="shared" ca="1" si="89"/>
        <v>-1</v>
      </c>
      <c r="CW22" s="63">
        <f t="shared" ca="1" si="90"/>
        <v>2.2818692980146373</v>
      </c>
      <c r="CX22" s="64">
        <f t="shared" ca="1" si="91"/>
        <v>0.99995487223183777</v>
      </c>
      <c r="CY22" s="275">
        <f t="shared" si="56"/>
        <v>1.9274949456632443E-2</v>
      </c>
      <c r="CZ22" s="65">
        <f t="shared" ca="1" si="92"/>
        <v>3.3010991197031077</v>
      </c>
    </row>
    <row r="23" spans="3:104">
      <c r="C23" s="232">
        <f t="shared" si="55"/>
        <v>16</v>
      </c>
      <c r="D23" s="271">
        <f>IFERROR(MATCH(C23,ExperienceReplayBuffer!$B$5:$B$260,FALSE), D22)</f>
        <v>165</v>
      </c>
      <c r="E23" s="280">
        <f ca="1">OFFSET(ExperienceReplayBuffer!G$4,$D23,0)</f>
        <v>0</v>
      </c>
      <c r="F23" s="281">
        <f ca="1">OFFSET(ExperienceReplayBuffer!H$4,$D23,0)</f>
        <v>0</v>
      </c>
      <c r="G23" s="281">
        <f ca="1">OFFSET(ExperienceReplayBuffer!I$4,$D23,0)</f>
        <v>0</v>
      </c>
      <c r="H23" s="281">
        <f ca="1">OFFSET(ExperienceReplayBuffer!J$4,$D23,0)</f>
        <v>0</v>
      </c>
      <c r="I23" s="281">
        <f ca="1">OFFSET(ExperienceReplayBuffer!K$4,$D23,0)</f>
        <v>0</v>
      </c>
      <c r="J23" s="281">
        <f ca="1">OFFSET(ExperienceReplayBuffer!L$4,$D23,0)</f>
        <v>0</v>
      </c>
      <c r="K23" s="281">
        <f ca="1">OFFSET(ExperienceReplayBuffer!M$4,$D23,0)</f>
        <v>0</v>
      </c>
      <c r="L23" s="281">
        <f ca="1">OFFSET(ExperienceReplayBuffer!N$4,$D23,0)</f>
        <v>0</v>
      </c>
      <c r="M23" s="282">
        <f ca="1">OFFSET(ExperienceReplayBuffer!O$4,$D23,0)</f>
        <v>0</v>
      </c>
      <c r="N23" s="387">
        <f ca="1">OFFSET(ExperienceReplayBuffer!P$4,$D23,0)</f>
        <v>0.14893617021276595</v>
      </c>
      <c r="O23" s="388">
        <f ca="1">OFFSET(ExperienceReplayBuffer!Q$4,$D23,0)</f>
        <v>0.10638297872340426</v>
      </c>
      <c r="P23" s="388">
        <f ca="1">OFFSET(ExperienceReplayBuffer!R$4,$D23,0)</f>
        <v>0.10638297872340426</v>
      </c>
      <c r="Q23" s="388">
        <f ca="1">OFFSET(ExperienceReplayBuffer!S$4,$D23,0)</f>
        <v>0.10638297872340426</v>
      </c>
      <c r="R23" s="388">
        <f ca="1">OFFSET(ExperienceReplayBuffer!T$4,$D23,0)</f>
        <v>8.5106382978723402E-2</v>
      </c>
      <c r="S23" s="388">
        <f ca="1">OFFSET(ExperienceReplayBuffer!U$4,$D23,0)</f>
        <v>0.10638297872340426</v>
      </c>
      <c r="T23" s="388">
        <f ca="1">OFFSET(ExperienceReplayBuffer!V$4,$D23,0)</f>
        <v>0.10638297872340426</v>
      </c>
      <c r="U23" s="388">
        <f ca="1">OFFSET(ExperienceReplayBuffer!W$4,$D23,0)</f>
        <v>0.10638297872340426</v>
      </c>
      <c r="V23" s="389">
        <f ca="1">OFFSET(ExperienceReplayBuffer!X$4,$D23,0)</f>
        <v>0.1276595744680851</v>
      </c>
      <c r="W23" s="390">
        <f ca="1">OFFSET(ExperienceReplayBuffer!Y$4,$D23,0)</f>
        <v>0</v>
      </c>
      <c r="X23" s="396">
        <f ca="1">OFFSET(ExperienceReplayBuffer!Z$4,$D23,0)</f>
        <v>1</v>
      </c>
      <c r="AC23" s="139">
        <f t="shared" ca="1" si="58"/>
        <v>0</v>
      </c>
      <c r="AD23" s="140">
        <f t="shared" ca="1" si="59"/>
        <v>0</v>
      </c>
      <c r="AE23" s="140">
        <f t="shared" ca="1" si="60"/>
        <v>0</v>
      </c>
      <c r="AF23" s="140">
        <f t="shared" ca="1" si="61"/>
        <v>0</v>
      </c>
      <c r="AG23" s="140">
        <f t="shared" ca="1" si="62"/>
        <v>0</v>
      </c>
      <c r="AH23" s="140">
        <f t="shared" ca="1" si="63"/>
        <v>0</v>
      </c>
      <c r="AI23" s="140">
        <f t="shared" ca="1" si="64"/>
        <v>0</v>
      </c>
      <c r="AJ23" s="140">
        <f t="shared" ca="1" si="65"/>
        <v>0</v>
      </c>
      <c r="AK23" s="141">
        <f t="shared" ca="1" si="66"/>
        <v>0</v>
      </c>
      <c r="AM23" s="86">
        <f ca="1">MAX(0, SUMPRODUCT($AC23:$AK23,OFFSET(DNN!$E$9:$M$9,AM$6,0)) + OFFSET(DNN!$D$9,AM$6,0))</f>
        <v>2.0631558248247021E-3</v>
      </c>
      <c r="AN23" s="84">
        <f ca="1">MAX(0, SUMPRODUCT($AC23:$AK23,OFFSET(DNN!$E$9:$M$9,AN$6,0)) + OFFSET(DNN!$D$9,AN$6,0))</f>
        <v>0</v>
      </c>
      <c r="AO23" s="84">
        <f ca="1">MAX(0, SUMPRODUCT($AC23:$AK23,OFFSET(DNN!$E$9:$M$9,AO$6,0)) + OFFSET(DNN!$D$9,AO$6,0))</f>
        <v>2.154285938296177E-3</v>
      </c>
      <c r="AP23" s="84">
        <f ca="1">MAX(0, SUMPRODUCT($AC23:$AK23,OFFSET(DNN!$E$9:$M$9,AP$6,0)) + OFFSET(DNN!$D$9,AP$6,0))</f>
        <v>0</v>
      </c>
      <c r="AQ23" s="85">
        <f ca="1">MAX(0, SUMPRODUCT($AC23:$AK23,OFFSET(DNN!$E$9:$M$9,AQ$6,0)) + OFFSET(DNN!$D$9,AQ$6,0))</f>
        <v>1.8366060460347161E-3</v>
      </c>
      <c r="AR23" s="1"/>
      <c r="AS23" s="421">
        <f ca="1">MAX(0, SUMPRODUCT($AM23:$AQ23,OFFSET(DNN!$Q$9:$U$9,AS$6,0)) + OFFSET(DNN!$P$9,AS$6,0))</f>
        <v>4.6541703104327264E-4</v>
      </c>
      <c r="AT23" s="422">
        <f ca="1">MAX(0, SUMPRODUCT($AM23:$AQ23,OFFSET(DNN!$Q$9:$U$9,AT$6,0)) + OFFSET(DNN!$P$9,AT$6,0))</f>
        <v>0</v>
      </c>
      <c r="AU23" s="422">
        <f ca="1">MAX(0, SUMPRODUCT($AM23:$AQ23,OFFSET(DNN!$Q$9:$U$9,AU$6,0)) + OFFSET(DNN!$P$9,AU$6,0))</f>
        <v>1.2728791875745589E-3</v>
      </c>
      <c r="AV23" s="422">
        <f ca="1">MAX(0, SUMPRODUCT($AM23:$AQ23,OFFSET(DNN!$Q$9:$U$9,AV$6,0)) + OFFSET(DNN!$P$9,AV$6,0))</f>
        <v>7.9787814168382897E-4</v>
      </c>
      <c r="AW23" s="423">
        <f ca="1">MAX(0, SUMPRODUCT($AM23:$AQ23,OFFSET(DNN!$Q$9:$U$9,AW$6,0)) + OFFSET(DNN!$P$9,AW$6,0))</f>
        <v>0</v>
      </c>
      <c r="AX23" s="1"/>
      <c r="AY23" s="86">
        <f ca="1">SUMPRODUCT($AS23:$AW23,OFFSET(DNN!$Y$9:$AC$9,AY$6,0)) + OFFSET(DNN!$X$9,AY$6,0)</f>
        <v>0.43031625597189976</v>
      </c>
      <c r="AZ23" s="84">
        <f ca="1">SUMPRODUCT($AS23:$AW23,OFFSET(DNN!$Y$9:$AC$9,AZ$6,0)) + OFFSET(DNN!$X$9,AZ$6,0)</f>
        <v>-1.2608933306266211E-5</v>
      </c>
      <c r="BA23" s="84">
        <f ca="1">SUMPRODUCT($AS23:$AW23,OFFSET(DNN!$Y$9:$AC$9,BA$6,0)) + OFFSET(DNN!$X$9,BA$6,0)</f>
        <v>1.5239774842061692E-2</v>
      </c>
      <c r="BB23" s="84">
        <f ca="1">SUMPRODUCT($AS23:$AW23,OFFSET(DNN!$Y$9:$AC$9,BB$6,0)) + OFFSET(DNN!$X$9,BB$6,0)</f>
        <v>-8.8745939962467173E-4</v>
      </c>
      <c r="BC23" s="84">
        <f ca="1">SUMPRODUCT($AS23:$AW23,OFFSET(DNN!$Y$9:$AC$9,BC$6,0)) + OFFSET(DNN!$X$9,BC$6,0)</f>
        <v>-4.2360343497512535E-4</v>
      </c>
      <c r="BD23" s="84">
        <f ca="1">SUMPRODUCT($AS23:$AW23,OFFSET(DNN!$Y$9:$AC$9,BD$6,0)) + OFFSET(DNN!$X$9,BD$6,0)</f>
        <v>-1.5731478380349936E-5</v>
      </c>
      <c r="BE23" s="84">
        <f ca="1">SUMPRODUCT($AS23:$AW23,OFFSET(DNN!$Y$9:$AC$9,BE$6,0)) + OFFSET(DNN!$X$9,BE$6,0)</f>
        <v>-1.3490925317642625E-3</v>
      </c>
      <c r="BF23" s="84">
        <f ca="1">SUMPRODUCT($AS23:$AW23,OFFSET(DNN!$Y$9:$AC$9,BF$6,0)) + OFFSET(DNN!$X$9,BF$6,0)</f>
        <v>-6.2604865391920853E-2</v>
      </c>
      <c r="BG23" s="84">
        <f ca="1">SUMPRODUCT($AS23:$AW23,OFFSET(DNN!$Y$9:$AC$9,BG$6,0)) + OFFSET(DNN!$X$9,BG$6,0)</f>
        <v>8.6816048610788385E-4</v>
      </c>
      <c r="BH23" s="83">
        <f ca="1">SUMPRODUCT($AS23:$AW23,OFFSET(DNN!$Y$9:$AC$9,BH$6,0)) + OFFSET(DNN!$X$9,BH$6,0)</f>
        <v>-1.3182687295664537</v>
      </c>
      <c r="BI23" s="85">
        <f ca="1">SUMPRODUCT($AS23:$AW23,OFFSET(DNN!$Y$9:$AC$9,BI$6,0)) + OFFSET(DNN!$X$9,BI$6,0)</f>
        <v>-2.2578453539223673E-5</v>
      </c>
      <c r="BJ23" s="1"/>
      <c r="BK23" s="415">
        <f t="shared" ca="1" si="37"/>
        <v>0.43031625597189976</v>
      </c>
      <c r="BL23" s="86">
        <f t="shared" ca="1" si="67"/>
        <v>1</v>
      </c>
      <c r="BM23" s="84">
        <f t="shared" ca="1" si="68"/>
        <v>0.65029520028465959</v>
      </c>
      <c r="BN23" s="84">
        <f t="shared" ca="1" si="69"/>
        <v>0.66028977906547281</v>
      </c>
      <c r="BO23" s="84">
        <f t="shared" ca="1" si="70"/>
        <v>0.64972653800894398</v>
      </c>
      <c r="BP23" s="84">
        <f t="shared" ca="1" si="71"/>
        <v>0.65002798744814561</v>
      </c>
      <c r="BQ23" s="84">
        <f t="shared" ca="1" si="72"/>
        <v>0.65029316971175555</v>
      </c>
      <c r="BR23" s="84">
        <f t="shared" ca="1" si="73"/>
        <v>0.64942667193155224</v>
      </c>
      <c r="BS23" s="84">
        <f t="shared" ca="1" si="74"/>
        <v>0.61083944934835099</v>
      </c>
      <c r="BT23" s="85">
        <f t="shared" ca="1" si="75"/>
        <v>0.65086821271953388</v>
      </c>
      <c r="BU23" s="84">
        <f t="shared" ca="1" si="76"/>
        <v>0.17402001014639393</v>
      </c>
      <c r="BV23" s="83">
        <f t="shared" ca="1" si="77"/>
        <v>-2.2578453535386946E-5</v>
      </c>
      <c r="BX23" s="86">
        <f t="shared" ca="1" si="49"/>
        <v>6.345787018664808</v>
      </c>
      <c r="BY23" s="146">
        <f t="shared" ca="1" si="50"/>
        <v>-1.8471567536470082</v>
      </c>
      <c r="BZ23" s="103">
        <f t="shared" ca="1" si="17"/>
        <v>-2.2771446400606576</v>
      </c>
      <c r="CA23" s="103">
        <f t="shared" ca="1" si="18"/>
        <v>-2.2619070128231673</v>
      </c>
      <c r="CB23" s="103">
        <f t="shared" ca="1" si="19"/>
        <v>-2.2780186372795646</v>
      </c>
      <c r="CC23" s="103">
        <f t="shared" ca="1" si="20"/>
        <v>-2.2775552338095628</v>
      </c>
      <c r="CD23" s="103">
        <f t="shared" ca="1" si="21"/>
        <v>-2.2771477595616187</v>
      </c>
      <c r="CE23" s="103">
        <f t="shared" ca="1" si="22"/>
        <v>-2.278479819877214</v>
      </c>
      <c r="CF23" s="103">
        <f t="shared" ca="1" si="23"/>
        <v>-2.3396739283720609</v>
      </c>
      <c r="CG23" s="104">
        <f t="shared" ca="1" si="24"/>
        <v>-2.2762647289084574</v>
      </c>
      <c r="CH23" s="103">
        <f t="shared" ca="1" si="25"/>
        <v>-3.5927361646242768</v>
      </c>
      <c r="CI23" s="83">
        <f t="shared" ca="1" si="78"/>
        <v>-2.2578453535386946E-5</v>
      </c>
      <c r="CK23" s="130">
        <f t="shared" ca="1" si="79"/>
        <v>0.14893617021276595</v>
      </c>
      <c r="CL23" s="131">
        <f t="shared" ca="1" si="80"/>
        <v>0.10638297872340426</v>
      </c>
      <c r="CM23" s="131">
        <f t="shared" ca="1" si="81"/>
        <v>0.10638297872340426</v>
      </c>
      <c r="CN23" s="131">
        <f t="shared" ca="1" si="82"/>
        <v>0.10638297872340426</v>
      </c>
      <c r="CO23" s="131">
        <f t="shared" ca="1" si="83"/>
        <v>8.5106382978723402E-2</v>
      </c>
      <c r="CP23" s="131">
        <f t="shared" ca="1" si="84"/>
        <v>0.10638297872340426</v>
      </c>
      <c r="CQ23" s="131">
        <f t="shared" ca="1" si="85"/>
        <v>0.10638297872340426</v>
      </c>
      <c r="CR23" s="131">
        <f t="shared" ca="1" si="86"/>
        <v>0.10638297872340426</v>
      </c>
      <c r="CS23" s="132">
        <f t="shared" ca="1" si="87"/>
        <v>0.1276595744680851</v>
      </c>
      <c r="CT23" s="131">
        <f t="shared" ca="1" si="88"/>
        <v>0</v>
      </c>
      <c r="CU23" s="315">
        <f t="shared" ca="1" si="89"/>
        <v>1</v>
      </c>
      <c r="CW23" s="63">
        <f t="shared" ca="1" si="90"/>
        <v>2.2182928845550949</v>
      </c>
      <c r="CX23" s="64">
        <f t="shared" ca="1" si="91"/>
        <v>1.0000451574168576</v>
      </c>
      <c r="CY23" s="275">
        <f t="shared" si="56"/>
        <v>1.9274949456632443E-2</v>
      </c>
      <c r="CZ23" s="65">
        <f t="shared" ca="1" si="92"/>
        <v>3.2376129914285849</v>
      </c>
    </row>
    <row r="24" spans="3:104">
      <c r="C24" s="232">
        <f t="shared" si="55"/>
        <v>17</v>
      </c>
      <c r="D24" s="271">
        <f>IFERROR(MATCH(C24,ExperienceReplayBuffer!$B$5:$B$260,FALSE), D23)</f>
        <v>129</v>
      </c>
      <c r="E24" s="280">
        <f ca="1">OFFSET(ExperienceReplayBuffer!G$4,$D24,0)</f>
        <v>1</v>
      </c>
      <c r="F24" s="281">
        <f ca="1">OFFSET(ExperienceReplayBuffer!H$4,$D24,0)</f>
        <v>1</v>
      </c>
      <c r="G24" s="281">
        <f ca="1">OFFSET(ExperienceReplayBuffer!I$4,$D24,0)</f>
        <v>-1</v>
      </c>
      <c r="H24" s="281">
        <f ca="1">OFFSET(ExperienceReplayBuffer!J$4,$D24,0)</f>
        <v>-1</v>
      </c>
      <c r="I24" s="281">
        <f ca="1">OFFSET(ExperienceReplayBuffer!K$4,$D24,0)</f>
        <v>-1</v>
      </c>
      <c r="J24" s="281">
        <f ca="1">OFFSET(ExperienceReplayBuffer!L$4,$D24,0)</f>
        <v>0</v>
      </c>
      <c r="K24" s="281">
        <f ca="1">OFFSET(ExperienceReplayBuffer!M$4,$D24,0)</f>
        <v>1</v>
      </c>
      <c r="L24" s="281">
        <f ca="1">OFFSET(ExperienceReplayBuffer!N$4,$D24,0)</f>
        <v>-1</v>
      </c>
      <c r="M24" s="282">
        <f ca="1">OFFSET(ExperienceReplayBuffer!O$4,$D24,0)</f>
        <v>1</v>
      </c>
      <c r="N24" s="387">
        <f ca="1">OFFSET(ExperienceReplayBuffer!P$4,$D24,0)</f>
        <v>0</v>
      </c>
      <c r="O24" s="388">
        <f ca="1">OFFSET(ExperienceReplayBuffer!Q$4,$D24,0)</f>
        <v>0</v>
      </c>
      <c r="P24" s="388">
        <f ca="1">OFFSET(ExperienceReplayBuffer!R$4,$D24,0)</f>
        <v>0</v>
      </c>
      <c r="Q24" s="388">
        <f ca="1">OFFSET(ExperienceReplayBuffer!S$4,$D24,0)</f>
        <v>0</v>
      </c>
      <c r="R24" s="388">
        <f ca="1">OFFSET(ExperienceReplayBuffer!T$4,$D24,0)</f>
        <v>0</v>
      </c>
      <c r="S24" s="388">
        <f ca="1">OFFSET(ExperienceReplayBuffer!U$4,$D24,0)</f>
        <v>1</v>
      </c>
      <c r="T24" s="388">
        <f ca="1">OFFSET(ExperienceReplayBuffer!V$4,$D24,0)</f>
        <v>0</v>
      </c>
      <c r="U24" s="388">
        <f ca="1">OFFSET(ExperienceReplayBuffer!W$4,$D24,0)</f>
        <v>0</v>
      </c>
      <c r="V24" s="389">
        <f ca="1">OFFSET(ExperienceReplayBuffer!X$4,$D24,0)</f>
        <v>0</v>
      </c>
      <c r="W24" s="390">
        <f ca="1">OFFSET(ExperienceReplayBuffer!Y$4,$D24,0)</f>
        <v>0</v>
      </c>
      <c r="X24" s="396">
        <f ca="1">OFFSET(ExperienceReplayBuffer!Z$4,$D24,0)</f>
        <v>0</v>
      </c>
      <c r="AC24" s="139">
        <f t="shared" ca="1" si="58"/>
        <v>1</v>
      </c>
      <c r="AD24" s="140">
        <f t="shared" ca="1" si="59"/>
        <v>1</v>
      </c>
      <c r="AE24" s="140">
        <f t="shared" ca="1" si="60"/>
        <v>-1</v>
      </c>
      <c r="AF24" s="140">
        <f t="shared" ca="1" si="61"/>
        <v>-1</v>
      </c>
      <c r="AG24" s="140">
        <f t="shared" ca="1" si="62"/>
        <v>-1</v>
      </c>
      <c r="AH24" s="140">
        <f t="shared" ca="1" si="63"/>
        <v>0</v>
      </c>
      <c r="AI24" s="140">
        <f t="shared" ca="1" si="64"/>
        <v>1</v>
      </c>
      <c r="AJ24" s="140">
        <f t="shared" ca="1" si="65"/>
        <v>-1</v>
      </c>
      <c r="AK24" s="141">
        <f t="shared" ca="1" si="66"/>
        <v>1</v>
      </c>
      <c r="AM24" s="86">
        <f ca="1">MAX(0, SUMPRODUCT($AC24:$AK24,OFFSET(DNN!$E$9:$M$9,AM$6,0)) + OFFSET(DNN!$D$9,AM$6,0))</f>
        <v>7.4346349653063391E-3</v>
      </c>
      <c r="AN24" s="84">
        <f ca="1">MAX(0, SUMPRODUCT($AC24:$AK24,OFFSET(DNN!$E$9:$M$9,AN$6,0)) + OFFSET(DNN!$D$9,AN$6,0))</f>
        <v>2.2543522310678821E-3</v>
      </c>
      <c r="AO24" s="84">
        <f ca="1">MAX(0, SUMPRODUCT($AC24:$AK24,OFFSET(DNN!$E$9:$M$9,AO$6,0)) + OFFSET(DNN!$D$9,AO$6,0))</f>
        <v>3.2785034738006371E-4</v>
      </c>
      <c r="AP24" s="84">
        <f ca="1">MAX(0, SUMPRODUCT($AC24:$AK24,OFFSET(DNN!$E$9:$M$9,AP$6,0)) + OFFSET(DNN!$D$9,AP$6,0))</f>
        <v>2.0284402612891096E-3</v>
      </c>
      <c r="AQ24" s="85">
        <f ca="1">MAX(0, SUMPRODUCT($AC24:$AK24,OFFSET(DNN!$E$9:$M$9,AQ$6,0)) + OFFSET(DNN!$D$9,AQ$6,0))</f>
        <v>4.7747869122664998E-3</v>
      </c>
      <c r="AR24" s="1"/>
      <c r="AS24" s="421">
        <f ca="1">MAX(0, SUMPRODUCT($AM24:$AQ24,OFFSET(DNN!$Q$9:$U$9,AS$6,0)) + OFFSET(DNN!$P$9,AS$6,0))</f>
        <v>4.7782995423107402E-4</v>
      </c>
      <c r="AT24" s="422">
        <f ca="1">MAX(0, SUMPRODUCT($AM24:$AQ24,OFFSET(DNN!$Q$9:$U$9,AT$6,0)) + OFFSET(DNN!$P$9,AT$6,0))</f>
        <v>0</v>
      </c>
      <c r="AU24" s="422">
        <f ca="1">MAX(0, SUMPRODUCT($AM24:$AQ24,OFFSET(DNN!$Q$9:$U$9,AU$6,0)) + OFFSET(DNN!$P$9,AU$6,0))</f>
        <v>1.2697363297017607E-3</v>
      </c>
      <c r="AV24" s="422">
        <f ca="1">MAX(0, SUMPRODUCT($AM24:$AQ24,OFFSET(DNN!$Q$9:$U$9,AV$6,0)) + OFFSET(DNN!$P$9,AV$6,0))</f>
        <v>7.9152533666248745E-4</v>
      </c>
      <c r="AW24" s="423">
        <f ca="1">MAX(0, SUMPRODUCT($AM24:$AQ24,OFFSET(DNN!$Q$9:$U$9,AW$6,0)) + OFFSET(DNN!$P$9,AW$6,0))</f>
        <v>0</v>
      </c>
      <c r="AX24" s="1"/>
      <c r="AY24" s="86">
        <f ca="1">SUMPRODUCT($AS24:$AW24,OFFSET(DNN!$Y$9:$AC$9,AY$6,0)) + OFFSET(DNN!$X$9,AY$6,0)</f>
        <v>0.43031627349206436</v>
      </c>
      <c r="AZ24" s="84">
        <f ca="1">SUMPRODUCT($AS24:$AW24,OFFSET(DNN!$Y$9:$AC$9,AZ$6,0)) + OFFSET(DNN!$X$9,AZ$6,0)</f>
        <v>-1.2580377645291098E-5</v>
      </c>
      <c r="BA24" s="84">
        <f ca="1">SUMPRODUCT($AS24:$AW24,OFFSET(DNN!$Y$9:$AC$9,BA$6,0)) + OFFSET(DNN!$X$9,BA$6,0)</f>
        <v>1.5239751051365158E-2</v>
      </c>
      <c r="BB24" s="84">
        <f ca="1">SUMPRODUCT($AS24:$AW24,OFFSET(DNN!$Y$9:$AC$9,BB$6,0)) + OFFSET(DNN!$X$9,BB$6,0)</f>
        <v>-8.8742957538827556E-4</v>
      </c>
      <c r="BC24" s="84">
        <f ca="1">SUMPRODUCT($AS24:$AW24,OFFSET(DNN!$Y$9:$AC$9,BC$6,0)) + OFFSET(DNN!$X$9,BC$6,0)</f>
        <v>-4.2362715801554432E-4</v>
      </c>
      <c r="BD24" s="84">
        <f ca="1">SUMPRODUCT($AS24:$AW24,OFFSET(DNN!$Y$9:$AC$9,BD$6,0)) + OFFSET(DNN!$X$9,BD$6,0)</f>
        <v>-1.573919868122197E-5</v>
      </c>
      <c r="BE24" s="84">
        <f ca="1">SUMPRODUCT($AS24:$AW24,OFFSET(DNN!$Y$9:$AC$9,BE$6,0)) + OFFSET(DNN!$X$9,BE$6,0)</f>
        <v>-1.3490796885035365E-3</v>
      </c>
      <c r="BF24" s="84">
        <f ca="1">SUMPRODUCT($AS24:$AW24,OFFSET(DNN!$Y$9:$AC$9,BF$6,0)) + OFFSET(DNN!$X$9,BF$6,0)</f>
        <v>-6.260490029128378E-2</v>
      </c>
      <c r="BG24" s="84">
        <f ca="1">SUMPRODUCT($AS24:$AW24,OFFSET(DNN!$Y$9:$AC$9,BG$6,0)) + OFFSET(DNN!$X$9,BG$6,0)</f>
        <v>8.6817610836813002E-4</v>
      </c>
      <c r="BH24" s="83">
        <f ca="1">SUMPRODUCT($AS24:$AW24,OFFSET(DNN!$Y$9:$AC$9,BH$6,0)) + OFFSET(DNN!$X$9,BH$6,0)</f>
        <v>-1.3182686982032634</v>
      </c>
      <c r="BI24" s="85">
        <f ca="1">SUMPRODUCT($AS24:$AW24,OFFSET(DNN!$Y$9:$AC$9,BI$6,0)) + OFFSET(DNN!$X$9,BI$6,0)</f>
        <v>-2.2591326950966881E-5</v>
      </c>
      <c r="BJ24" s="1"/>
      <c r="BK24" s="415">
        <f t="shared" ca="1" si="37"/>
        <v>0.43031627349206436</v>
      </c>
      <c r="BL24" s="86">
        <f t="shared" ca="1" si="67"/>
        <v>1</v>
      </c>
      <c r="BM24" s="84">
        <f t="shared" ca="1" si="68"/>
        <v>0.65029520746099001</v>
      </c>
      <c r="BN24" s="84">
        <f t="shared" ca="1" si="69"/>
        <v>0.66028975178833405</v>
      </c>
      <c r="BO24" s="84">
        <f t="shared" ca="1" si="70"/>
        <v>0.64972654600322599</v>
      </c>
      <c r="BP24" s="84">
        <f t="shared" ca="1" si="71"/>
        <v>0.65002796063890866</v>
      </c>
      <c r="BQ24" s="84">
        <f t="shared" ca="1" si="72"/>
        <v>0.65029315329805348</v>
      </c>
      <c r="BR24" s="84">
        <f t="shared" ca="1" si="73"/>
        <v>0.64942666889424605</v>
      </c>
      <c r="BS24" s="84">
        <f t="shared" ca="1" si="74"/>
        <v>0.6108394173284365</v>
      </c>
      <c r="BT24" s="85">
        <f t="shared" ca="1" si="75"/>
        <v>0.65086821148424823</v>
      </c>
      <c r="BU24" s="84">
        <f t="shared" ca="1" si="76"/>
        <v>0.1740200125553574</v>
      </c>
      <c r="BV24" s="83">
        <f t="shared" ca="1" si="77"/>
        <v>-2.2591326947123584E-5</v>
      </c>
      <c r="BX24" s="86">
        <f t="shared" ca="1" si="49"/>
        <v>6.3457869294517995</v>
      </c>
      <c r="BY24" s="146">
        <f t="shared" ca="1" si="50"/>
        <v>-1.8471567395973036</v>
      </c>
      <c r="BZ24" s="103">
        <f t="shared" ca="1" si="17"/>
        <v>-2.2771446149910046</v>
      </c>
      <c r="CA24" s="103">
        <f t="shared" ca="1" si="18"/>
        <v>-2.2619070400492425</v>
      </c>
      <c r="CB24" s="103">
        <f t="shared" ca="1" si="19"/>
        <v>-2.2780186109425955</v>
      </c>
      <c r="CC24" s="103">
        <f t="shared" ca="1" si="20"/>
        <v>-2.2775552609676351</v>
      </c>
      <c r="CD24" s="103">
        <f t="shared" ca="1" si="21"/>
        <v>-2.2771477707325629</v>
      </c>
      <c r="CE24" s="103">
        <f t="shared" ca="1" si="22"/>
        <v>-2.2784798105046562</v>
      </c>
      <c r="CF24" s="103">
        <f t="shared" ca="1" si="23"/>
        <v>-2.3396739666931579</v>
      </c>
      <c r="CG24" s="104">
        <f t="shared" ca="1" si="24"/>
        <v>-2.2762647167595866</v>
      </c>
      <c r="CH24" s="103">
        <f t="shared" ca="1" si="25"/>
        <v>-3.5927361368240072</v>
      </c>
      <c r="CI24" s="83">
        <f t="shared" ca="1" si="78"/>
        <v>-2.2591326947123584E-5</v>
      </c>
      <c r="CK24" s="130">
        <f t="shared" ca="1" si="79"/>
        <v>0</v>
      </c>
      <c r="CL24" s="131">
        <f t="shared" ca="1" si="80"/>
        <v>0</v>
      </c>
      <c r="CM24" s="131">
        <f t="shared" ca="1" si="81"/>
        <v>0</v>
      </c>
      <c r="CN24" s="131">
        <f t="shared" ca="1" si="82"/>
        <v>0</v>
      </c>
      <c r="CO24" s="131">
        <f t="shared" ca="1" si="83"/>
        <v>0</v>
      </c>
      <c r="CP24" s="131">
        <f t="shared" ca="1" si="84"/>
        <v>1</v>
      </c>
      <c r="CQ24" s="131">
        <f t="shared" ca="1" si="85"/>
        <v>0</v>
      </c>
      <c r="CR24" s="131">
        <f t="shared" ca="1" si="86"/>
        <v>0</v>
      </c>
      <c r="CS24" s="132">
        <f t="shared" ca="1" si="87"/>
        <v>0</v>
      </c>
      <c r="CT24" s="131">
        <f t="shared" ca="1" si="88"/>
        <v>0</v>
      </c>
      <c r="CU24" s="315">
        <f t="shared" ca="1" si="89"/>
        <v>0</v>
      </c>
      <c r="CW24" s="63">
        <f t="shared" ca="1" si="90"/>
        <v>2.2771477707325629</v>
      </c>
      <c r="CX24" s="64">
        <f t="shared" ca="1" si="91"/>
        <v>5.1036805323183225E-10</v>
      </c>
      <c r="CY24" s="275">
        <f t="shared" si="56"/>
        <v>1.9274949456632443E-2</v>
      </c>
      <c r="CZ24" s="65">
        <f t="shared" ca="1" si="92"/>
        <v>2.2964227206995638</v>
      </c>
    </row>
    <row r="25" spans="3:104">
      <c r="C25" s="232">
        <f t="shared" si="55"/>
        <v>18</v>
      </c>
      <c r="D25" s="271">
        <f>IFERROR(MATCH(C25,ExperienceReplayBuffer!$B$5:$B$260,FALSE), D24)</f>
        <v>80</v>
      </c>
      <c r="E25" s="280">
        <f ca="1">OFFSET(ExperienceReplayBuffer!G$4,$D25,0)</f>
        <v>1</v>
      </c>
      <c r="F25" s="281">
        <f ca="1">OFFSET(ExperienceReplayBuffer!H$4,$D25,0)</f>
        <v>0</v>
      </c>
      <c r="G25" s="281">
        <f ca="1">OFFSET(ExperienceReplayBuffer!I$4,$D25,0)</f>
        <v>0</v>
      </c>
      <c r="H25" s="281">
        <f ca="1">OFFSET(ExperienceReplayBuffer!J$4,$D25,0)</f>
        <v>1</v>
      </c>
      <c r="I25" s="281">
        <f ca="1">OFFSET(ExperienceReplayBuffer!K$4,$D25,0)</f>
        <v>-1</v>
      </c>
      <c r="J25" s="281">
        <f ca="1">OFFSET(ExperienceReplayBuffer!L$4,$D25,0)</f>
        <v>-1</v>
      </c>
      <c r="K25" s="281">
        <f ca="1">OFFSET(ExperienceReplayBuffer!M$4,$D25,0)</f>
        <v>-1</v>
      </c>
      <c r="L25" s="281">
        <f ca="1">OFFSET(ExperienceReplayBuffer!N$4,$D25,0)</f>
        <v>-1</v>
      </c>
      <c r="M25" s="282">
        <f ca="1">OFFSET(ExperienceReplayBuffer!O$4,$D25,0)</f>
        <v>1</v>
      </c>
      <c r="N25" s="387">
        <f ca="1">OFFSET(ExperienceReplayBuffer!P$4,$D25,0)</f>
        <v>0</v>
      </c>
      <c r="O25" s="388">
        <f ca="1">OFFSET(ExperienceReplayBuffer!Q$4,$D25,0)</f>
        <v>0.58208955223880599</v>
      </c>
      <c r="P25" s="388">
        <f ca="1">OFFSET(ExperienceReplayBuffer!R$4,$D25,0)</f>
        <v>0.41791044776119401</v>
      </c>
      <c r="Q25" s="388">
        <f ca="1">OFFSET(ExperienceReplayBuffer!S$4,$D25,0)</f>
        <v>0</v>
      </c>
      <c r="R25" s="388">
        <f ca="1">OFFSET(ExperienceReplayBuffer!T$4,$D25,0)</f>
        <v>0</v>
      </c>
      <c r="S25" s="388">
        <f ca="1">OFFSET(ExperienceReplayBuffer!U$4,$D25,0)</f>
        <v>0</v>
      </c>
      <c r="T25" s="388">
        <f ca="1">OFFSET(ExperienceReplayBuffer!V$4,$D25,0)</f>
        <v>0</v>
      </c>
      <c r="U25" s="388">
        <f ca="1">OFFSET(ExperienceReplayBuffer!W$4,$D25,0)</f>
        <v>0</v>
      </c>
      <c r="V25" s="389">
        <f ca="1">OFFSET(ExperienceReplayBuffer!X$4,$D25,0)</f>
        <v>0</v>
      </c>
      <c r="W25" s="390">
        <f ca="1">OFFSET(ExperienceReplayBuffer!Y$4,$D25,0)</f>
        <v>0</v>
      </c>
      <c r="X25" s="396">
        <f ca="1">OFFSET(ExperienceReplayBuffer!Z$4,$D25,0)</f>
        <v>-1</v>
      </c>
      <c r="AC25" s="139">
        <f t="shared" ca="1" si="58"/>
        <v>1</v>
      </c>
      <c r="AD25" s="140">
        <f t="shared" ca="1" si="59"/>
        <v>0</v>
      </c>
      <c r="AE25" s="140">
        <f t="shared" ca="1" si="60"/>
        <v>0</v>
      </c>
      <c r="AF25" s="140">
        <f t="shared" ca="1" si="61"/>
        <v>1</v>
      </c>
      <c r="AG25" s="140">
        <f t="shared" ca="1" si="62"/>
        <v>-1</v>
      </c>
      <c r="AH25" s="140">
        <f t="shared" ca="1" si="63"/>
        <v>-1</v>
      </c>
      <c r="AI25" s="140">
        <f t="shared" ca="1" si="64"/>
        <v>-1</v>
      </c>
      <c r="AJ25" s="140">
        <f t="shared" ca="1" si="65"/>
        <v>-1</v>
      </c>
      <c r="AK25" s="141">
        <f t="shared" ca="1" si="66"/>
        <v>1</v>
      </c>
      <c r="AM25" s="86">
        <f ca="1">MAX(0, SUMPRODUCT($AC25:$AK25,OFFSET(DNN!$E$9:$M$9,AM$6,0)) + OFFSET(DNN!$D$9,AM$6,0))</f>
        <v>6.4474745552706245E-3</v>
      </c>
      <c r="AN25" s="84">
        <f ca="1">MAX(0, SUMPRODUCT($AC25:$AK25,OFFSET(DNN!$E$9:$M$9,AN$6,0)) + OFFSET(DNN!$D$9,AN$6,0))</f>
        <v>6.2038977313052055E-3</v>
      </c>
      <c r="AO25" s="84">
        <f ca="1">MAX(0, SUMPRODUCT($AC25:$AK25,OFFSET(DNN!$E$9:$M$9,AO$6,0)) + OFFSET(DNN!$D$9,AO$6,0))</f>
        <v>0</v>
      </c>
      <c r="AP25" s="84">
        <f ca="1">MAX(0, SUMPRODUCT($AC25:$AK25,OFFSET(DNN!$E$9:$M$9,AP$6,0)) + OFFSET(DNN!$D$9,AP$6,0))</f>
        <v>1.7678446821272459E-3</v>
      </c>
      <c r="AQ25" s="85">
        <f ca="1">MAX(0, SUMPRODUCT($AC25:$AK25,OFFSET(DNN!$E$9:$M$9,AQ$6,0)) + OFFSET(DNN!$D$9,AQ$6,0))</f>
        <v>0</v>
      </c>
      <c r="AR25" s="1"/>
      <c r="AS25" s="421">
        <f ca="1">MAX(0, SUMPRODUCT($AM25:$AQ25,OFFSET(DNN!$Q$9:$U$9,AS$6,0)) + OFFSET(DNN!$P$9,AS$6,0))</f>
        <v>4.5894671569483598E-4</v>
      </c>
      <c r="AT25" s="422">
        <f ca="1">MAX(0, SUMPRODUCT($AM25:$AQ25,OFFSET(DNN!$Q$9:$U$9,AT$6,0)) + OFFSET(DNN!$P$9,AT$6,0))</f>
        <v>0</v>
      </c>
      <c r="AU25" s="422">
        <f ca="1">MAX(0, SUMPRODUCT($AM25:$AQ25,OFFSET(DNN!$Q$9:$U$9,AU$6,0)) + OFFSET(DNN!$P$9,AU$6,0))</f>
        <v>1.270998268967593E-3</v>
      </c>
      <c r="AV25" s="422">
        <f ca="1">MAX(0, SUMPRODUCT($AM25:$AQ25,OFFSET(DNN!$Q$9:$U$9,AV$6,0)) + OFFSET(DNN!$P$9,AV$6,0))</f>
        <v>7.8699861156631356E-4</v>
      </c>
      <c r="AW25" s="423">
        <f ca="1">MAX(0, SUMPRODUCT($AM25:$AQ25,OFFSET(DNN!$Q$9:$U$9,AW$6,0)) + OFFSET(DNN!$P$9,AW$6,0))</f>
        <v>0</v>
      </c>
      <c r="AX25" s="1"/>
      <c r="AY25" s="86">
        <f ca="1">SUMPRODUCT($AS25:$AW25,OFFSET(DNN!$Y$9:$AC$9,AY$6,0)) + OFFSET(DNN!$X$9,AY$6,0)</f>
        <v>0.43031623562793436</v>
      </c>
      <c r="AZ25" s="84">
        <f ca="1">SUMPRODUCT($AS25:$AW25,OFFSET(DNN!$Y$9:$AC$9,AZ$6,0)) + OFFSET(DNN!$X$9,AZ$6,0)</f>
        <v>-1.2607553216083632E-5</v>
      </c>
      <c r="BA25" s="84">
        <f ca="1">SUMPRODUCT($AS25:$AW25,OFFSET(DNN!$Y$9:$AC$9,BA$6,0)) + OFFSET(DNN!$X$9,BA$6,0)</f>
        <v>1.5239774874960949E-2</v>
      </c>
      <c r="BB25" s="84">
        <f ca="1">SUMPRODUCT($AS25:$AW25,OFFSET(DNN!$Y$9:$AC$9,BB$6,0)) + OFFSET(DNN!$X$9,BB$6,0)</f>
        <v>-8.8746532393737003E-4</v>
      </c>
      <c r="BC25" s="84">
        <f ca="1">SUMPRODUCT($AS25:$AW25,OFFSET(DNN!$Y$9:$AC$9,BC$6,0)) + OFFSET(DNN!$X$9,BC$6,0)</f>
        <v>-4.2360094899083822E-4</v>
      </c>
      <c r="BD25" s="84">
        <f ca="1">SUMPRODUCT($AS25:$AW25,OFFSET(DNN!$Y$9:$AC$9,BD$6,0)) + OFFSET(DNN!$X$9,BD$6,0)</f>
        <v>-1.5737104945546745E-5</v>
      </c>
      <c r="BE25" s="84">
        <f ca="1">SUMPRODUCT($AS25:$AW25,OFFSET(DNN!$Y$9:$AC$9,BE$6,0)) + OFFSET(DNN!$X$9,BE$6,0)</f>
        <v>-1.3491175974019623E-3</v>
      </c>
      <c r="BF25" s="84">
        <f ca="1">SUMPRODUCT($AS25:$AW25,OFFSET(DNN!$Y$9:$AC$9,BF$6,0)) + OFFSET(DNN!$X$9,BF$6,0)</f>
        <v>-6.2604858974149954E-2</v>
      </c>
      <c r="BG25" s="84">
        <f ca="1">SUMPRODUCT($AS25:$AW25,OFFSET(DNN!$Y$9:$AC$9,BG$6,0)) + OFFSET(DNN!$X$9,BG$6,0)</f>
        <v>8.6813283550524352E-4</v>
      </c>
      <c r="BH25" s="83">
        <f ca="1">SUMPRODUCT($AS25:$AW25,OFFSET(DNN!$Y$9:$AC$9,BH$6,0)) + OFFSET(DNN!$X$9,BH$6,0)</f>
        <v>-1.3182687226757837</v>
      </c>
      <c r="BI25" s="85">
        <f ca="1">SUMPRODUCT($AS25:$AW25,OFFSET(DNN!$Y$9:$AC$9,BI$6,0)) + OFFSET(DNN!$X$9,BI$6,0)</f>
        <v>-2.2569177448669494E-5</v>
      </c>
      <c r="BJ25" s="1"/>
      <c r="BK25" s="415">
        <f t="shared" ca="1" si="37"/>
        <v>0.43031623562793436</v>
      </c>
      <c r="BL25" s="86">
        <f t="shared" ca="1" si="67"/>
        <v>1</v>
      </c>
      <c r="BM25" s="84">
        <f t="shared" ca="1" si="68"/>
        <v>0.65029521441170879</v>
      </c>
      <c r="BN25" s="84">
        <f t="shared" ca="1" si="69"/>
        <v>0.66028979252010844</v>
      </c>
      <c r="BO25" s="84">
        <f t="shared" ca="1" si="70"/>
        <v>0.64972654737777502</v>
      </c>
      <c r="BP25" s="84">
        <f t="shared" ca="1" si="71"/>
        <v>0.65002800228825208</v>
      </c>
      <c r="BQ25" s="84">
        <f t="shared" ca="1" si="72"/>
        <v>0.6502931792823804</v>
      </c>
      <c r="BR25" s="84">
        <f t="shared" ca="1" si="73"/>
        <v>0.6494266688651722</v>
      </c>
      <c r="BS25" s="84">
        <f t="shared" ca="1" si="74"/>
        <v>0.61083946569547543</v>
      </c>
      <c r="BT25" s="85">
        <f t="shared" ca="1" si="75"/>
        <v>0.6508682079638759</v>
      </c>
      <c r="BU25" s="84">
        <f t="shared" ca="1" si="76"/>
        <v>0.17402001488576552</v>
      </c>
      <c r="BV25" s="83">
        <f t="shared" ca="1" si="77"/>
        <v>-2.2569177444837493E-5</v>
      </c>
      <c r="BX25" s="86">
        <f t="shared" ca="1" si="49"/>
        <v>6.3457870932905136</v>
      </c>
      <c r="BY25" s="146">
        <f t="shared" ca="1" si="50"/>
        <v>-1.8471567653994321</v>
      </c>
      <c r="BZ25" s="103">
        <f t="shared" ca="1" si="17"/>
        <v>-2.2771446301061977</v>
      </c>
      <c r="CA25" s="103">
        <f t="shared" ca="1" si="18"/>
        <v>-2.261907004214458</v>
      </c>
      <c r="CB25" s="103">
        <f t="shared" ca="1" si="19"/>
        <v>-2.2780186346223892</v>
      </c>
      <c r="CC25" s="103">
        <f t="shared" ca="1" si="20"/>
        <v>-2.2775552227502911</v>
      </c>
      <c r="CD25" s="103">
        <f t="shared" ca="1" si="21"/>
        <v>-2.2771477566069835</v>
      </c>
      <c r="CE25" s="103">
        <f t="shared" ca="1" si="22"/>
        <v>-2.2784798363426795</v>
      </c>
      <c r="CF25" s="103">
        <f t="shared" ca="1" si="23"/>
        <v>-2.3396739133857749</v>
      </c>
      <c r="CG25" s="104">
        <f t="shared" ca="1" si="24"/>
        <v>-2.2762647479564055</v>
      </c>
      <c r="CH25" s="103">
        <f t="shared" ca="1" si="25"/>
        <v>-3.5927361492057486</v>
      </c>
      <c r="CI25" s="83">
        <f t="shared" ca="1" si="78"/>
        <v>-2.2569177444837493E-5</v>
      </c>
      <c r="CK25" s="130">
        <f t="shared" ca="1" si="79"/>
        <v>0</v>
      </c>
      <c r="CL25" s="131">
        <f t="shared" ca="1" si="80"/>
        <v>0.58208955223880599</v>
      </c>
      <c r="CM25" s="131">
        <f t="shared" ca="1" si="81"/>
        <v>0.41791044776119401</v>
      </c>
      <c r="CN25" s="131">
        <f t="shared" ca="1" si="82"/>
        <v>0</v>
      </c>
      <c r="CO25" s="131">
        <f t="shared" ca="1" si="83"/>
        <v>0</v>
      </c>
      <c r="CP25" s="131">
        <f t="shared" ca="1" si="84"/>
        <v>0</v>
      </c>
      <c r="CQ25" s="131">
        <f t="shared" ca="1" si="85"/>
        <v>0</v>
      </c>
      <c r="CR25" s="131">
        <f t="shared" ca="1" si="86"/>
        <v>0</v>
      </c>
      <c r="CS25" s="132">
        <f t="shared" ca="1" si="87"/>
        <v>0</v>
      </c>
      <c r="CT25" s="131">
        <f t="shared" ca="1" si="88"/>
        <v>0</v>
      </c>
      <c r="CU25" s="315">
        <f t="shared" ca="1" si="89"/>
        <v>-1</v>
      </c>
      <c r="CW25" s="63">
        <f t="shared" ca="1" si="90"/>
        <v>2.2707766670469631</v>
      </c>
      <c r="CX25" s="64">
        <f t="shared" ca="1" si="91"/>
        <v>0.99995486215447815</v>
      </c>
      <c r="CY25" s="275">
        <f t="shared" si="56"/>
        <v>1.9274949456632443E-2</v>
      </c>
      <c r="CZ25" s="65">
        <f t="shared" ca="1" si="92"/>
        <v>3.2900064786580741</v>
      </c>
    </row>
    <row r="26" spans="3:104">
      <c r="C26" s="232">
        <f t="shared" si="55"/>
        <v>19</v>
      </c>
      <c r="D26" s="271">
        <f>IFERROR(MATCH(C26,ExperienceReplayBuffer!$B$5:$B$260,FALSE), D25)</f>
        <v>157</v>
      </c>
      <c r="E26" s="280">
        <f ca="1">OFFSET(ExperienceReplayBuffer!G$4,$D26,0)</f>
        <v>0</v>
      </c>
      <c r="F26" s="281">
        <f ca="1">OFFSET(ExperienceReplayBuffer!H$4,$D26,0)</f>
        <v>0</v>
      </c>
      <c r="G26" s="281">
        <f ca="1">OFFSET(ExperienceReplayBuffer!I$4,$D26,0)</f>
        <v>0</v>
      </c>
      <c r="H26" s="281">
        <f ca="1">OFFSET(ExperienceReplayBuffer!J$4,$D26,0)</f>
        <v>0</v>
      </c>
      <c r="I26" s="281">
        <f ca="1">OFFSET(ExperienceReplayBuffer!K$4,$D26,0)</f>
        <v>-1</v>
      </c>
      <c r="J26" s="281">
        <f ca="1">OFFSET(ExperienceReplayBuffer!L$4,$D26,0)</f>
        <v>0</v>
      </c>
      <c r="K26" s="281">
        <f ca="1">OFFSET(ExperienceReplayBuffer!M$4,$D26,0)</f>
        <v>0</v>
      </c>
      <c r="L26" s="281">
        <f ca="1">OFFSET(ExperienceReplayBuffer!N$4,$D26,0)</f>
        <v>0</v>
      </c>
      <c r="M26" s="282">
        <f ca="1">OFFSET(ExperienceReplayBuffer!O$4,$D26,0)</f>
        <v>0</v>
      </c>
      <c r="N26" s="387">
        <f ca="1">OFFSET(ExperienceReplayBuffer!P$4,$D26,0)</f>
        <v>0.19148936170212766</v>
      </c>
      <c r="O26" s="388">
        <f ca="1">OFFSET(ExperienceReplayBuffer!Q$4,$D26,0)</f>
        <v>0.1276595744680851</v>
      </c>
      <c r="P26" s="388">
        <f ca="1">OFFSET(ExperienceReplayBuffer!R$4,$D26,0)</f>
        <v>0.10638297872340426</v>
      </c>
      <c r="Q26" s="388">
        <f ca="1">OFFSET(ExperienceReplayBuffer!S$4,$D26,0)</f>
        <v>0.10638297872340426</v>
      </c>
      <c r="R26" s="388">
        <f ca="1">OFFSET(ExperienceReplayBuffer!T$4,$D26,0)</f>
        <v>0</v>
      </c>
      <c r="S26" s="388">
        <f ca="1">OFFSET(ExperienceReplayBuffer!U$4,$D26,0)</f>
        <v>0.1276595744680851</v>
      </c>
      <c r="T26" s="388">
        <f ca="1">OFFSET(ExperienceReplayBuffer!V$4,$D26,0)</f>
        <v>0.10638297872340426</v>
      </c>
      <c r="U26" s="388">
        <f ca="1">OFFSET(ExperienceReplayBuffer!W$4,$D26,0)</f>
        <v>0.10638297872340426</v>
      </c>
      <c r="V26" s="389">
        <f ca="1">OFFSET(ExperienceReplayBuffer!X$4,$D26,0)</f>
        <v>0.1276595744680851</v>
      </c>
      <c r="W26" s="390">
        <f ca="1">OFFSET(ExperienceReplayBuffer!Y$4,$D26,0)</f>
        <v>0</v>
      </c>
      <c r="X26" s="396">
        <f ca="1">OFFSET(ExperienceReplayBuffer!Z$4,$D26,0)</f>
        <v>0</v>
      </c>
      <c r="AC26" s="139">
        <f t="shared" ca="1" si="58"/>
        <v>0</v>
      </c>
      <c r="AD26" s="140">
        <f t="shared" ca="1" si="59"/>
        <v>0</v>
      </c>
      <c r="AE26" s="140">
        <f t="shared" ca="1" si="60"/>
        <v>0</v>
      </c>
      <c r="AF26" s="140">
        <f t="shared" ca="1" si="61"/>
        <v>0</v>
      </c>
      <c r="AG26" s="140">
        <f t="shared" ca="1" si="62"/>
        <v>-1</v>
      </c>
      <c r="AH26" s="140">
        <f t="shared" ca="1" si="63"/>
        <v>0</v>
      </c>
      <c r="AI26" s="140">
        <f t="shared" ca="1" si="64"/>
        <v>0</v>
      </c>
      <c r="AJ26" s="140">
        <f t="shared" ca="1" si="65"/>
        <v>0</v>
      </c>
      <c r="AK26" s="141">
        <f t="shared" ca="1" si="66"/>
        <v>0</v>
      </c>
      <c r="AM26" s="86">
        <f ca="1">MAX(0, SUMPRODUCT($AC26:$AK26,OFFSET(DNN!$E$9:$M$9,AM$6,0)) + OFFSET(DNN!$D$9,AM$6,0))</f>
        <v>4.2013452257221948E-3</v>
      </c>
      <c r="AN26" s="84">
        <f ca="1">MAX(0, SUMPRODUCT($AC26:$AK26,OFFSET(DNN!$E$9:$M$9,AN$6,0)) + OFFSET(DNN!$D$9,AN$6,0))</f>
        <v>5.1532469352609338E-4</v>
      </c>
      <c r="AO26" s="84">
        <f ca="1">MAX(0, SUMPRODUCT($AC26:$AK26,OFFSET(DNN!$E$9:$M$9,AO$6,0)) + OFFSET(DNN!$D$9,AO$6,0))</f>
        <v>1.4266607118229115E-3</v>
      </c>
      <c r="AP26" s="84">
        <f ca="1">MAX(0, SUMPRODUCT($AC26:$AK26,OFFSET(DNN!$E$9:$M$9,AP$6,0)) + OFFSET(DNN!$D$9,AP$6,0))</f>
        <v>0</v>
      </c>
      <c r="AQ26" s="85">
        <f ca="1">MAX(0, SUMPRODUCT($AC26:$AK26,OFFSET(DNN!$E$9:$M$9,AQ$6,0)) + OFFSET(DNN!$D$9,AQ$6,0))</f>
        <v>3.9687840195325105E-3</v>
      </c>
      <c r="AR26" s="1"/>
      <c r="AS26" s="421">
        <f ca="1">MAX(0, SUMPRODUCT($AM26:$AQ26,OFFSET(DNN!$Q$9:$U$9,AS$6,0)) + OFFSET(DNN!$P$9,AS$6,0))</f>
        <v>4.7477017536390884E-4</v>
      </c>
      <c r="AT26" s="422">
        <f ca="1">MAX(0, SUMPRODUCT($AM26:$AQ26,OFFSET(DNN!$Q$9:$U$9,AT$6,0)) + OFFSET(DNN!$P$9,AT$6,0))</f>
        <v>0</v>
      </c>
      <c r="AU26" s="422">
        <f ca="1">MAX(0, SUMPRODUCT($AM26:$AQ26,OFFSET(DNN!$Q$9:$U$9,AU$6,0)) + OFFSET(DNN!$P$9,AU$6,0))</f>
        <v>1.2714336370708537E-3</v>
      </c>
      <c r="AV26" s="422">
        <f ca="1">MAX(0, SUMPRODUCT($AM26:$AQ26,OFFSET(DNN!$Q$9:$U$9,AV$6,0)) + OFFSET(DNN!$P$9,AV$6,0))</f>
        <v>7.9588303845915507E-4</v>
      </c>
      <c r="AW26" s="423">
        <f ca="1">MAX(0, SUMPRODUCT($AM26:$AQ26,OFFSET(DNN!$Q$9:$U$9,AW$6,0)) + OFFSET(DNN!$P$9,AW$6,0))</f>
        <v>0</v>
      </c>
      <c r="AX26" s="1"/>
      <c r="AY26" s="86">
        <f ca="1">SUMPRODUCT($AS26:$AW26,OFFSET(DNN!$Y$9:$AC$9,AY$6,0)) + OFFSET(DNN!$X$9,AY$6,0)</f>
        <v>0.43031627113889281</v>
      </c>
      <c r="AZ26" s="84">
        <f ca="1">SUMPRODUCT($AS26:$AW26,OFFSET(DNN!$Y$9:$AC$9,AZ$6,0)) + OFFSET(DNN!$X$9,AZ$6,0)</f>
        <v>-1.2590789585958429E-5</v>
      </c>
      <c r="BA26" s="84">
        <f ca="1">SUMPRODUCT($AS26:$AW26,OFFSET(DNN!$Y$9:$AC$9,BA$6,0)) + OFFSET(DNN!$X$9,BA$6,0)</f>
        <v>1.5239759151171317E-2</v>
      </c>
      <c r="BB26" s="84">
        <f ca="1">SUMPRODUCT($AS26:$AW26,OFFSET(DNN!$Y$9:$AC$9,BB$6,0)) + OFFSET(DNN!$X$9,BB$6,0)</f>
        <v>-8.8743860394558251E-4</v>
      </c>
      <c r="BC26" s="84">
        <f ca="1">SUMPRODUCT($AS26:$AW26,OFFSET(DNN!$Y$9:$AC$9,BC$6,0)) + OFFSET(DNN!$X$9,BC$6,0)</f>
        <v>-4.2361960504070251E-4</v>
      </c>
      <c r="BD26" s="84">
        <f ca="1">SUMPRODUCT($AS26:$AW26,OFFSET(DNN!$Y$9:$AC$9,BD$6,0)) + OFFSET(DNN!$X$9,BD$6,0)</f>
        <v>-1.5735614170267023E-5</v>
      </c>
      <c r="BE26" s="84">
        <f ca="1">SUMPRODUCT($AS26:$AW26,OFFSET(DNN!$Y$9:$AC$9,BE$6,0)) + OFFSET(DNN!$X$9,BE$6,0)</f>
        <v>-1.3490790029358835E-3</v>
      </c>
      <c r="BF26" s="84">
        <f ca="1">SUMPRODUCT($AS26:$AW26,OFFSET(DNN!$Y$9:$AC$9,BF$6,0)) + OFFSET(DNN!$X$9,BF$6,0)</f>
        <v>-6.2604889173492509E-2</v>
      </c>
      <c r="BG26" s="84">
        <f ca="1">SUMPRODUCT($AS26:$AW26,OFFSET(DNN!$Y$9:$AC$9,BG$6,0)) + OFFSET(DNN!$X$9,BG$6,0)</f>
        <v>8.6817636420051623E-4</v>
      </c>
      <c r="BH26" s="83">
        <f ca="1">SUMPRODUCT($AS26:$AW26,OFFSET(DNN!$Y$9:$AC$9,BH$6,0)) + OFFSET(DNN!$X$9,BH$6,0)</f>
        <v>-1.3182687108101014</v>
      </c>
      <c r="BI26" s="85">
        <f ca="1">SUMPRODUCT($AS26:$AW26,OFFSET(DNN!$Y$9:$AC$9,BI$6,0)) + OFFSET(DNN!$X$9,BI$6,0)</f>
        <v>-2.258834053500659E-5</v>
      </c>
      <c r="BJ26" s="1"/>
      <c r="BK26" s="415">
        <f t="shared" ca="1" si="37"/>
        <v>0.43031627113889281</v>
      </c>
      <c r="BL26" s="86">
        <f t="shared" ca="1" si="67"/>
        <v>1</v>
      </c>
      <c r="BM26" s="84">
        <f t="shared" ca="1" si="68"/>
        <v>0.65029520222041104</v>
      </c>
      <c r="BN26" s="84">
        <f t="shared" ca="1" si="69"/>
        <v>0.66028975869032813</v>
      </c>
      <c r="BO26" s="84">
        <f t="shared" ca="1" si="70"/>
        <v>0.64972654166605059</v>
      </c>
      <c r="BP26" s="84">
        <f t="shared" ca="1" si="71"/>
        <v>0.65002796707818078</v>
      </c>
      <c r="BQ26" s="84">
        <f t="shared" ca="1" si="72"/>
        <v>0.6502931571592877</v>
      </c>
      <c r="BR26" s="84">
        <f t="shared" ca="1" si="73"/>
        <v>0.64942667086768435</v>
      </c>
      <c r="BS26" s="84">
        <f t="shared" ca="1" si="74"/>
        <v>0.61083942555703163</v>
      </c>
      <c r="BT26" s="85">
        <f t="shared" ca="1" si="75"/>
        <v>0.65086821318236598</v>
      </c>
      <c r="BU26" s="84">
        <f t="shared" ca="1" si="76"/>
        <v>0.17402001077101426</v>
      </c>
      <c r="BV26" s="83">
        <f t="shared" ca="1" si="77"/>
        <v>-2.2588340531164815E-5</v>
      </c>
      <c r="BX26" s="86">
        <f t="shared" ca="1" si="49"/>
        <v>6.3457869471923534</v>
      </c>
      <c r="BY26" s="146">
        <f t="shared" ca="1" si="50"/>
        <v>-1.8471567423911734</v>
      </c>
      <c r="BZ26" s="103">
        <f t="shared" ca="1" si="17"/>
        <v>-2.2771446258348349</v>
      </c>
      <c r="CA26" s="103">
        <f t="shared" ca="1" si="18"/>
        <v>-2.2619070323992596</v>
      </c>
      <c r="CB26" s="103">
        <f t="shared" ca="1" si="19"/>
        <v>-2.2780186204043833</v>
      </c>
      <c r="CC26" s="103">
        <f t="shared" ca="1" si="20"/>
        <v>-2.2775552538640662</v>
      </c>
      <c r="CD26" s="103">
        <f t="shared" ca="1" si="21"/>
        <v>-2.2771477675935867</v>
      </c>
      <c r="CE26" s="103">
        <f t="shared" ca="1" si="22"/>
        <v>-2.2784798102617971</v>
      </c>
      <c r="CF26" s="103">
        <f t="shared" ca="1" si="23"/>
        <v>-2.3396739560289164</v>
      </c>
      <c r="CG26" s="104">
        <f t="shared" ca="1" si="24"/>
        <v>-2.2762647169460437</v>
      </c>
      <c r="CH26" s="103">
        <f t="shared" ca="1" si="25"/>
        <v>-3.5927361498259041</v>
      </c>
      <c r="CI26" s="83">
        <f t="shared" ca="1" si="78"/>
        <v>-2.2588340531164815E-5</v>
      </c>
      <c r="CK26" s="130">
        <f t="shared" ca="1" si="79"/>
        <v>0.19148936170212766</v>
      </c>
      <c r="CL26" s="131">
        <f t="shared" ca="1" si="80"/>
        <v>0.1276595744680851</v>
      </c>
      <c r="CM26" s="131">
        <f t="shared" ca="1" si="81"/>
        <v>0.10638297872340426</v>
      </c>
      <c r="CN26" s="131">
        <f t="shared" ca="1" si="82"/>
        <v>0.10638297872340426</v>
      </c>
      <c r="CO26" s="131">
        <f t="shared" ca="1" si="83"/>
        <v>0</v>
      </c>
      <c r="CP26" s="131">
        <f t="shared" ca="1" si="84"/>
        <v>0.1276595744680851</v>
      </c>
      <c r="CQ26" s="131">
        <f t="shared" ca="1" si="85"/>
        <v>0.10638297872340426</v>
      </c>
      <c r="CR26" s="131">
        <f t="shared" ca="1" si="86"/>
        <v>0.10638297872340426</v>
      </c>
      <c r="CS26" s="132">
        <f t="shared" ca="1" si="87"/>
        <v>0.1276595744680851</v>
      </c>
      <c r="CT26" s="131">
        <f t="shared" ca="1" si="88"/>
        <v>0</v>
      </c>
      <c r="CU26" s="315">
        <f t="shared" ca="1" si="89"/>
        <v>0</v>
      </c>
      <c r="CW26" s="63">
        <f t="shared" ca="1" si="90"/>
        <v>2.1999606476433859</v>
      </c>
      <c r="CX26" s="64">
        <f t="shared" ca="1" si="91"/>
        <v>5.1023312795186316E-10</v>
      </c>
      <c r="CY26" s="275">
        <f t="shared" si="56"/>
        <v>1.9274949456632443E-2</v>
      </c>
      <c r="CZ26" s="65">
        <f t="shared" ca="1" si="92"/>
        <v>2.2192355976102518</v>
      </c>
    </row>
    <row r="27" spans="3:104">
      <c r="C27" s="232">
        <f t="shared" si="55"/>
        <v>20</v>
      </c>
      <c r="D27" s="271">
        <f>IFERROR(MATCH(C27,ExperienceReplayBuffer!$B$5:$B$260,FALSE), D26)</f>
        <v>93</v>
      </c>
      <c r="E27" s="280">
        <f ca="1">OFFSET(ExperienceReplayBuffer!G$4,$D27,0)</f>
        <v>0</v>
      </c>
      <c r="F27" s="281">
        <f ca="1">OFFSET(ExperienceReplayBuffer!H$4,$D27,0)</f>
        <v>0</v>
      </c>
      <c r="G27" s="281">
        <f ca="1">OFFSET(ExperienceReplayBuffer!I$4,$D27,0)</f>
        <v>-1</v>
      </c>
      <c r="H27" s="281">
        <f ca="1">OFFSET(ExperienceReplayBuffer!J$4,$D27,0)</f>
        <v>0</v>
      </c>
      <c r="I27" s="281">
        <f ca="1">OFFSET(ExperienceReplayBuffer!K$4,$D27,0)</f>
        <v>0</v>
      </c>
      <c r="J27" s="281">
        <f ca="1">OFFSET(ExperienceReplayBuffer!L$4,$D27,0)</f>
        <v>1</v>
      </c>
      <c r="K27" s="281">
        <f ca="1">OFFSET(ExperienceReplayBuffer!M$4,$D27,0)</f>
        <v>0</v>
      </c>
      <c r="L27" s="281">
        <f ca="1">OFFSET(ExperienceReplayBuffer!N$4,$D27,0)</f>
        <v>0</v>
      </c>
      <c r="M27" s="282">
        <f ca="1">OFFSET(ExperienceReplayBuffer!O$4,$D27,0)</f>
        <v>0</v>
      </c>
      <c r="N27" s="387">
        <f ca="1">OFFSET(ExperienceReplayBuffer!P$4,$D27,0)</f>
        <v>0.19047619047619047</v>
      </c>
      <c r="O27" s="388">
        <f ca="1">OFFSET(ExperienceReplayBuffer!Q$4,$D27,0)</f>
        <v>0.14285714285714285</v>
      </c>
      <c r="P27" s="388">
        <f ca="1">OFFSET(ExperienceReplayBuffer!R$4,$D27,0)</f>
        <v>0</v>
      </c>
      <c r="Q27" s="388">
        <f ca="1">OFFSET(ExperienceReplayBuffer!S$4,$D27,0)</f>
        <v>9.5238095238095233E-2</v>
      </c>
      <c r="R27" s="388">
        <f ca="1">OFFSET(ExperienceReplayBuffer!T$4,$D27,0)</f>
        <v>0.14285714285714285</v>
      </c>
      <c r="S27" s="388">
        <f ca="1">OFFSET(ExperienceReplayBuffer!U$4,$D27,0)</f>
        <v>0</v>
      </c>
      <c r="T27" s="388">
        <f ca="1">OFFSET(ExperienceReplayBuffer!V$4,$D27,0)</f>
        <v>0.16666666666666666</v>
      </c>
      <c r="U27" s="388">
        <f ca="1">OFFSET(ExperienceReplayBuffer!W$4,$D27,0)</f>
        <v>0.16666666666666666</v>
      </c>
      <c r="V27" s="389">
        <f ca="1">OFFSET(ExperienceReplayBuffer!X$4,$D27,0)</f>
        <v>9.5238095238095233E-2</v>
      </c>
      <c r="W27" s="390">
        <f ca="1">OFFSET(ExperienceReplayBuffer!Y$4,$D27,0)</f>
        <v>0</v>
      </c>
      <c r="X27" s="396">
        <f ca="1">OFFSET(ExperienceReplayBuffer!Z$4,$D27,0)</f>
        <v>1</v>
      </c>
      <c r="AC27" s="139">
        <f t="shared" ca="1" si="58"/>
        <v>0</v>
      </c>
      <c r="AD27" s="140">
        <f t="shared" ca="1" si="59"/>
        <v>0</v>
      </c>
      <c r="AE27" s="140">
        <f t="shared" ca="1" si="60"/>
        <v>-1</v>
      </c>
      <c r="AF27" s="140">
        <f t="shared" ca="1" si="61"/>
        <v>0</v>
      </c>
      <c r="AG27" s="140">
        <f t="shared" ca="1" si="62"/>
        <v>0</v>
      </c>
      <c r="AH27" s="140">
        <f t="shared" ca="1" si="63"/>
        <v>1</v>
      </c>
      <c r="AI27" s="140">
        <f t="shared" ca="1" si="64"/>
        <v>0</v>
      </c>
      <c r="AJ27" s="140">
        <f t="shared" ca="1" si="65"/>
        <v>0</v>
      </c>
      <c r="AK27" s="141">
        <f t="shared" ca="1" si="66"/>
        <v>0</v>
      </c>
      <c r="AM27" s="86">
        <f ca="1">MAX(0, SUMPRODUCT($AC27:$AK27,OFFSET(DNN!$E$9:$M$9,AM$6,0)) + OFFSET(DNN!$D$9,AM$6,0))</f>
        <v>3.4987412170308365E-3</v>
      </c>
      <c r="AN27" s="84">
        <f ca="1">MAX(0, SUMPRODUCT($AC27:$AK27,OFFSET(DNN!$E$9:$M$9,AN$6,0)) + OFFSET(DNN!$D$9,AN$6,0))</f>
        <v>1.7422771413074618E-3</v>
      </c>
      <c r="AO27" s="84">
        <f ca="1">MAX(0, SUMPRODUCT($AC27:$AK27,OFFSET(DNN!$E$9:$M$9,AO$6,0)) + OFFSET(DNN!$D$9,AO$6,0))</f>
        <v>2.2526777745603293E-3</v>
      </c>
      <c r="AP27" s="84">
        <f ca="1">MAX(0, SUMPRODUCT($AC27:$AK27,OFFSET(DNN!$E$9:$M$9,AP$6,0)) + OFFSET(DNN!$D$9,AP$6,0))</f>
        <v>0</v>
      </c>
      <c r="AQ27" s="85">
        <f ca="1">MAX(0, SUMPRODUCT($AC27:$AK27,OFFSET(DNN!$E$9:$M$9,AQ$6,0)) + OFFSET(DNN!$D$9,AQ$6,0))</f>
        <v>1.3861322043105719E-3</v>
      </c>
      <c r="AR27" s="1"/>
      <c r="AS27" s="421">
        <f ca="1">MAX(0, SUMPRODUCT($AM27:$AQ27,OFFSET(DNN!$Q$9:$U$9,AS$6,0)) + OFFSET(DNN!$P$9,AS$6,0))</f>
        <v>4.636147830560421E-4</v>
      </c>
      <c r="AT27" s="422">
        <f ca="1">MAX(0, SUMPRODUCT($AM27:$AQ27,OFFSET(DNN!$Q$9:$U$9,AT$6,0)) + OFFSET(DNN!$P$9,AT$6,0))</f>
        <v>0</v>
      </c>
      <c r="AU27" s="422">
        <f ca="1">MAX(0, SUMPRODUCT($AM27:$AQ27,OFFSET(DNN!$Q$9:$U$9,AU$6,0)) + OFFSET(DNN!$P$9,AU$6,0))</f>
        <v>1.270965180250971E-3</v>
      </c>
      <c r="AV27" s="422">
        <f ca="1">MAX(0, SUMPRODUCT($AM27:$AQ27,OFFSET(DNN!$Q$9:$U$9,AV$6,0)) + OFFSET(DNN!$P$9,AV$6,0))</f>
        <v>7.9604495647512305E-4</v>
      </c>
      <c r="AW27" s="423">
        <f ca="1">MAX(0, SUMPRODUCT($AM27:$AQ27,OFFSET(DNN!$Q$9:$U$9,AW$6,0)) + OFFSET(DNN!$P$9,AW$6,0))</f>
        <v>0</v>
      </c>
      <c r="AX27" s="1"/>
      <c r="AY27" s="86">
        <f ca="1">SUMPRODUCT($AS27:$AW27,OFFSET(DNN!$Y$9:$AC$9,AY$6,0)) + OFFSET(DNN!$X$9,AY$6,0)</f>
        <v>0.43031625300966203</v>
      </c>
      <c r="AZ27" s="84">
        <f ca="1">SUMPRODUCT($AS27:$AW27,OFFSET(DNN!$Y$9:$AC$9,AZ$6,0)) + OFFSET(DNN!$X$9,AZ$6,0)</f>
        <v>-1.2608651913562653E-5</v>
      </c>
      <c r="BA27" s="84">
        <f ca="1">SUMPRODUCT($AS27:$AW27,OFFSET(DNN!$Y$9:$AC$9,BA$6,0)) + OFFSET(DNN!$X$9,BA$6,0)</f>
        <v>1.5239777343160022E-2</v>
      </c>
      <c r="BB27" s="84">
        <f ca="1">SUMPRODUCT($AS27:$AW27,OFFSET(DNN!$Y$9:$AC$9,BB$6,0)) + OFFSET(DNN!$X$9,BB$6,0)</f>
        <v>-8.8746344353792677E-4</v>
      </c>
      <c r="BC27" s="84">
        <f ca="1">SUMPRODUCT($AS27:$AW27,OFFSET(DNN!$Y$9:$AC$9,BC$6,0)) + OFFSET(DNN!$X$9,BC$6,0)</f>
        <v>-4.2360016288025832E-4</v>
      </c>
      <c r="BD27" s="84">
        <f ca="1">SUMPRODUCT($AS27:$AW27,OFFSET(DNN!$Y$9:$AC$9,BD$6,0)) + OFFSET(DNN!$X$9,BD$6,0)</f>
        <v>-1.5730640945984252E-5</v>
      </c>
      <c r="BE27" s="84">
        <f ca="1">SUMPRODUCT($AS27:$AW27,OFFSET(DNN!$Y$9:$AC$9,BE$6,0)) + OFFSET(DNN!$X$9,BE$6,0)</f>
        <v>-1.3490997025526776E-3</v>
      </c>
      <c r="BF27" s="84">
        <f ca="1">SUMPRODUCT($AS27:$AW27,OFFSET(DNN!$Y$9:$AC$9,BF$6,0)) + OFFSET(DNN!$X$9,BF$6,0)</f>
        <v>-6.2604864068178223E-2</v>
      </c>
      <c r="BG27" s="84">
        <f ca="1">SUMPRODUCT($AS27:$AW27,OFFSET(DNN!$Y$9:$AC$9,BG$6,0)) + OFFSET(DNN!$X$9,BG$6,0)</f>
        <v>8.6815245874340087E-4</v>
      </c>
      <c r="BH27" s="83">
        <f ca="1">SUMPRODUCT($AS27:$AW27,OFFSET(DNN!$Y$9:$AC$9,BH$6,0)) + OFFSET(DNN!$X$9,BH$6,0)</f>
        <v>-1.3182687273797979</v>
      </c>
      <c r="BI27" s="85">
        <f ca="1">SUMPRODUCT($AS27:$AW27,OFFSET(DNN!$Y$9:$AC$9,BI$6,0)) + OFFSET(DNN!$X$9,BI$6,0)</f>
        <v>-2.2578414880193124E-5</v>
      </c>
      <c r="BJ27" s="1"/>
      <c r="BK27" s="415">
        <f t="shared" ca="1" si="37"/>
        <v>0.43031625300966203</v>
      </c>
      <c r="BL27" s="86">
        <f t="shared" ca="1" si="67"/>
        <v>1</v>
      </c>
      <c r="BM27" s="84">
        <f t="shared" ca="1" si="68"/>
        <v>0.65029520239397698</v>
      </c>
      <c r="BN27" s="84">
        <f t="shared" ca="1" si="69"/>
        <v>0.66028978267285776</v>
      </c>
      <c r="BO27" s="84">
        <f t="shared" ca="1" si="70"/>
        <v>0.64972653730615071</v>
      </c>
      <c r="BP27" s="84">
        <f t="shared" ca="1" si="71"/>
        <v>0.65002799150063639</v>
      </c>
      <c r="BQ27" s="84">
        <f t="shared" ca="1" si="72"/>
        <v>0.65029317218265636</v>
      </c>
      <c r="BR27" s="84">
        <f t="shared" ca="1" si="73"/>
        <v>0.64942666919840708</v>
      </c>
      <c r="BS27" s="84">
        <f t="shared" ca="1" si="74"/>
        <v>0.61083945196639688</v>
      </c>
      <c r="BT27" s="85">
        <f t="shared" ca="1" si="75"/>
        <v>0.65086820942280388</v>
      </c>
      <c r="BU27" s="84">
        <f t="shared" ca="1" si="76"/>
        <v>0.17402001104240442</v>
      </c>
      <c r="BV27" s="83">
        <f t="shared" ca="1" si="77"/>
        <v>-2.2578414876356417E-5</v>
      </c>
      <c r="BX27" s="86">
        <f t="shared" ca="1" si="49"/>
        <v>6.3457870276862911</v>
      </c>
      <c r="BY27" s="146">
        <f t="shared" ca="1" si="50"/>
        <v>-1.8471567550677557</v>
      </c>
      <c r="BZ27" s="103">
        <f t="shared" ca="1" si="17"/>
        <v>-2.2771446382404523</v>
      </c>
      <c r="CA27" s="103">
        <f t="shared" ca="1" si="18"/>
        <v>-2.2619070087853612</v>
      </c>
      <c r="CB27" s="103">
        <f t="shared" ca="1" si="19"/>
        <v>-2.2780186397804467</v>
      </c>
      <c r="CC27" s="103">
        <f t="shared" ca="1" si="20"/>
        <v>-2.2775552290015728</v>
      </c>
      <c r="CD27" s="103">
        <f t="shared" ca="1" si="21"/>
        <v>-2.2771477571859142</v>
      </c>
      <c r="CE27" s="103">
        <f t="shared" ca="1" si="22"/>
        <v>-2.2784798255019179</v>
      </c>
      <c r="CF27" s="103">
        <f t="shared" ca="1" si="23"/>
        <v>-2.3396739255107022</v>
      </c>
      <c r="CG27" s="104">
        <f t="shared" ca="1" si="24"/>
        <v>-2.2762647353889154</v>
      </c>
      <c r="CH27" s="103">
        <f t="shared" ca="1" si="25"/>
        <v>-3.592736160910575</v>
      </c>
      <c r="CI27" s="83">
        <f t="shared" ca="1" si="78"/>
        <v>-2.2578414876356417E-5</v>
      </c>
      <c r="CK27" s="130">
        <f t="shared" ca="1" si="79"/>
        <v>0.19047619047619047</v>
      </c>
      <c r="CL27" s="131">
        <f t="shared" ca="1" si="80"/>
        <v>0.14285714285714285</v>
      </c>
      <c r="CM27" s="131">
        <f t="shared" ca="1" si="81"/>
        <v>0</v>
      </c>
      <c r="CN27" s="131">
        <f t="shared" ca="1" si="82"/>
        <v>9.5238095238095233E-2</v>
      </c>
      <c r="CO27" s="131">
        <f t="shared" ca="1" si="83"/>
        <v>0.14285714285714285</v>
      </c>
      <c r="CP27" s="131">
        <f t="shared" ca="1" si="84"/>
        <v>0</v>
      </c>
      <c r="CQ27" s="131">
        <f t="shared" ca="1" si="85"/>
        <v>0.16666666666666666</v>
      </c>
      <c r="CR27" s="131">
        <f t="shared" ca="1" si="86"/>
        <v>0.16666666666666666</v>
      </c>
      <c r="CS27" s="132">
        <f t="shared" ca="1" si="87"/>
        <v>9.5238095238095233E-2</v>
      </c>
      <c r="CT27" s="131">
        <f t="shared" ca="1" si="88"/>
        <v>0</v>
      </c>
      <c r="CU27" s="315">
        <f t="shared" ca="1" si="89"/>
        <v>1</v>
      </c>
      <c r="CW27" s="63">
        <f t="shared" ca="1" si="90"/>
        <v>2.2059443571847615</v>
      </c>
      <c r="CX27" s="64">
        <f t="shared" ca="1" si="91"/>
        <v>1.0000451573395377</v>
      </c>
      <c r="CY27" s="275">
        <f t="shared" si="56"/>
        <v>1.9274949456632443E-2</v>
      </c>
      <c r="CZ27" s="65">
        <f t="shared" ca="1" si="92"/>
        <v>3.225264463980932</v>
      </c>
    </row>
    <row r="28" spans="3:104">
      <c r="C28" s="232">
        <f t="shared" si="55"/>
        <v>21</v>
      </c>
      <c r="D28" s="271">
        <f>IFERROR(MATCH(C28,ExperienceReplayBuffer!$B$5:$B$260,FALSE), D27)</f>
        <v>28</v>
      </c>
      <c r="E28" s="280">
        <f ca="1">OFFSET(ExperienceReplayBuffer!G$4,$D28,0)</f>
        <v>0</v>
      </c>
      <c r="F28" s="281">
        <f ca="1">OFFSET(ExperienceReplayBuffer!H$4,$D28,0)</f>
        <v>0</v>
      </c>
      <c r="G28" s="281">
        <f ca="1">OFFSET(ExperienceReplayBuffer!I$4,$D28,0)</f>
        <v>0</v>
      </c>
      <c r="H28" s="281">
        <f ca="1">OFFSET(ExperienceReplayBuffer!J$4,$D28,0)</f>
        <v>0</v>
      </c>
      <c r="I28" s="281">
        <f ca="1">OFFSET(ExperienceReplayBuffer!K$4,$D28,0)</f>
        <v>0</v>
      </c>
      <c r="J28" s="281">
        <f ca="1">OFFSET(ExperienceReplayBuffer!L$4,$D28,0)</f>
        <v>0</v>
      </c>
      <c r="K28" s="281">
        <f ca="1">OFFSET(ExperienceReplayBuffer!M$4,$D28,0)</f>
        <v>0</v>
      </c>
      <c r="L28" s="281">
        <f ca="1">OFFSET(ExperienceReplayBuffer!N$4,$D28,0)</f>
        <v>0</v>
      </c>
      <c r="M28" s="282">
        <f ca="1">OFFSET(ExperienceReplayBuffer!O$4,$D28,0)</f>
        <v>0</v>
      </c>
      <c r="N28" s="387">
        <f ca="1">OFFSET(ExperienceReplayBuffer!P$4,$D28,0)</f>
        <v>0.10638297872340426</v>
      </c>
      <c r="O28" s="388">
        <f ca="1">OFFSET(ExperienceReplayBuffer!Q$4,$D28,0)</f>
        <v>0.10638297872340426</v>
      </c>
      <c r="P28" s="388">
        <f ca="1">OFFSET(ExperienceReplayBuffer!R$4,$D28,0)</f>
        <v>8.5106382978723402E-2</v>
      </c>
      <c r="Q28" s="388">
        <f ca="1">OFFSET(ExperienceReplayBuffer!S$4,$D28,0)</f>
        <v>0.10638297872340426</v>
      </c>
      <c r="R28" s="388">
        <f ca="1">OFFSET(ExperienceReplayBuffer!T$4,$D28,0)</f>
        <v>0.10638297872340426</v>
      </c>
      <c r="S28" s="388">
        <f ca="1">OFFSET(ExperienceReplayBuffer!U$4,$D28,0)</f>
        <v>0.1276595744680851</v>
      </c>
      <c r="T28" s="388">
        <f ca="1">OFFSET(ExperienceReplayBuffer!V$4,$D28,0)</f>
        <v>0.10638297872340426</v>
      </c>
      <c r="U28" s="388">
        <f ca="1">OFFSET(ExperienceReplayBuffer!W$4,$D28,0)</f>
        <v>0.1276595744680851</v>
      </c>
      <c r="V28" s="389">
        <f ca="1">OFFSET(ExperienceReplayBuffer!X$4,$D28,0)</f>
        <v>0.1276595744680851</v>
      </c>
      <c r="W28" s="390">
        <f ca="1">OFFSET(ExperienceReplayBuffer!Y$4,$D28,0)</f>
        <v>0</v>
      </c>
      <c r="X28" s="396">
        <f ca="1">OFFSET(ExperienceReplayBuffer!Z$4,$D28,0)</f>
        <v>-1</v>
      </c>
      <c r="AC28" s="139">
        <f t="shared" ca="1" si="58"/>
        <v>0</v>
      </c>
      <c r="AD28" s="140">
        <f t="shared" ca="1" si="59"/>
        <v>0</v>
      </c>
      <c r="AE28" s="140">
        <f t="shared" ca="1" si="60"/>
        <v>0</v>
      </c>
      <c r="AF28" s="140">
        <f t="shared" ca="1" si="61"/>
        <v>0</v>
      </c>
      <c r="AG28" s="140">
        <f t="shared" ca="1" si="62"/>
        <v>0</v>
      </c>
      <c r="AH28" s="140">
        <f t="shared" ca="1" si="63"/>
        <v>0</v>
      </c>
      <c r="AI28" s="140">
        <f t="shared" ca="1" si="64"/>
        <v>0</v>
      </c>
      <c r="AJ28" s="140">
        <f t="shared" ca="1" si="65"/>
        <v>0</v>
      </c>
      <c r="AK28" s="141">
        <f t="shared" ca="1" si="66"/>
        <v>0</v>
      </c>
      <c r="AM28" s="86">
        <f ca="1">MAX(0, SUMPRODUCT($AC28:$AK28,OFFSET(DNN!$E$9:$M$9,AM$6,0)) + OFFSET(DNN!$D$9,AM$6,0))</f>
        <v>2.0631558248247021E-3</v>
      </c>
      <c r="AN28" s="84">
        <f ca="1">MAX(0, SUMPRODUCT($AC28:$AK28,OFFSET(DNN!$E$9:$M$9,AN$6,0)) + OFFSET(DNN!$D$9,AN$6,0))</f>
        <v>0</v>
      </c>
      <c r="AO28" s="84">
        <f ca="1">MAX(0, SUMPRODUCT($AC28:$AK28,OFFSET(DNN!$E$9:$M$9,AO$6,0)) + OFFSET(DNN!$D$9,AO$6,0))</f>
        <v>2.154285938296177E-3</v>
      </c>
      <c r="AP28" s="84">
        <f ca="1">MAX(0, SUMPRODUCT($AC28:$AK28,OFFSET(DNN!$E$9:$M$9,AP$6,0)) + OFFSET(DNN!$D$9,AP$6,0))</f>
        <v>0</v>
      </c>
      <c r="AQ28" s="85">
        <f ca="1">MAX(0, SUMPRODUCT($AC28:$AK28,OFFSET(DNN!$E$9:$M$9,AQ$6,0)) + OFFSET(DNN!$D$9,AQ$6,0))</f>
        <v>1.8366060460347161E-3</v>
      </c>
      <c r="AR28" s="1"/>
      <c r="AS28" s="421">
        <f ca="1">MAX(0, SUMPRODUCT($AM28:$AQ28,OFFSET(DNN!$Q$9:$U$9,AS$6,0)) + OFFSET(DNN!$P$9,AS$6,0))</f>
        <v>4.6541703104327264E-4</v>
      </c>
      <c r="AT28" s="422">
        <f ca="1">MAX(0, SUMPRODUCT($AM28:$AQ28,OFFSET(DNN!$Q$9:$U$9,AT$6,0)) + OFFSET(DNN!$P$9,AT$6,0))</f>
        <v>0</v>
      </c>
      <c r="AU28" s="422">
        <f ca="1">MAX(0, SUMPRODUCT($AM28:$AQ28,OFFSET(DNN!$Q$9:$U$9,AU$6,0)) + OFFSET(DNN!$P$9,AU$6,0))</f>
        <v>1.2728791875745589E-3</v>
      </c>
      <c r="AV28" s="422">
        <f ca="1">MAX(0, SUMPRODUCT($AM28:$AQ28,OFFSET(DNN!$Q$9:$U$9,AV$6,0)) + OFFSET(DNN!$P$9,AV$6,0))</f>
        <v>7.9787814168382897E-4</v>
      </c>
      <c r="AW28" s="423">
        <f ca="1">MAX(0, SUMPRODUCT($AM28:$AQ28,OFFSET(DNN!$Q$9:$U$9,AW$6,0)) + OFFSET(DNN!$P$9,AW$6,0))</f>
        <v>0</v>
      </c>
      <c r="AX28" s="1"/>
      <c r="AY28" s="86">
        <f ca="1">SUMPRODUCT($AS28:$AW28,OFFSET(DNN!$Y$9:$AC$9,AY$6,0)) + OFFSET(DNN!$X$9,AY$6,0)</f>
        <v>0.43031625597189976</v>
      </c>
      <c r="AZ28" s="84">
        <f ca="1">SUMPRODUCT($AS28:$AW28,OFFSET(DNN!$Y$9:$AC$9,AZ$6,0)) + OFFSET(DNN!$X$9,AZ$6,0)</f>
        <v>-1.2608933306266211E-5</v>
      </c>
      <c r="BA28" s="84">
        <f ca="1">SUMPRODUCT($AS28:$AW28,OFFSET(DNN!$Y$9:$AC$9,BA$6,0)) + OFFSET(DNN!$X$9,BA$6,0)</f>
        <v>1.5239774842061692E-2</v>
      </c>
      <c r="BB28" s="84">
        <f ca="1">SUMPRODUCT($AS28:$AW28,OFFSET(DNN!$Y$9:$AC$9,BB$6,0)) + OFFSET(DNN!$X$9,BB$6,0)</f>
        <v>-8.8745939962467173E-4</v>
      </c>
      <c r="BC28" s="84">
        <f ca="1">SUMPRODUCT($AS28:$AW28,OFFSET(DNN!$Y$9:$AC$9,BC$6,0)) + OFFSET(DNN!$X$9,BC$6,0)</f>
        <v>-4.2360343497512535E-4</v>
      </c>
      <c r="BD28" s="84">
        <f ca="1">SUMPRODUCT($AS28:$AW28,OFFSET(DNN!$Y$9:$AC$9,BD$6,0)) + OFFSET(DNN!$X$9,BD$6,0)</f>
        <v>-1.5731478380349936E-5</v>
      </c>
      <c r="BE28" s="84">
        <f ca="1">SUMPRODUCT($AS28:$AW28,OFFSET(DNN!$Y$9:$AC$9,BE$6,0)) + OFFSET(DNN!$X$9,BE$6,0)</f>
        <v>-1.3490925317642625E-3</v>
      </c>
      <c r="BF28" s="84">
        <f ca="1">SUMPRODUCT($AS28:$AW28,OFFSET(DNN!$Y$9:$AC$9,BF$6,0)) + OFFSET(DNN!$X$9,BF$6,0)</f>
        <v>-6.2604865391920853E-2</v>
      </c>
      <c r="BG28" s="84">
        <f ca="1">SUMPRODUCT($AS28:$AW28,OFFSET(DNN!$Y$9:$AC$9,BG$6,0)) + OFFSET(DNN!$X$9,BG$6,0)</f>
        <v>8.6816048610788385E-4</v>
      </c>
      <c r="BH28" s="83">
        <f ca="1">SUMPRODUCT($AS28:$AW28,OFFSET(DNN!$Y$9:$AC$9,BH$6,0)) + OFFSET(DNN!$X$9,BH$6,0)</f>
        <v>-1.3182687295664537</v>
      </c>
      <c r="BI28" s="85">
        <f ca="1">SUMPRODUCT($AS28:$AW28,OFFSET(DNN!$Y$9:$AC$9,BI$6,0)) + OFFSET(DNN!$X$9,BI$6,0)</f>
        <v>-2.2578453539223673E-5</v>
      </c>
      <c r="BJ28" s="1"/>
      <c r="BK28" s="415">
        <f t="shared" ca="1" si="37"/>
        <v>0.43031625597189976</v>
      </c>
      <c r="BL28" s="86">
        <f t="shared" ca="1" si="67"/>
        <v>1</v>
      </c>
      <c r="BM28" s="84">
        <f t="shared" ca="1" si="68"/>
        <v>0.65029520028465959</v>
      </c>
      <c r="BN28" s="84">
        <f t="shared" ca="1" si="69"/>
        <v>0.66028977906547281</v>
      </c>
      <c r="BO28" s="84">
        <f t="shared" ca="1" si="70"/>
        <v>0.64972653800894398</v>
      </c>
      <c r="BP28" s="84">
        <f t="shared" ca="1" si="71"/>
        <v>0.65002798744814561</v>
      </c>
      <c r="BQ28" s="84">
        <f t="shared" ca="1" si="72"/>
        <v>0.65029316971175555</v>
      </c>
      <c r="BR28" s="84">
        <f t="shared" ca="1" si="73"/>
        <v>0.64942667193155224</v>
      </c>
      <c r="BS28" s="84">
        <f t="shared" ca="1" si="74"/>
        <v>0.61083944934835099</v>
      </c>
      <c r="BT28" s="85">
        <f t="shared" ca="1" si="75"/>
        <v>0.65086821271953388</v>
      </c>
      <c r="BU28" s="84">
        <f t="shared" ca="1" si="76"/>
        <v>0.17402001014639393</v>
      </c>
      <c r="BV28" s="83">
        <f t="shared" ca="1" si="77"/>
        <v>-2.2578453535386946E-5</v>
      </c>
      <c r="BX28" s="86">
        <f t="shared" ca="1" si="49"/>
        <v>6.345787018664808</v>
      </c>
      <c r="BY28" s="146">
        <f t="shared" ca="1" si="50"/>
        <v>-1.8471567536470082</v>
      </c>
      <c r="BZ28" s="103">
        <f t="shared" ca="1" si="17"/>
        <v>-2.2771446400606576</v>
      </c>
      <c r="CA28" s="103">
        <f t="shared" ca="1" si="18"/>
        <v>-2.2619070128231673</v>
      </c>
      <c r="CB28" s="103">
        <f t="shared" ca="1" si="19"/>
        <v>-2.2780186372795646</v>
      </c>
      <c r="CC28" s="103">
        <f t="shared" ca="1" si="20"/>
        <v>-2.2775552338095628</v>
      </c>
      <c r="CD28" s="103">
        <f t="shared" ca="1" si="21"/>
        <v>-2.2771477595616187</v>
      </c>
      <c r="CE28" s="103">
        <f t="shared" ca="1" si="22"/>
        <v>-2.278479819877214</v>
      </c>
      <c r="CF28" s="103">
        <f t="shared" ca="1" si="23"/>
        <v>-2.3396739283720609</v>
      </c>
      <c r="CG28" s="104">
        <f t="shared" ca="1" si="24"/>
        <v>-2.2762647289084574</v>
      </c>
      <c r="CH28" s="103">
        <f t="shared" ca="1" si="25"/>
        <v>-3.5927361646242768</v>
      </c>
      <c r="CI28" s="83">
        <f t="shared" ca="1" si="78"/>
        <v>-2.2578453535386946E-5</v>
      </c>
      <c r="CK28" s="130">
        <f t="shared" ca="1" si="79"/>
        <v>0.10638297872340426</v>
      </c>
      <c r="CL28" s="131">
        <f t="shared" ca="1" si="80"/>
        <v>0.10638297872340426</v>
      </c>
      <c r="CM28" s="131">
        <f t="shared" ca="1" si="81"/>
        <v>8.5106382978723402E-2</v>
      </c>
      <c r="CN28" s="131">
        <f t="shared" ca="1" si="82"/>
        <v>0.10638297872340426</v>
      </c>
      <c r="CO28" s="131">
        <f t="shared" ca="1" si="83"/>
        <v>0.10638297872340426</v>
      </c>
      <c r="CP28" s="131">
        <f t="shared" ca="1" si="84"/>
        <v>0.1276595744680851</v>
      </c>
      <c r="CQ28" s="131">
        <f t="shared" ca="1" si="85"/>
        <v>0.10638297872340426</v>
      </c>
      <c r="CR28" s="131">
        <f t="shared" ca="1" si="86"/>
        <v>0.1276595744680851</v>
      </c>
      <c r="CS28" s="132">
        <f t="shared" ca="1" si="87"/>
        <v>0.1276595744680851</v>
      </c>
      <c r="CT28" s="131">
        <f t="shared" ca="1" si="88"/>
        <v>0</v>
      </c>
      <c r="CU28" s="315">
        <f t="shared" ca="1" si="89"/>
        <v>-1</v>
      </c>
      <c r="CW28" s="63">
        <f t="shared" ca="1" si="90"/>
        <v>2.2382536590577771</v>
      </c>
      <c r="CX28" s="64">
        <f t="shared" ca="1" si="91"/>
        <v>0.9999548436027158</v>
      </c>
      <c r="CY28" s="275">
        <f t="shared" si="56"/>
        <v>1.9274949456632443E-2</v>
      </c>
      <c r="CZ28" s="65">
        <f t="shared" ca="1" si="92"/>
        <v>3.2574834521171256</v>
      </c>
    </row>
    <row r="29" spans="3:104">
      <c r="C29" s="232">
        <f t="shared" si="55"/>
        <v>22</v>
      </c>
      <c r="D29" s="271">
        <f>IFERROR(MATCH(C29,ExperienceReplayBuffer!$B$5:$B$260,FALSE), D28)</f>
        <v>39</v>
      </c>
      <c r="E29" s="280">
        <f ca="1">OFFSET(ExperienceReplayBuffer!G$4,$D29,0)</f>
        <v>0</v>
      </c>
      <c r="F29" s="281">
        <f ca="1">OFFSET(ExperienceReplayBuffer!H$4,$D29,0)</f>
        <v>0</v>
      </c>
      <c r="G29" s="281">
        <f ca="1">OFFSET(ExperienceReplayBuffer!I$4,$D29,0)</f>
        <v>0</v>
      </c>
      <c r="H29" s="281">
        <f ca="1">OFFSET(ExperienceReplayBuffer!J$4,$D29,0)</f>
        <v>0</v>
      </c>
      <c r="I29" s="281">
        <f ca="1">OFFSET(ExperienceReplayBuffer!K$4,$D29,0)</f>
        <v>0</v>
      </c>
      <c r="J29" s="281">
        <f ca="1">OFFSET(ExperienceReplayBuffer!L$4,$D29,0)</f>
        <v>0</v>
      </c>
      <c r="K29" s="281">
        <f ca="1">OFFSET(ExperienceReplayBuffer!M$4,$D29,0)</f>
        <v>0</v>
      </c>
      <c r="L29" s="281">
        <f ca="1">OFFSET(ExperienceReplayBuffer!N$4,$D29,0)</f>
        <v>0</v>
      </c>
      <c r="M29" s="282">
        <f ca="1">OFFSET(ExperienceReplayBuffer!O$4,$D29,0)</f>
        <v>0</v>
      </c>
      <c r="N29" s="387">
        <f ca="1">OFFSET(ExperienceReplayBuffer!P$4,$D29,0)</f>
        <v>0.1276595744680851</v>
      </c>
      <c r="O29" s="388">
        <f ca="1">OFFSET(ExperienceReplayBuffer!Q$4,$D29,0)</f>
        <v>0.1276595744680851</v>
      </c>
      <c r="P29" s="388">
        <f ca="1">OFFSET(ExperienceReplayBuffer!R$4,$D29,0)</f>
        <v>8.5106382978723402E-2</v>
      </c>
      <c r="Q29" s="388">
        <f ca="1">OFFSET(ExperienceReplayBuffer!S$4,$D29,0)</f>
        <v>0.10638297872340426</v>
      </c>
      <c r="R29" s="388">
        <f ca="1">OFFSET(ExperienceReplayBuffer!T$4,$D29,0)</f>
        <v>0.10638297872340426</v>
      </c>
      <c r="S29" s="388">
        <f ca="1">OFFSET(ExperienceReplayBuffer!U$4,$D29,0)</f>
        <v>0.10638297872340426</v>
      </c>
      <c r="T29" s="388">
        <f ca="1">OFFSET(ExperienceReplayBuffer!V$4,$D29,0)</f>
        <v>0.10638297872340426</v>
      </c>
      <c r="U29" s="388">
        <f ca="1">OFFSET(ExperienceReplayBuffer!W$4,$D29,0)</f>
        <v>0.10638297872340426</v>
      </c>
      <c r="V29" s="389">
        <f ca="1">OFFSET(ExperienceReplayBuffer!X$4,$D29,0)</f>
        <v>0.1276595744680851</v>
      </c>
      <c r="W29" s="390">
        <f ca="1">OFFSET(ExperienceReplayBuffer!Y$4,$D29,0)</f>
        <v>0</v>
      </c>
      <c r="X29" s="396">
        <f ca="1">OFFSET(ExperienceReplayBuffer!Z$4,$D29,0)</f>
        <v>1</v>
      </c>
      <c r="AC29" s="139">
        <f t="shared" ca="1" si="58"/>
        <v>0</v>
      </c>
      <c r="AD29" s="140">
        <f t="shared" ca="1" si="59"/>
        <v>0</v>
      </c>
      <c r="AE29" s="140">
        <f t="shared" ca="1" si="60"/>
        <v>0</v>
      </c>
      <c r="AF29" s="140">
        <f t="shared" ca="1" si="61"/>
        <v>0</v>
      </c>
      <c r="AG29" s="140">
        <f t="shared" ca="1" si="62"/>
        <v>0</v>
      </c>
      <c r="AH29" s="140">
        <f t="shared" ca="1" si="63"/>
        <v>0</v>
      </c>
      <c r="AI29" s="140">
        <f t="shared" ca="1" si="64"/>
        <v>0</v>
      </c>
      <c r="AJ29" s="140">
        <f t="shared" ca="1" si="65"/>
        <v>0</v>
      </c>
      <c r="AK29" s="141">
        <f t="shared" ca="1" si="66"/>
        <v>0</v>
      </c>
      <c r="AM29" s="86">
        <f ca="1">MAX(0, SUMPRODUCT($AC29:$AK29,OFFSET(DNN!$E$9:$M$9,AM$6,0)) + OFFSET(DNN!$D$9,AM$6,0))</f>
        <v>2.0631558248247021E-3</v>
      </c>
      <c r="AN29" s="84">
        <f ca="1">MAX(0, SUMPRODUCT($AC29:$AK29,OFFSET(DNN!$E$9:$M$9,AN$6,0)) + OFFSET(DNN!$D$9,AN$6,0))</f>
        <v>0</v>
      </c>
      <c r="AO29" s="84">
        <f ca="1">MAX(0, SUMPRODUCT($AC29:$AK29,OFFSET(DNN!$E$9:$M$9,AO$6,0)) + OFFSET(DNN!$D$9,AO$6,0))</f>
        <v>2.154285938296177E-3</v>
      </c>
      <c r="AP29" s="84">
        <f ca="1">MAX(0, SUMPRODUCT($AC29:$AK29,OFFSET(DNN!$E$9:$M$9,AP$6,0)) + OFFSET(DNN!$D$9,AP$6,0))</f>
        <v>0</v>
      </c>
      <c r="AQ29" s="85">
        <f ca="1">MAX(0, SUMPRODUCT($AC29:$AK29,OFFSET(DNN!$E$9:$M$9,AQ$6,0)) + OFFSET(DNN!$D$9,AQ$6,0))</f>
        <v>1.8366060460347161E-3</v>
      </c>
      <c r="AR29" s="1"/>
      <c r="AS29" s="421">
        <f ca="1">MAX(0, SUMPRODUCT($AM29:$AQ29,OFFSET(DNN!$Q$9:$U$9,AS$6,0)) + OFFSET(DNN!$P$9,AS$6,0))</f>
        <v>4.6541703104327264E-4</v>
      </c>
      <c r="AT29" s="422">
        <f ca="1">MAX(0, SUMPRODUCT($AM29:$AQ29,OFFSET(DNN!$Q$9:$U$9,AT$6,0)) + OFFSET(DNN!$P$9,AT$6,0))</f>
        <v>0</v>
      </c>
      <c r="AU29" s="422">
        <f ca="1">MAX(0, SUMPRODUCT($AM29:$AQ29,OFFSET(DNN!$Q$9:$U$9,AU$6,0)) + OFFSET(DNN!$P$9,AU$6,0))</f>
        <v>1.2728791875745589E-3</v>
      </c>
      <c r="AV29" s="422">
        <f ca="1">MAX(0, SUMPRODUCT($AM29:$AQ29,OFFSET(DNN!$Q$9:$U$9,AV$6,0)) + OFFSET(DNN!$P$9,AV$6,0))</f>
        <v>7.9787814168382897E-4</v>
      </c>
      <c r="AW29" s="423">
        <f ca="1">MAX(0, SUMPRODUCT($AM29:$AQ29,OFFSET(DNN!$Q$9:$U$9,AW$6,0)) + OFFSET(DNN!$P$9,AW$6,0))</f>
        <v>0</v>
      </c>
      <c r="AX29" s="1"/>
      <c r="AY29" s="86">
        <f ca="1">SUMPRODUCT($AS29:$AW29,OFFSET(DNN!$Y$9:$AC$9,AY$6,0)) + OFFSET(DNN!$X$9,AY$6,0)</f>
        <v>0.43031625597189976</v>
      </c>
      <c r="AZ29" s="84">
        <f ca="1">SUMPRODUCT($AS29:$AW29,OFFSET(DNN!$Y$9:$AC$9,AZ$6,0)) + OFFSET(DNN!$X$9,AZ$6,0)</f>
        <v>-1.2608933306266211E-5</v>
      </c>
      <c r="BA29" s="84">
        <f ca="1">SUMPRODUCT($AS29:$AW29,OFFSET(DNN!$Y$9:$AC$9,BA$6,0)) + OFFSET(DNN!$X$9,BA$6,0)</f>
        <v>1.5239774842061692E-2</v>
      </c>
      <c r="BB29" s="84">
        <f ca="1">SUMPRODUCT($AS29:$AW29,OFFSET(DNN!$Y$9:$AC$9,BB$6,0)) + OFFSET(DNN!$X$9,BB$6,0)</f>
        <v>-8.8745939962467173E-4</v>
      </c>
      <c r="BC29" s="84">
        <f ca="1">SUMPRODUCT($AS29:$AW29,OFFSET(DNN!$Y$9:$AC$9,BC$6,0)) + OFFSET(DNN!$X$9,BC$6,0)</f>
        <v>-4.2360343497512535E-4</v>
      </c>
      <c r="BD29" s="84">
        <f ca="1">SUMPRODUCT($AS29:$AW29,OFFSET(DNN!$Y$9:$AC$9,BD$6,0)) + OFFSET(DNN!$X$9,BD$6,0)</f>
        <v>-1.5731478380349936E-5</v>
      </c>
      <c r="BE29" s="84">
        <f ca="1">SUMPRODUCT($AS29:$AW29,OFFSET(DNN!$Y$9:$AC$9,BE$6,0)) + OFFSET(DNN!$X$9,BE$6,0)</f>
        <v>-1.3490925317642625E-3</v>
      </c>
      <c r="BF29" s="84">
        <f ca="1">SUMPRODUCT($AS29:$AW29,OFFSET(DNN!$Y$9:$AC$9,BF$6,0)) + OFFSET(DNN!$X$9,BF$6,0)</f>
        <v>-6.2604865391920853E-2</v>
      </c>
      <c r="BG29" s="84">
        <f ca="1">SUMPRODUCT($AS29:$AW29,OFFSET(DNN!$Y$9:$AC$9,BG$6,0)) + OFFSET(DNN!$X$9,BG$6,0)</f>
        <v>8.6816048610788385E-4</v>
      </c>
      <c r="BH29" s="83">
        <f ca="1">SUMPRODUCT($AS29:$AW29,OFFSET(DNN!$Y$9:$AC$9,BH$6,0)) + OFFSET(DNN!$X$9,BH$6,0)</f>
        <v>-1.3182687295664537</v>
      </c>
      <c r="BI29" s="85">
        <f ca="1">SUMPRODUCT($AS29:$AW29,OFFSET(DNN!$Y$9:$AC$9,BI$6,0)) + OFFSET(DNN!$X$9,BI$6,0)</f>
        <v>-2.2578453539223673E-5</v>
      </c>
      <c r="BJ29" s="1"/>
      <c r="BK29" s="415">
        <f t="shared" ca="1" si="37"/>
        <v>0.43031625597189976</v>
      </c>
      <c r="BL29" s="86">
        <f t="shared" ca="1" si="67"/>
        <v>1</v>
      </c>
      <c r="BM29" s="84">
        <f t="shared" ca="1" si="68"/>
        <v>0.65029520028465959</v>
      </c>
      <c r="BN29" s="84">
        <f t="shared" ca="1" si="69"/>
        <v>0.66028977906547281</v>
      </c>
      <c r="BO29" s="84">
        <f t="shared" ca="1" si="70"/>
        <v>0.64972653800894398</v>
      </c>
      <c r="BP29" s="84">
        <f t="shared" ca="1" si="71"/>
        <v>0.65002798744814561</v>
      </c>
      <c r="BQ29" s="84">
        <f t="shared" ca="1" si="72"/>
        <v>0.65029316971175555</v>
      </c>
      <c r="BR29" s="84">
        <f t="shared" ca="1" si="73"/>
        <v>0.64942667193155224</v>
      </c>
      <c r="BS29" s="84">
        <f t="shared" ca="1" si="74"/>
        <v>0.61083944934835099</v>
      </c>
      <c r="BT29" s="85">
        <f t="shared" ca="1" si="75"/>
        <v>0.65086821271953388</v>
      </c>
      <c r="BU29" s="84">
        <f t="shared" ca="1" si="76"/>
        <v>0.17402001014639393</v>
      </c>
      <c r="BV29" s="83">
        <f t="shared" ca="1" si="77"/>
        <v>-2.2578453535386946E-5</v>
      </c>
      <c r="BX29" s="86">
        <f t="shared" ca="1" si="49"/>
        <v>6.345787018664808</v>
      </c>
      <c r="BY29" s="146">
        <f t="shared" ca="1" si="50"/>
        <v>-1.8471567536470082</v>
      </c>
      <c r="BZ29" s="103">
        <f t="shared" ca="1" si="17"/>
        <v>-2.2771446400606576</v>
      </c>
      <c r="CA29" s="103">
        <f t="shared" ca="1" si="18"/>
        <v>-2.2619070128231673</v>
      </c>
      <c r="CB29" s="103">
        <f t="shared" ca="1" si="19"/>
        <v>-2.2780186372795646</v>
      </c>
      <c r="CC29" s="103">
        <f t="shared" ca="1" si="20"/>
        <v>-2.2775552338095628</v>
      </c>
      <c r="CD29" s="103">
        <f t="shared" ca="1" si="21"/>
        <v>-2.2771477595616187</v>
      </c>
      <c r="CE29" s="103">
        <f t="shared" ca="1" si="22"/>
        <v>-2.278479819877214</v>
      </c>
      <c r="CF29" s="103">
        <f t="shared" ca="1" si="23"/>
        <v>-2.3396739283720609</v>
      </c>
      <c r="CG29" s="104">
        <f t="shared" ca="1" si="24"/>
        <v>-2.2762647289084574</v>
      </c>
      <c r="CH29" s="103">
        <f t="shared" ca="1" si="25"/>
        <v>-3.5927361646242768</v>
      </c>
      <c r="CI29" s="83">
        <f t="shared" ca="1" si="78"/>
        <v>-2.2578453535386946E-5</v>
      </c>
      <c r="CK29" s="130">
        <f t="shared" ca="1" si="79"/>
        <v>0.1276595744680851</v>
      </c>
      <c r="CL29" s="131">
        <f t="shared" ca="1" si="80"/>
        <v>0.1276595744680851</v>
      </c>
      <c r="CM29" s="131">
        <f t="shared" ca="1" si="81"/>
        <v>8.5106382978723402E-2</v>
      </c>
      <c r="CN29" s="131">
        <f t="shared" ca="1" si="82"/>
        <v>0.10638297872340426</v>
      </c>
      <c r="CO29" s="131">
        <f t="shared" ca="1" si="83"/>
        <v>0.10638297872340426</v>
      </c>
      <c r="CP29" s="131">
        <f t="shared" ca="1" si="84"/>
        <v>0.10638297872340426</v>
      </c>
      <c r="CQ29" s="131">
        <f t="shared" ca="1" si="85"/>
        <v>0.10638297872340426</v>
      </c>
      <c r="CR29" s="131">
        <f t="shared" ca="1" si="86"/>
        <v>0.10638297872340426</v>
      </c>
      <c r="CS29" s="132">
        <f t="shared" ca="1" si="87"/>
        <v>0.1276595744680851</v>
      </c>
      <c r="CT29" s="131">
        <f t="shared" ca="1" si="88"/>
        <v>0</v>
      </c>
      <c r="CU29" s="315">
        <f t="shared" ca="1" si="89"/>
        <v>1</v>
      </c>
      <c r="CW29" s="63">
        <f t="shared" ca="1" si="90"/>
        <v>2.2277745038614789</v>
      </c>
      <c r="CX29" s="64">
        <f t="shared" ca="1" si="91"/>
        <v>1.0000451574168576</v>
      </c>
      <c r="CY29" s="275">
        <f t="shared" si="56"/>
        <v>1.9274949456632443E-2</v>
      </c>
      <c r="CZ29" s="65">
        <f t="shared" ca="1" si="92"/>
        <v>3.247094610734969</v>
      </c>
    </row>
    <row r="30" spans="3:104">
      <c r="C30" s="232">
        <f t="shared" si="55"/>
        <v>23</v>
      </c>
      <c r="D30" s="271">
        <f>IFERROR(MATCH(C30,ExperienceReplayBuffer!$B$5:$B$260,FALSE), D29)</f>
        <v>246</v>
      </c>
      <c r="E30" s="280">
        <f ca="1">OFFSET(ExperienceReplayBuffer!G$4,$D30,0)</f>
        <v>0</v>
      </c>
      <c r="F30" s="281">
        <f ca="1">OFFSET(ExperienceReplayBuffer!H$4,$D30,0)</f>
        <v>0</v>
      </c>
      <c r="G30" s="281">
        <f ca="1">OFFSET(ExperienceReplayBuffer!I$4,$D30,0)</f>
        <v>1</v>
      </c>
      <c r="H30" s="281">
        <f ca="1">OFFSET(ExperienceReplayBuffer!J$4,$D30,0)</f>
        <v>1</v>
      </c>
      <c r="I30" s="281">
        <f ca="1">OFFSET(ExperienceReplayBuffer!K$4,$D30,0)</f>
        <v>-1</v>
      </c>
      <c r="J30" s="281">
        <f ca="1">OFFSET(ExperienceReplayBuffer!L$4,$D30,0)</f>
        <v>-1</v>
      </c>
      <c r="K30" s="281">
        <f ca="1">OFFSET(ExperienceReplayBuffer!M$4,$D30,0)</f>
        <v>0</v>
      </c>
      <c r="L30" s="281">
        <f ca="1">OFFSET(ExperienceReplayBuffer!N$4,$D30,0)</f>
        <v>-1</v>
      </c>
      <c r="M30" s="282">
        <f ca="1">OFFSET(ExperienceReplayBuffer!O$4,$D30,0)</f>
        <v>1</v>
      </c>
      <c r="N30" s="387">
        <f ca="1">OFFSET(ExperienceReplayBuffer!P$4,$D30,0)</f>
        <v>4.3478260869565216E-2</v>
      </c>
      <c r="O30" s="388">
        <f ca="1">OFFSET(ExperienceReplayBuffer!Q$4,$D30,0)</f>
        <v>0.86956521739130432</v>
      </c>
      <c r="P30" s="388">
        <f ca="1">OFFSET(ExperienceReplayBuffer!R$4,$D30,0)</f>
        <v>0</v>
      </c>
      <c r="Q30" s="388">
        <f ca="1">OFFSET(ExperienceReplayBuffer!S$4,$D30,0)</f>
        <v>0</v>
      </c>
      <c r="R30" s="388">
        <f ca="1">OFFSET(ExperienceReplayBuffer!T$4,$D30,0)</f>
        <v>0</v>
      </c>
      <c r="S30" s="388">
        <f ca="1">OFFSET(ExperienceReplayBuffer!U$4,$D30,0)</f>
        <v>0</v>
      </c>
      <c r="T30" s="388">
        <f ca="1">OFFSET(ExperienceReplayBuffer!V$4,$D30,0)</f>
        <v>8.6956521739130432E-2</v>
      </c>
      <c r="U30" s="388">
        <f ca="1">OFFSET(ExperienceReplayBuffer!W$4,$D30,0)</f>
        <v>0</v>
      </c>
      <c r="V30" s="389">
        <f ca="1">OFFSET(ExperienceReplayBuffer!X$4,$D30,0)</f>
        <v>0</v>
      </c>
      <c r="W30" s="390">
        <f ca="1">OFFSET(ExperienceReplayBuffer!Y$4,$D30,0)</f>
        <v>0</v>
      </c>
      <c r="X30" s="396">
        <f ca="1">OFFSET(ExperienceReplayBuffer!Z$4,$D30,0)</f>
        <v>0</v>
      </c>
      <c r="AC30" s="139">
        <f t="shared" ca="1" si="58"/>
        <v>0</v>
      </c>
      <c r="AD30" s="140">
        <f t="shared" ca="1" si="59"/>
        <v>0</v>
      </c>
      <c r="AE30" s="140">
        <f t="shared" ca="1" si="60"/>
        <v>1</v>
      </c>
      <c r="AF30" s="140">
        <f t="shared" ca="1" si="61"/>
        <v>1</v>
      </c>
      <c r="AG30" s="140">
        <f t="shared" ca="1" si="62"/>
        <v>-1</v>
      </c>
      <c r="AH30" s="140">
        <f t="shared" ca="1" si="63"/>
        <v>-1</v>
      </c>
      <c r="AI30" s="140">
        <f t="shared" ca="1" si="64"/>
        <v>0</v>
      </c>
      <c r="AJ30" s="140">
        <f t="shared" ca="1" si="65"/>
        <v>-1</v>
      </c>
      <c r="AK30" s="141">
        <f t="shared" ca="1" si="66"/>
        <v>1</v>
      </c>
      <c r="AM30" s="86">
        <f ca="1">MAX(0, SUMPRODUCT($AC30:$AK30,OFFSET(DNN!$E$9:$M$9,AM$6,0)) + OFFSET(DNN!$D$9,AM$6,0))</f>
        <v>1.5559921594844356E-3</v>
      </c>
      <c r="AN30" s="84">
        <f ca="1">MAX(0, SUMPRODUCT($AC30:$AK30,OFFSET(DNN!$E$9:$M$9,AN$6,0)) + OFFSET(DNN!$D$9,AN$6,0))</f>
        <v>4.1916162504144136E-3</v>
      </c>
      <c r="AO30" s="84">
        <f ca="1">MAX(0, SUMPRODUCT($AC30:$AK30,OFFSET(DNN!$E$9:$M$9,AO$6,0)) + OFFSET(DNN!$D$9,AO$6,0))</f>
        <v>0</v>
      </c>
      <c r="AP30" s="84">
        <f ca="1">MAX(0, SUMPRODUCT($AC30:$AK30,OFFSET(DNN!$E$9:$M$9,AP$6,0)) + OFFSET(DNN!$D$9,AP$6,0))</f>
        <v>0</v>
      </c>
      <c r="AQ30" s="85">
        <f ca="1">MAX(0, SUMPRODUCT($AC30:$AK30,OFFSET(DNN!$E$9:$M$9,AQ$6,0)) + OFFSET(DNN!$D$9,AQ$6,0))</f>
        <v>2.5558191946413269E-3</v>
      </c>
      <c r="AR30" s="1"/>
      <c r="AS30" s="421">
        <f ca="1">MAX(0, SUMPRODUCT($AM30:$AQ30,OFFSET(DNN!$Q$9:$U$9,AS$6,0)) + OFFSET(DNN!$P$9,AS$6,0))</f>
        <v>4.6215087980259491E-4</v>
      </c>
      <c r="AT30" s="422">
        <f ca="1">MAX(0, SUMPRODUCT($AM30:$AQ30,OFFSET(DNN!$Q$9:$U$9,AT$6,0)) + OFFSET(DNN!$P$9,AT$6,0))</f>
        <v>0</v>
      </c>
      <c r="AU30" s="422">
        <f ca="1">MAX(0, SUMPRODUCT($AM30:$AQ30,OFFSET(DNN!$Q$9:$U$9,AU$6,0)) + OFFSET(DNN!$P$9,AU$6,0))</f>
        <v>1.2802295141149116E-3</v>
      </c>
      <c r="AV30" s="422">
        <f ca="1">MAX(0, SUMPRODUCT($AM30:$AQ30,OFFSET(DNN!$Q$9:$U$9,AV$6,0)) + OFFSET(DNN!$P$9,AV$6,0))</f>
        <v>7.8566418308798926E-4</v>
      </c>
      <c r="AW30" s="423">
        <f ca="1">MAX(0, SUMPRODUCT($AM30:$AQ30,OFFSET(DNN!$Q$9:$U$9,AW$6,0)) + OFFSET(DNN!$P$9,AW$6,0))</f>
        <v>0</v>
      </c>
      <c r="AX30" s="1"/>
      <c r="AY30" s="86">
        <f ca="1">SUMPRODUCT($AS30:$AW30,OFFSET(DNN!$Y$9:$AC$9,AY$6,0)) + OFFSET(DNN!$X$9,AY$6,0)</f>
        <v>0.43031623000219366</v>
      </c>
      <c r="AZ30" s="84">
        <f ca="1">SUMPRODUCT($AS30:$AW30,OFFSET(DNN!$Y$9:$AC$9,AZ$6,0)) + OFFSET(DNN!$X$9,AZ$6,0)</f>
        <v>-1.2608030402314071E-5</v>
      </c>
      <c r="BA30" s="84">
        <f ca="1">SUMPRODUCT($AS30:$AW30,OFFSET(DNN!$Y$9:$AC$9,BA$6,0)) + OFFSET(DNN!$X$9,BA$6,0)</f>
        <v>1.5239760442208766E-2</v>
      </c>
      <c r="BB30" s="84">
        <f ca="1">SUMPRODUCT($AS30:$AW30,OFFSET(DNN!$Y$9:$AC$9,BB$6,0)) + OFFSET(DNN!$X$9,BB$6,0)</f>
        <v>-8.8744848583534233E-4</v>
      </c>
      <c r="BC30" s="84">
        <f ca="1">SUMPRODUCT($AS30:$AW30,OFFSET(DNN!$Y$9:$AC$9,BC$6,0)) + OFFSET(DNN!$X$9,BC$6,0)</f>
        <v>-4.2361717630139768E-4</v>
      </c>
      <c r="BD30" s="84">
        <f ca="1">SUMPRODUCT($AS30:$AW30,OFFSET(DNN!$Y$9:$AC$9,BD$6,0)) + OFFSET(DNN!$X$9,BD$6,0)</f>
        <v>-1.5748286699922252E-5</v>
      </c>
      <c r="BE30" s="84">
        <f ca="1">SUMPRODUCT($AS30:$AW30,OFFSET(DNN!$Y$9:$AC$9,BE$6,0)) + OFFSET(DNN!$X$9,BE$6,0)</f>
        <v>-1.3491036136461505E-3</v>
      </c>
      <c r="BF30" s="84">
        <f ca="1">SUMPRODUCT($AS30:$AW30,OFFSET(DNN!$Y$9:$AC$9,BF$6,0)) + OFFSET(DNN!$X$9,BF$6,0)</f>
        <v>-6.2604859120452799E-2</v>
      </c>
      <c r="BG30" s="84">
        <f ca="1">SUMPRODUCT($AS30:$AW30,OFFSET(DNN!$Y$9:$AC$9,BG$6,0)) + OFFSET(DNN!$X$9,BG$6,0)</f>
        <v>8.6814893426193931E-4</v>
      </c>
      <c r="BH30" s="83">
        <f ca="1">SUMPRODUCT($AS30:$AW30,OFFSET(DNN!$Y$9:$AC$9,BH$6,0)) + OFFSET(DNN!$X$9,BH$6,0)</f>
        <v>-1.3182687282423882</v>
      </c>
      <c r="BI30" s="85">
        <f ca="1">SUMPRODUCT($AS30:$AW30,OFFSET(DNN!$Y$9:$AC$9,BI$6,0)) + OFFSET(DNN!$X$9,BI$6,0)</f>
        <v>-2.255879791321131E-5</v>
      </c>
      <c r="BJ30" s="1"/>
      <c r="BK30" s="415">
        <f t="shared" ca="1" si="37"/>
        <v>0.43031623000219366</v>
      </c>
      <c r="BL30" s="86">
        <f t="shared" ca="1" si="67"/>
        <v>1</v>
      </c>
      <c r="BM30" s="84">
        <f t="shared" ca="1" si="68"/>
        <v>0.65029521775978916</v>
      </c>
      <c r="BN30" s="84">
        <f t="shared" ca="1" si="69"/>
        <v>0.66028978670492866</v>
      </c>
      <c r="BO30" s="84">
        <f t="shared" ca="1" si="70"/>
        <v>0.64972656197313017</v>
      </c>
      <c r="BP30" s="84">
        <f t="shared" ca="1" si="71"/>
        <v>0.65002799539693479</v>
      </c>
      <c r="BQ30" s="84">
        <f t="shared" ca="1" si="72"/>
        <v>0.65029317566934264</v>
      </c>
      <c r="BR30" s="84">
        <f t="shared" ca="1" si="73"/>
        <v>0.64942668160010242</v>
      </c>
      <c r="BS30" s="84">
        <f t="shared" ca="1" si="74"/>
        <v>0.61083946904253239</v>
      </c>
      <c r="BT30" s="85">
        <f t="shared" ca="1" si="75"/>
        <v>0.6508682221036608</v>
      </c>
      <c r="BU30" s="84">
        <f t="shared" ca="1" si="76"/>
        <v>0.1740200148960564</v>
      </c>
      <c r="BV30" s="83">
        <f t="shared" ca="1" si="77"/>
        <v>-2.2558797909384591E-5</v>
      </c>
      <c r="BX30" s="86">
        <f t="shared" ca="1" si="49"/>
        <v>6.3457871251464777</v>
      </c>
      <c r="BY30" s="146">
        <f t="shared" ca="1" si="50"/>
        <v>-1.8471567704162661</v>
      </c>
      <c r="BZ30" s="103">
        <f t="shared" ca="1" si="17"/>
        <v>-2.2771446299777862</v>
      </c>
      <c r="CA30" s="103">
        <f t="shared" ca="1" si="18"/>
        <v>-2.2619070180282113</v>
      </c>
      <c r="CB30" s="103">
        <f t="shared" ca="1" si="19"/>
        <v>-2.2780186171955847</v>
      </c>
      <c r="CC30" s="103">
        <f t="shared" ca="1" si="20"/>
        <v>-2.2775552383566433</v>
      </c>
      <c r="CD30" s="103">
        <f t="shared" ca="1" si="21"/>
        <v>-2.2771477671727047</v>
      </c>
      <c r="CE30" s="103">
        <f t="shared" ca="1" si="22"/>
        <v>-2.2784798217674425</v>
      </c>
      <c r="CF30" s="103">
        <f t="shared" ca="1" si="23"/>
        <v>-2.3396739129268318</v>
      </c>
      <c r="CG30" s="104">
        <f t="shared" ca="1" si="24"/>
        <v>-2.2762647312681965</v>
      </c>
      <c r="CH30" s="103">
        <f t="shared" ca="1" si="25"/>
        <v>-3.5927361541486054</v>
      </c>
      <c r="CI30" s="83">
        <f t="shared" ca="1" si="78"/>
        <v>-2.2558797909384591E-5</v>
      </c>
      <c r="CK30" s="130">
        <f t="shared" ca="1" si="79"/>
        <v>4.3478260869565216E-2</v>
      </c>
      <c r="CL30" s="131">
        <f t="shared" ca="1" si="80"/>
        <v>0.86956521739130432</v>
      </c>
      <c r="CM30" s="131">
        <f t="shared" ca="1" si="81"/>
        <v>0</v>
      </c>
      <c r="CN30" s="131">
        <f t="shared" ca="1" si="82"/>
        <v>0</v>
      </c>
      <c r="CO30" s="131">
        <f t="shared" ca="1" si="83"/>
        <v>0</v>
      </c>
      <c r="CP30" s="131">
        <f t="shared" ca="1" si="84"/>
        <v>0</v>
      </c>
      <c r="CQ30" s="131">
        <f t="shared" ca="1" si="85"/>
        <v>8.6956521739130432E-2</v>
      </c>
      <c r="CR30" s="131">
        <f t="shared" ca="1" si="86"/>
        <v>0</v>
      </c>
      <c r="CS30" s="132">
        <f t="shared" ca="1" si="87"/>
        <v>0</v>
      </c>
      <c r="CT30" s="131">
        <f t="shared" ca="1" si="88"/>
        <v>0</v>
      </c>
      <c r="CU30" s="315">
        <f t="shared" ca="1" si="89"/>
        <v>0</v>
      </c>
      <c r="CW30" s="63">
        <f t="shared" ca="1" si="90"/>
        <v>2.2585656092829076</v>
      </c>
      <c r="CX30" s="64">
        <f t="shared" ca="1" si="91"/>
        <v>5.0889936311645457E-10</v>
      </c>
      <c r="CY30" s="275">
        <f t="shared" si="56"/>
        <v>1.9274949456632443E-2</v>
      </c>
      <c r="CZ30" s="65">
        <f t="shared" ca="1" si="92"/>
        <v>2.2778405592484394</v>
      </c>
    </row>
    <row r="31" spans="3:104">
      <c r="C31" s="232">
        <f t="shared" si="55"/>
        <v>24</v>
      </c>
      <c r="D31" s="271">
        <f>IFERROR(MATCH(C31,ExperienceReplayBuffer!$B$5:$B$260,FALSE), D30)</f>
        <v>44</v>
      </c>
      <c r="E31" s="280">
        <f ca="1">OFFSET(ExperienceReplayBuffer!G$4,$D31,0)</f>
        <v>0</v>
      </c>
      <c r="F31" s="281">
        <f ca="1">OFFSET(ExperienceReplayBuffer!H$4,$D31,0)</f>
        <v>0</v>
      </c>
      <c r="G31" s="281">
        <f ca="1">OFFSET(ExperienceReplayBuffer!I$4,$D31,0)</f>
        <v>0</v>
      </c>
      <c r="H31" s="281">
        <f ca="1">OFFSET(ExperienceReplayBuffer!J$4,$D31,0)</f>
        <v>0</v>
      </c>
      <c r="I31" s="281">
        <f ca="1">OFFSET(ExperienceReplayBuffer!K$4,$D31,0)</f>
        <v>0</v>
      </c>
      <c r="J31" s="281">
        <f ca="1">OFFSET(ExperienceReplayBuffer!L$4,$D31,0)</f>
        <v>0</v>
      </c>
      <c r="K31" s="281">
        <f ca="1">OFFSET(ExperienceReplayBuffer!M$4,$D31,0)</f>
        <v>0</v>
      </c>
      <c r="L31" s="281">
        <f ca="1">OFFSET(ExperienceReplayBuffer!N$4,$D31,0)</f>
        <v>0</v>
      </c>
      <c r="M31" s="282">
        <f ca="1">OFFSET(ExperienceReplayBuffer!O$4,$D31,0)</f>
        <v>0</v>
      </c>
      <c r="N31" s="387">
        <f ca="1">OFFSET(ExperienceReplayBuffer!P$4,$D31,0)</f>
        <v>0.10638297872340426</v>
      </c>
      <c r="O31" s="388">
        <f ca="1">OFFSET(ExperienceReplayBuffer!Q$4,$D31,0)</f>
        <v>0.10638297872340426</v>
      </c>
      <c r="P31" s="388">
        <f ca="1">OFFSET(ExperienceReplayBuffer!R$4,$D31,0)</f>
        <v>8.5106382978723402E-2</v>
      </c>
      <c r="Q31" s="388">
        <f ca="1">OFFSET(ExperienceReplayBuffer!S$4,$D31,0)</f>
        <v>0.1276595744680851</v>
      </c>
      <c r="R31" s="388">
        <f ca="1">OFFSET(ExperienceReplayBuffer!T$4,$D31,0)</f>
        <v>0.10638297872340426</v>
      </c>
      <c r="S31" s="388">
        <f ca="1">OFFSET(ExperienceReplayBuffer!U$4,$D31,0)</f>
        <v>0.10638297872340426</v>
      </c>
      <c r="T31" s="388">
        <f ca="1">OFFSET(ExperienceReplayBuffer!V$4,$D31,0)</f>
        <v>0.10638297872340426</v>
      </c>
      <c r="U31" s="388">
        <f ca="1">OFFSET(ExperienceReplayBuffer!W$4,$D31,0)</f>
        <v>0.1276595744680851</v>
      </c>
      <c r="V31" s="389">
        <f ca="1">OFFSET(ExperienceReplayBuffer!X$4,$D31,0)</f>
        <v>0.1276595744680851</v>
      </c>
      <c r="W31" s="390">
        <f ca="1">OFFSET(ExperienceReplayBuffer!Y$4,$D31,0)</f>
        <v>0</v>
      </c>
      <c r="X31" s="396">
        <f ca="1">OFFSET(ExperienceReplayBuffer!Z$4,$D31,0)</f>
        <v>1</v>
      </c>
      <c r="AC31" s="139">
        <f t="shared" ca="1" si="58"/>
        <v>0</v>
      </c>
      <c r="AD31" s="140">
        <f t="shared" ca="1" si="59"/>
        <v>0</v>
      </c>
      <c r="AE31" s="140">
        <f t="shared" ca="1" si="60"/>
        <v>0</v>
      </c>
      <c r="AF31" s="140">
        <f t="shared" ca="1" si="61"/>
        <v>0</v>
      </c>
      <c r="AG31" s="140">
        <f t="shared" ca="1" si="62"/>
        <v>0</v>
      </c>
      <c r="AH31" s="140">
        <f t="shared" ca="1" si="63"/>
        <v>0</v>
      </c>
      <c r="AI31" s="140">
        <f t="shared" ca="1" si="64"/>
        <v>0</v>
      </c>
      <c r="AJ31" s="140">
        <f t="shared" ca="1" si="65"/>
        <v>0</v>
      </c>
      <c r="AK31" s="141">
        <f t="shared" ca="1" si="66"/>
        <v>0</v>
      </c>
      <c r="AM31" s="86">
        <f ca="1">MAX(0, SUMPRODUCT($AC31:$AK31,OFFSET(DNN!$E$9:$M$9,AM$6,0)) + OFFSET(DNN!$D$9,AM$6,0))</f>
        <v>2.0631558248247021E-3</v>
      </c>
      <c r="AN31" s="84">
        <f ca="1">MAX(0, SUMPRODUCT($AC31:$AK31,OFFSET(DNN!$E$9:$M$9,AN$6,0)) + OFFSET(DNN!$D$9,AN$6,0))</f>
        <v>0</v>
      </c>
      <c r="AO31" s="84">
        <f ca="1">MAX(0, SUMPRODUCT($AC31:$AK31,OFFSET(DNN!$E$9:$M$9,AO$6,0)) + OFFSET(DNN!$D$9,AO$6,0))</f>
        <v>2.154285938296177E-3</v>
      </c>
      <c r="AP31" s="84">
        <f ca="1">MAX(0, SUMPRODUCT($AC31:$AK31,OFFSET(DNN!$E$9:$M$9,AP$6,0)) + OFFSET(DNN!$D$9,AP$6,0))</f>
        <v>0</v>
      </c>
      <c r="AQ31" s="85">
        <f ca="1">MAX(0, SUMPRODUCT($AC31:$AK31,OFFSET(DNN!$E$9:$M$9,AQ$6,0)) + OFFSET(DNN!$D$9,AQ$6,0))</f>
        <v>1.8366060460347161E-3</v>
      </c>
      <c r="AR31" s="1"/>
      <c r="AS31" s="421">
        <f ca="1">MAX(0, SUMPRODUCT($AM31:$AQ31,OFFSET(DNN!$Q$9:$U$9,AS$6,0)) + OFFSET(DNN!$P$9,AS$6,0))</f>
        <v>4.6541703104327264E-4</v>
      </c>
      <c r="AT31" s="422">
        <f ca="1">MAX(0, SUMPRODUCT($AM31:$AQ31,OFFSET(DNN!$Q$9:$U$9,AT$6,0)) + OFFSET(DNN!$P$9,AT$6,0))</f>
        <v>0</v>
      </c>
      <c r="AU31" s="422">
        <f ca="1">MAX(0, SUMPRODUCT($AM31:$AQ31,OFFSET(DNN!$Q$9:$U$9,AU$6,0)) + OFFSET(DNN!$P$9,AU$6,0))</f>
        <v>1.2728791875745589E-3</v>
      </c>
      <c r="AV31" s="422">
        <f ca="1">MAX(0, SUMPRODUCT($AM31:$AQ31,OFFSET(DNN!$Q$9:$U$9,AV$6,0)) + OFFSET(DNN!$P$9,AV$6,0))</f>
        <v>7.9787814168382897E-4</v>
      </c>
      <c r="AW31" s="423">
        <f ca="1">MAX(0, SUMPRODUCT($AM31:$AQ31,OFFSET(DNN!$Q$9:$U$9,AW$6,0)) + OFFSET(DNN!$P$9,AW$6,0))</f>
        <v>0</v>
      </c>
      <c r="AX31" s="1"/>
      <c r="AY31" s="86">
        <f ca="1">SUMPRODUCT($AS31:$AW31,OFFSET(DNN!$Y$9:$AC$9,AY$6,0)) + OFFSET(DNN!$X$9,AY$6,0)</f>
        <v>0.43031625597189976</v>
      </c>
      <c r="AZ31" s="84">
        <f ca="1">SUMPRODUCT($AS31:$AW31,OFFSET(DNN!$Y$9:$AC$9,AZ$6,0)) + OFFSET(DNN!$X$9,AZ$6,0)</f>
        <v>-1.2608933306266211E-5</v>
      </c>
      <c r="BA31" s="84">
        <f ca="1">SUMPRODUCT($AS31:$AW31,OFFSET(DNN!$Y$9:$AC$9,BA$6,0)) + OFFSET(DNN!$X$9,BA$6,0)</f>
        <v>1.5239774842061692E-2</v>
      </c>
      <c r="BB31" s="84">
        <f ca="1">SUMPRODUCT($AS31:$AW31,OFFSET(DNN!$Y$9:$AC$9,BB$6,0)) + OFFSET(DNN!$X$9,BB$6,0)</f>
        <v>-8.8745939962467173E-4</v>
      </c>
      <c r="BC31" s="84">
        <f ca="1">SUMPRODUCT($AS31:$AW31,OFFSET(DNN!$Y$9:$AC$9,BC$6,0)) + OFFSET(DNN!$X$9,BC$6,0)</f>
        <v>-4.2360343497512535E-4</v>
      </c>
      <c r="BD31" s="84">
        <f ca="1">SUMPRODUCT($AS31:$AW31,OFFSET(DNN!$Y$9:$AC$9,BD$6,0)) + OFFSET(DNN!$X$9,BD$6,0)</f>
        <v>-1.5731478380349936E-5</v>
      </c>
      <c r="BE31" s="84">
        <f ca="1">SUMPRODUCT($AS31:$AW31,OFFSET(DNN!$Y$9:$AC$9,BE$6,0)) + OFFSET(DNN!$X$9,BE$6,0)</f>
        <v>-1.3490925317642625E-3</v>
      </c>
      <c r="BF31" s="84">
        <f ca="1">SUMPRODUCT($AS31:$AW31,OFFSET(DNN!$Y$9:$AC$9,BF$6,0)) + OFFSET(DNN!$X$9,BF$6,0)</f>
        <v>-6.2604865391920853E-2</v>
      </c>
      <c r="BG31" s="84">
        <f ca="1">SUMPRODUCT($AS31:$AW31,OFFSET(DNN!$Y$9:$AC$9,BG$6,0)) + OFFSET(DNN!$X$9,BG$6,0)</f>
        <v>8.6816048610788385E-4</v>
      </c>
      <c r="BH31" s="83">
        <f ca="1">SUMPRODUCT($AS31:$AW31,OFFSET(DNN!$Y$9:$AC$9,BH$6,0)) + OFFSET(DNN!$X$9,BH$6,0)</f>
        <v>-1.3182687295664537</v>
      </c>
      <c r="BI31" s="85">
        <f ca="1">SUMPRODUCT($AS31:$AW31,OFFSET(DNN!$Y$9:$AC$9,BI$6,0)) + OFFSET(DNN!$X$9,BI$6,0)</f>
        <v>-2.2578453539223673E-5</v>
      </c>
      <c r="BJ31" s="1"/>
      <c r="BK31" s="415">
        <f t="shared" ca="1" si="37"/>
        <v>0.43031625597189976</v>
      </c>
      <c r="BL31" s="86">
        <f t="shared" ca="1" si="67"/>
        <v>1</v>
      </c>
      <c r="BM31" s="84">
        <f t="shared" ca="1" si="68"/>
        <v>0.65029520028465959</v>
      </c>
      <c r="BN31" s="84">
        <f t="shared" ca="1" si="69"/>
        <v>0.66028977906547281</v>
      </c>
      <c r="BO31" s="84">
        <f t="shared" ca="1" si="70"/>
        <v>0.64972653800894398</v>
      </c>
      <c r="BP31" s="84">
        <f t="shared" ca="1" si="71"/>
        <v>0.65002798744814561</v>
      </c>
      <c r="BQ31" s="84">
        <f t="shared" ca="1" si="72"/>
        <v>0.65029316971175555</v>
      </c>
      <c r="BR31" s="84">
        <f t="shared" ca="1" si="73"/>
        <v>0.64942667193155224</v>
      </c>
      <c r="BS31" s="84">
        <f t="shared" ca="1" si="74"/>
        <v>0.61083944934835099</v>
      </c>
      <c r="BT31" s="85">
        <f t="shared" ca="1" si="75"/>
        <v>0.65086821271953388</v>
      </c>
      <c r="BU31" s="84">
        <f t="shared" ca="1" si="76"/>
        <v>0.17402001014639393</v>
      </c>
      <c r="BV31" s="83">
        <f t="shared" ca="1" si="77"/>
        <v>-2.2578453535386946E-5</v>
      </c>
      <c r="BX31" s="86">
        <f t="shared" ca="1" si="49"/>
        <v>6.345787018664808</v>
      </c>
      <c r="BY31" s="146">
        <f t="shared" ca="1" si="50"/>
        <v>-1.8471567536470082</v>
      </c>
      <c r="BZ31" s="103">
        <f t="shared" ca="1" si="17"/>
        <v>-2.2771446400606576</v>
      </c>
      <c r="CA31" s="103">
        <f t="shared" ca="1" si="18"/>
        <v>-2.2619070128231673</v>
      </c>
      <c r="CB31" s="103">
        <f t="shared" ca="1" si="19"/>
        <v>-2.2780186372795646</v>
      </c>
      <c r="CC31" s="103">
        <f t="shared" ca="1" si="20"/>
        <v>-2.2775552338095628</v>
      </c>
      <c r="CD31" s="103">
        <f t="shared" ca="1" si="21"/>
        <v>-2.2771477595616187</v>
      </c>
      <c r="CE31" s="103">
        <f t="shared" ca="1" si="22"/>
        <v>-2.278479819877214</v>
      </c>
      <c r="CF31" s="103">
        <f t="shared" ca="1" si="23"/>
        <v>-2.3396739283720609</v>
      </c>
      <c r="CG31" s="104">
        <f t="shared" ca="1" si="24"/>
        <v>-2.2762647289084574</v>
      </c>
      <c r="CH31" s="103">
        <f t="shared" ca="1" si="25"/>
        <v>-3.5927361646242768</v>
      </c>
      <c r="CI31" s="83">
        <f t="shared" ca="1" si="78"/>
        <v>-2.2578453535386946E-5</v>
      </c>
      <c r="CK31" s="130">
        <f t="shared" ca="1" si="79"/>
        <v>0.10638297872340426</v>
      </c>
      <c r="CL31" s="131">
        <f t="shared" ca="1" si="80"/>
        <v>0.10638297872340426</v>
      </c>
      <c r="CM31" s="131">
        <f t="shared" ca="1" si="81"/>
        <v>8.5106382978723402E-2</v>
      </c>
      <c r="CN31" s="131">
        <f t="shared" ca="1" si="82"/>
        <v>0.1276595744680851</v>
      </c>
      <c r="CO31" s="131">
        <f t="shared" ca="1" si="83"/>
        <v>0.10638297872340426</v>
      </c>
      <c r="CP31" s="131">
        <f t="shared" ca="1" si="84"/>
        <v>0.10638297872340426</v>
      </c>
      <c r="CQ31" s="131">
        <f t="shared" ca="1" si="85"/>
        <v>0.10638297872340426</v>
      </c>
      <c r="CR31" s="131">
        <f t="shared" ca="1" si="86"/>
        <v>0.1276595744680851</v>
      </c>
      <c r="CS31" s="132">
        <f t="shared" ca="1" si="87"/>
        <v>0.1276595744680851</v>
      </c>
      <c r="CT31" s="131">
        <f t="shared" ca="1" si="88"/>
        <v>0</v>
      </c>
      <c r="CU31" s="315">
        <f t="shared" ca="1" si="89"/>
        <v>1</v>
      </c>
      <c r="CW31" s="63">
        <f t="shared" ca="1" si="90"/>
        <v>2.2382721883709249</v>
      </c>
      <c r="CX31" s="64">
        <f t="shared" ca="1" si="91"/>
        <v>1.0000451574168576</v>
      </c>
      <c r="CY31" s="275">
        <f t="shared" si="56"/>
        <v>1.9274949456632443E-2</v>
      </c>
      <c r="CZ31" s="65">
        <f t="shared" ca="1" si="92"/>
        <v>3.2575922952444154</v>
      </c>
    </row>
    <row r="32" spans="3:104">
      <c r="C32" s="232">
        <f t="shared" si="55"/>
        <v>25</v>
      </c>
      <c r="D32" s="271">
        <f>IFERROR(MATCH(C32,ExperienceReplayBuffer!$B$5:$B$260,FALSE), D31)</f>
        <v>252</v>
      </c>
      <c r="E32" s="280">
        <f ca="1">OFFSET(ExperienceReplayBuffer!G$4,$D32,0)</f>
        <v>-1</v>
      </c>
      <c r="F32" s="281">
        <f ca="1">OFFSET(ExperienceReplayBuffer!H$4,$D32,0)</f>
        <v>0</v>
      </c>
      <c r="G32" s="281">
        <f ca="1">OFFSET(ExperienceReplayBuffer!I$4,$D32,0)</f>
        <v>-1</v>
      </c>
      <c r="H32" s="281">
        <f ca="1">OFFSET(ExperienceReplayBuffer!J$4,$D32,0)</f>
        <v>0</v>
      </c>
      <c r="I32" s="281">
        <f ca="1">OFFSET(ExperienceReplayBuffer!K$4,$D32,0)</f>
        <v>0</v>
      </c>
      <c r="J32" s="281">
        <f ca="1">OFFSET(ExperienceReplayBuffer!L$4,$D32,0)</f>
        <v>0</v>
      </c>
      <c r="K32" s="281">
        <f ca="1">OFFSET(ExperienceReplayBuffer!M$4,$D32,0)</f>
        <v>0</v>
      </c>
      <c r="L32" s="281">
        <f ca="1">OFFSET(ExperienceReplayBuffer!N$4,$D32,0)</f>
        <v>1</v>
      </c>
      <c r="M32" s="282">
        <f ca="1">OFFSET(ExperienceReplayBuffer!O$4,$D32,0)</f>
        <v>0</v>
      </c>
      <c r="N32" s="387">
        <f ca="1">OFFSET(ExperienceReplayBuffer!P$4,$D32,0)</f>
        <v>0</v>
      </c>
      <c r="O32" s="388">
        <f ca="1">OFFSET(ExperienceReplayBuffer!Q$4,$D32,0)</f>
        <v>0.86842105263157898</v>
      </c>
      <c r="P32" s="388">
        <f ca="1">OFFSET(ExperienceReplayBuffer!R$4,$D32,0)</f>
        <v>0</v>
      </c>
      <c r="Q32" s="388">
        <f ca="1">OFFSET(ExperienceReplayBuffer!S$4,$D32,0)</f>
        <v>2.6315789473684209E-2</v>
      </c>
      <c r="R32" s="388">
        <f ca="1">OFFSET(ExperienceReplayBuffer!T$4,$D32,0)</f>
        <v>2.6315789473684209E-2</v>
      </c>
      <c r="S32" s="388">
        <f ca="1">OFFSET(ExperienceReplayBuffer!U$4,$D32,0)</f>
        <v>2.6315789473684209E-2</v>
      </c>
      <c r="T32" s="388">
        <f ca="1">OFFSET(ExperienceReplayBuffer!V$4,$D32,0)</f>
        <v>2.6315789473684209E-2</v>
      </c>
      <c r="U32" s="388">
        <f ca="1">OFFSET(ExperienceReplayBuffer!W$4,$D32,0)</f>
        <v>0</v>
      </c>
      <c r="V32" s="389">
        <f ca="1">OFFSET(ExperienceReplayBuffer!X$4,$D32,0)</f>
        <v>2.6315789473684209E-2</v>
      </c>
      <c r="W32" s="390">
        <f ca="1">OFFSET(ExperienceReplayBuffer!Y$4,$D32,0)</f>
        <v>0</v>
      </c>
      <c r="X32" s="396">
        <f ca="1">OFFSET(ExperienceReplayBuffer!Z$4,$D32,0)</f>
        <v>1</v>
      </c>
      <c r="AC32" s="139">
        <f t="shared" ca="1" si="58"/>
        <v>-1</v>
      </c>
      <c r="AD32" s="140">
        <f t="shared" ca="1" si="59"/>
        <v>0</v>
      </c>
      <c r="AE32" s="140">
        <f t="shared" ca="1" si="60"/>
        <v>-1</v>
      </c>
      <c r="AF32" s="140">
        <f t="shared" ca="1" si="61"/>
        <v>0</v>
      </c>
      <c r="AG32" s="140">
        <f t="shared" ca="1" si="62"/>
        <v>0</v>
      </c>
      <c r="AH32" s="140">
        <f t="shared" ca="1" si="63"/>
        <v>0</v>
      </c>
      <c r="AI32" s="140">
        <f t="shared" ca="1" si="64"/>
        <v>0</v>
      </c>
      <c r="AJ32" s="140">
        <f t="shared" ca="1" si="65"/>
        <v>1</v>
      </c>
      <c r="AK32" s="141">
        <f t="shared" ca="1" si="66"/>
        <v>0</v>
      </c>
      <c r="AM32" s="86">
        <f ca="1">MAX(0, SUMPRODUCT($AC32:$AK32,OFFSET(DNN!$E$9:$M$9,AM$6,0)) + OFFSET(DNN!$D$9,AM$6,0))</f>
        <v>4.2413226085037063E-3</v>
      </c>
      <c r="AN32" s="84">
        <f ca="1">MAX(0, SUMPRODUCT($AC32:$AK32,OFFSET(DNN!$E$9:$M$9,AN$6,0)) + OFFSET(DNN!$D$9,AN$6,0))</f>
        <v>1.3333310812117852E-3</v>
      </c>
      <c r="AO32" s="84">
        <f ca="1">MAX(0, SUMPRODUCT($AC32:$AK32,OFFSET(DNN!$E$9:$M$9,AO$6,0)) + OFFSET(DNN!$D$9,AO$6,0))</f>
        <v>8.481601088865056E-3</v>
      </c>
      <c r="AP32" s="84">
        <f ca="1">MAX(0, SUMPRODUCT($AC32:$AK32,OFFSET(DNN!$E$9:$M$9,AP$6,0)) + OFFSET(DNN!$D$9,AP$6,0))</f>
        <v>0</v>
      </c>
      <c r="AQ32" s="85">
        <f ca="1">MAX(0, SUMPRODUCT($AC32:$AK32,OFFSET(DNN!$E$9:$M$9,AQ$6,0)) + OFFSET(DNN!$D$9,AQ$6,0))</f>
        <v>0</v>
      </c>
      <c r="AR32" s="1"/>
      <c r="AS32" s="421">
        <f ca="1">MAX(0, SUMPRODUCT($AM32:$AQ32,OFFSET(DNN!$Q$9:$U$9,AS$6,0)) + OFFSET(DNN!$P$9,AS$6,0))</f>
        <v>4.4959537676765723E-4</v>
      </c>
      <c r="AT32" s="422">
        <f ca="1">MAX(0, SUMPRODUCT($AM32:$AQ32,OFFSET(DNN!$Q$9:$U$9,AT$6,0)) + OFFSET(DNN!$P$9,AT$6,0))</f>
        <v>0</v>
      </c>
      <c r="AU32" s="422">
        <f ca="1">MAX(0, SUMPRODUCT($AM32:$AQ32,OFFSET(DNN!$Q$9:$U$9,AU$6,0)) + OFFSET(DNN!$P$9,AU$6,0))</f>
        <v>1.2627890517943386E-3</v>
      </c>
      <c r="AV32" s="422">
        <f ca="1">MAX(0, SUMPRODUCT($AM32:$AQ32,OFFSET(DNN!$Q$9:$U$9,AV$6,0)) + OFFSET(DNN!$P$9,AV$6,0))</f>
        <v>8.0491188814017843E-4</v>
      </c>
      <c r="AW32" s="423">
        <f ca="1">MAX(0, SUMPRODUCT($AM32:$AQ32,OFFSET(DNN!$Q$9:$U$9,AW$6,0)) + OFFSET(DNN!$P$9,AW$6,0))</f>
        <v>0</v>
      </c>
      <c r="AX32" s="1"/>
      <c r="AY32" s="86">
        <f ca="1">SUMPRODUCT($AS32:$AW32,OFFSET(DNN!$Y$9:$AC$9,AY$6,0)) + OFFSET(DNN!$X$9,AY$6,0)</f>
        <v>0.4303162472192385</v>
      </c>
      <c r="AZ32" s="84">
        <f ca="1">SUMPRODUCT($AS32:$AW32,OFFSET(DNN!$Y$9:$AC$9,AZ$6,0)) + OFFSET(DNN!$X$9,AZ$6,0)</f>
        <v>-1.2633705273565116E-5</v>
      </c>
      <c r="BA32" s="84">
        <f ca="1">SUMPRODUCT($AS32:$AW32,OFFSET(DNN!$Y$9:$AC$9,BA$6,0)) + OFFSET(DNN!$X$9,BA$6,0)</f>
        <v>1.5239816115867836E-2</v>
      </c>
      <c r="BB32" s="84">
        <f ca="1">SUMPRODUCT($AS32:$AW32,OFFSET(DNN!$Y$9:$AC$9,BB$6,0)) + OFFSET(DNN!$X$9,BB$6,0)</f>
        <v>-8.8750966441289675E-4</v>
      </c>
      <c r="BC32" s="84">
        <f ca="1">SUMPRODUCT($AS32:$AW32,OFFSET(DNN!$Y$9:$AC$9,BC$6,0)) + OFFSET(DNN!$X$9,BC$6,0)</f>
        <v>-4.2355962043068269E-4</v>
      </c>
      <c r="BD32" s="84">
        <f ca="1">SUMPRODUCT($AS32:$AW32,OFFSET(DNN!$Y$9:$AC$9,BD$6,0)) + OFFSET(DNN!$X$9,BD$6,0)</f>
        <v>-1.5709320313992935E-5</v>
      </c>
      <c r="BE32" s="84">
        <f ca="1">SUMPRODUCT($AS32:$AW32,OFFSET(DNN!$Y$9:$AC$9,BE$6,0)) + OFFSET(DNN!$X$9,BE$6,0)</f>
        <v>-1.3491245362855387E-3</v>
      </c>
      <c r="BF32" s="84">
        <f ca="1">SUMPRODUCT($AS32:$AW32,OFFSET(DNN!$Y$9:$AC$9,BF$6,0)) + OFFSET(DNN!$X$9,BF$6,0)</f>
        <v>-6.2604833739035387E-2</v>
      </c>
      <c r="BG32" s="84">
        <f ca="1">SUMPRODUCT($AS32:$AW32,OFFSET(DNN!$Y$9:$AC$9,BG$6,0)) + OFFSET(DNN!$X$9,BG$6,0)</f>
        <v>8.6812294849175978E-4</v>
      </c>
      <c r="BH32" s="83">
        <f ca="1">SUMPRODUCT($AS32:$AW32,OFFSET(DNN!$Y$9:$AC$9,BH$6,0)) + OFFSET(DNN!$X$9,BH$6,0)</f>
        <v>-1.3182687495334553</v>
      </c>
      <c r="BI32" s="85">
        <f ca="1">SUMPRODUCT($AS32:$AW32,OFFSET(DNN!$Y$9:$AC$9,BI$6,0)) + OFFSET(DNN!$X$9,BI$6,0)</f>
        <v>-2.2580946263781457E-5</v>
      </c>
      <c r="BJ32" s="1"/>
      <c r="BK32" s="415">
        <f t="shared" ca="1" si="37"/>
        <v>0.4303162472192385</v>
      </c>
      <c r="BL32" s="86">
        <f t="shared" ca="1" si="67"/>
        <v>1</v>
      </c>
      <c r="BM32" s="84">
        <f t="shared" ca="1" si="68"/>
        <v>0.65029518986738188</v>
      </c>
      <c r="BN32" s="84">
        <f t="shared" ca="1" si="69"/>
        <v>0.66028981209743876</v>
      </c>
      <c r="BO32" s="84">
        <f t="shared" ca="1" si="70"/>
        <v>0.64972651103741397</v>
      </c>
      <c r="BP32" s="84">
        <f t="shared" ca="1" si="71"/>
        <v>0.65002802161830153</v>
      </c>
      <c r="BQ32" s="84">
        <f t="shared" ca="1" si="72"/>
        <v>0.65029318981279094</v>
      </c>
      <c r="BR32" s="84">
        <f t="shared" ca="1" si="73"/>
        <v>0.64942665683117429</v>
      </c>
      <c r="BS32" s="84">
        <f t="shared" ca="1" si="74"/>
        <v>0.61083947402965333</v>
      </c>
      <c r="BT32" s="85">
        <f t="shared" ca="1" si="75"/>
        <v>0.65086819398432194</v>
      </c>
      <c r="BU32" s="84">
        <f t="shared" ca="1" si="76"/>
        <v>0.17402000819487431</v>
      </c>
      <c r="BV32" s="83">
        <f t="shared" ca="1" si="77"/>
        <v>-2.2580946259943453E-5</v>
      </c>
      <c r="BX32" s="86">
        <f t="shared" ca="1" si="49"/>
        <v>6.3457870574733519</v>
      </c>
      <c r="BY32" s="146">
        <f t="shared" ca="1" si="50"/>
        <v>-1.8471567597587688</v>
      </c>
      <c r="BZ32" s="103">
        <f t="shared" ca="1" si="17"/>
        <v>-2.2771446621740239</v>
      </c>
      <c r="CA32" s="103">
        <f t="shared" ca="1" si="18"/>
        <v>-2.2619069689544995</v>
      </c>
      <c r="CB32" s="103">
        <f t="shared" ca="1" si="19"/>
        <v>-2.278018684860859</v>
      </c>
      <c r="CC32" s="103">
        <f t="shared" ca="1" si="20"/>
        <v>-2.2775551874032995</v>
      </c>
      <c r="CD32" s="103">
        <f t="shared" ca="1" si="21"/>
        <v>-2.2771477347907028</v>
      </c>
      <c r="CE32" s="103">
        <f t="shared" ca="1" si="22"/>
        <v>-2.2784798492160454</v>
      </c>
      <c r="CF32" s="103">
        <f t="shared" ca="1" si="23"/>
        <v>-2.3396738941177389</v>
      </c>
      <c r="CG32" s="104">
        <f t="shared" ca="1" si="24"/>
        <v>-2.2762647637750577</v>
      </c>
      <c r="CH32" s="103">
        <f t="shared" ca="1" si="25"/>
        <v>-3.5927361818912908</v>
      </c>
      <c r="CI32" s="83">
        <f t="shared" ca="1" si="78"/>
        <v>-2.2580946259943453E-5</v>
      </c>
      <c r="CK32" s="130">
        <f t="shared" ca="1" si="79"/>
        <v>0</v>
      </c>
      <c r="CL32" s="131">
        <f t="shared" ca="1" si="80"/>
        <v>0.86842105263157898</v>
      </c>
      <c r="CM32" s="131">
        <f t="shared" ca="1" si="81"/>
        <v>0</v>
      </c>
      <c r="CN32" s="131">
        <f t="shared" ca="1" si="82"/>
        <v>2.6315789473684209E-2</v>
      </c>
      <c r="CO32" s="131">
        <f t="shared" ca="1" si="83"/>
        <v>2.6315789473684209E-2</v>
      </c>
      <c r="CP32" s="131">
        <f t="shared" ca="1" si="84"/>
        <v>2.6315789473684209E-2</v>
      </c>
      <c r="CQ32" s="131">
        <f t="shared" ca="1" si="85"/>
        <v>2.6315789473684209E-2</v>
      </c>
      <c r="CR32" s="131">
        <f t="shared" ca="1" si="86"/>
        <v>0</v>
      </c>
      <c r="CS32" s="132">
        <f t="shared" ca="1" si="87"/>
        <v>2.6315789473684209E-2</v>
      </c>
      <c r="CT32" s="131">
        <f t="shared" ca="1" si="88"/>
        <v>0</v>
      </c>
      <c r="CU32" s="315">
        <f t="shared" ca="1" si="89"/>
        <v>1</v>
      </c>
      <c r="CW32" s="63">
        <f t="shared" ca="1" si="90"/>
        <v>2.2771905282049669</v>
      </c>
      <c r="CX32" s="64">
        <f t="shared" ca="1" si="91"/>
        <v>1.0000451624024191</v>
      </c>
      <c r="CY32" s="275">
        <f t="shared" si="56"/>
        <v>1.9274949456632443E-2</v>
      </c>
      <c r="CZ32" s="65">
        <f t="shared" ca="1" si="92"/>
        <v>3.2965106400640187</v>
      </c>
    </row>
    <row r="33" spans="3:104">
      <c r="C33" s="232">
        <f t="shared" si="55"/>
        <v>26</v>
      </c>
      <c r="D33" s="271">
        <f>IFERROR(MATCH(C33,ExperienceReplayBuffer!$B$5:$B$260,FALSE), D32)</f>
        <v>156</v>
      </c>
      <c r="E33" s="280">
        <f ca="1">OFFSET(ExperienceReplayBuffer!G$4,$D33,0)</f>
        <v>0</v>
      </c>
      <c r="F33" s="281">
        <f ca="1">OFFSET(ExperienceReplayBuffer!H$4,$D33,0)</f>
        <v>0</v>
      </c>
      <c r="G33" s="281">
        <f ca="1">OFFSET(ExperienceReplayBuffer!I$4,$D33,0)</f>
        <v>0</v>
      </c>
      <c r="H33" s="281">
        <f ca="1">OFFSET(ExperienceReplayBuffer!J$4,$D33,0)</f>
        <v>0</v>
      </c>
      <c r="I33" s="281">
        <f ca="1">OFFSET(ExperienceReplayBuffer!K$4,$D33,0)</f>
        <v>0</v>
      </c>
      <c r="J33" s="281">
        <f ca="1">OFFSET(ExperienceReplayBuffer!L$4,$D33,0)</f>
        <v>0</v>
      </c>
      <c r="K33" s="281">
        <f ca="1">OFFSET(ExperienceReplayBuffer!M$4,$D33,0)</f>
        <v>0</v>
      </c>
      <c r="L33" s="281">
        <f ca="1">OFFSET(ExperienceReplayBuffer!N$4,$D33,0)</f>
        <v>0</v>
      </c>
      <c r="M33" s="282">
        <f ca="1">OFFSET(ExperienceReplayBuffer!O$4,$D33,0)</f>
        <v>0</v>
      </c>
      <c r="N33" s="387">
        <f ca="1">OFFSET(ExperienceReplayBuffer!P$4,$D33,0)</f>
        <v>0.1702127659574468</v>
      </c>
      <c r="O33" s="388">
        <f ca="1">OFFSET(ExperienceReplayBuffer!Q$4,$D33,0)</f>
        <v>0.10638297872340426</v>
      </c>
      <c r="P33" s="388">
        <f ca="1">OFFSET(ExperienceReplayBuffer!R$4,$D33,0)</f>
        <v>8.5106382978723402E-2</v>
      </c>
      <c r="Q33" s="388">
        <f ca="1">OFFSET(ExperienceReplayBuffer!S$4,$D33,0)</f>
        <v>0.10638297872340426</v>
      </c>
      <c r="R33" s="388">
        <f ca="1">OFFSET(ExperienceReplayBuffer!T$4,$D33,0)</f>
        <v>0.10638297872340426</v>
      </c>
      <c r="S33" s="388">
        <f ca="1">OFFSET(ExperienceReplayBuffer!U$4,$D33,0)</f>
        <v>0.10638297872340426</v>
      </c>
      <c r="T33" s="388">
        <f ca="1">OFFSET(ExperienceReplayBuffer!V$4,$D33,0)</f>
        <v>0.10638297872340426</v>
      </c>
      <c r="U33" s="388">
        <f ca="1">OFFSET(ExperienceReplayBuffer!W$4,$D33,0)</f>
        <v>0.10638297872340426</v>
      </c>
      <c r="V33" s="389">
        <f ca="1">OFFSET(ExperienceReplayBuffer!X$4,$D33,0)</f>
        <v>0.10638297872340426</v>
      </c>
      <c r="W33" s="390">
        <f ca="1">OFFSET(ExperienceReplayBuffer!Y$4,$D33,0)</f>
        <v>0</v>
      </c>
      <c r="X33" s="396">
        <f ca="1">OFFSET(ExperienceReplayBuffer!Z$4,$D33,0)</f>
        <v>0</v>
      </c>
      <c r="AC33" s="139">
        <f t="shared" ca="1" si="58"/>
        <v>0</v>
      </c>
      <c r="AD33" s="140">
        <f t="shared" ca="1" si="59"/>
        <v>0</v>
      </c>
      <c r="AE33" s="140">
        <f t="shared" ca="1" si="60"/>
        <v>0</v>
      </c>
      <c r="AF33" s="140">
        <f t="shared" ca="1" si="61"/>
        <v>0</v>
      </c>
      <c r="AG33" s="140">
        <f t="shared" ca="1" si="62"/>
        <v>0</v>
      </c>
      <c r="AH33" s="140">
        <f t="shared" ca="1" si="63"/>
        <v>0</v>
      </c>
      <c r="AI33" s="140">
        <f t="shared" ca="1" si="64"/>
        <v>0</v>
      </c>
      <c r="AJ33" s="140">
        <f t="shared" ca="1" si="65"/>
        <v>0</v>
      </c>
      <c r="AK33" s="141">
        <f t="shared" ca="1" si="66"/>
        <v>0</v>
      </c>
      <c r="AM33" s="86">
        <f ca="1">MAX(0, SUMPRODUCT($AC33:$AK33,OFFSET(DNN!$E$9:$M$9,AM$6,0)) + OFFSET(DNN!$D$9,AM$6,0))</f>
        <v>2.0631558248247021E-3</v>
      </c>
      <c r="AN33" s="84">
        <f ca="1">MAX(0, SUMPRODUCT($AC33:$AK33,OFFSET(DNN!$E$9:$M$9,AN$6,0)) + OFFSET(DNN!$D$9,AN$6,0))</f>
        <v>0</v>
      </c>
      <c r="AO33" s="84">
        <f ca="1">MAX(0, SUMPRODUCT($AC33:$AK33,OFFSET(DNN!$E$9:$M$9,AO$6,0)) + OFFSET(DNN!$D$9,AO$6,0))</f>
        <v>2.154285938296177E-3</v>
      </c>
      <c r="AP33" s="84">
        <f ca="1">MAX(0, SUMPRODUCT($AC33:$AK33,OFFSET(DNN!$E$9:$M$9,AP$6,0)) + OFFSET(DNN!$D$9,AP$6,0))</f>
        <v>0</v>
      </c>
      <c r="AQ33" s="85">
        <f ca="1">MAX(0, SUMPRODUCT($AC33:$AK33,OFFSET(DNN!$E$9:$M$9,AQ$6,0)) + OFFSET(DNN!$D$9,AQ$6,0))</f>
        <v>1.8366060460347161E-3</v>
      </c>
      <c r="AR33" s="1"/>
      <c r="AS33" s="421">
        <f ca="1">MAX(0, SUMPRODUCT($AM33:$AQ33,OFFSET(DNN!$Q$9:$U$9,AS$6,0)) + OFFSET(DNN!$P$9,AS$6,0))</f>
        <v>4.6541703104327264E-4</v>
      </c>
      <c r="AT33" s="422">
        <f ca="1">MAX(0, SUMPRODUCT($AM33:$AQ33,OFFSET(DNN!$Q$9:$U$9,AT$6,0)) + OFFSET(DNN!$P$9,AT$6,0))</f>
        <v>0</v>
      </c>
      <c r="AU33" s="422">
        <f ca="1">MAX(0, SUMPRODUCT($AM33:$AQ33,OFFSET(DNN!$Q$9:$U$9,AU$6,0)) + OFFSET(DNN!$P$9,AU$6,0))</f>
        <v>1.2728791875745589E-3</v>
      </c>
      <c r="AV33" s="422">
        <f ca="1">MAX(0, SUMPRODUCT($AM33:$AQ33,OFFSET(DNN!$Q$9:$U$9,AV$6,0)) + OFFSET(DNN!$P$9,AV$6,0))</f>
        <v>7.9787814168382897E-4</v>
      </c>
      <c r="AW33" s="423">
        <f ca="1">MAX(0, SUMPRODUCT($AM33:$AQ33,OFFSET(DNN!$Q$9:$U$9,AW$6,0)) + OFFSET(DNN!$P$9,AW$6,0))</f>
        <v>0</v>
      </c>
      <c r="AX33" s="1"/>
      <c r="AY33" s="86">
        <f ca="1">SUMPRODUCT($AS33:$AW33,OFFSET(DNN!$Y$9:$AC$9,AY$6,0)) + OFFSET(DNN!$X$9,AY$6,0)</f>
        <v>0.43031625597189976</v>
      </c>
      <c r="AZ33" s="84">
        <f ca="1">SUMPRODUCT($AS33:$AW33,OFFSET(DNN!$Y$9:$AC$9,AZ$6,0)) + OFFSET(DNN!$X$9,AZ$6,0)</f>
        <v>-1.2608933306266211E-5</v>
      </c>
      <c r="BA33" s="84">
        <f ca="1">SUMPRODUCT($AS33:$AW33,OFFSET(DNN!$Y$9:$AC$9,BA$6,0)) + OFFSET(DNN!$X$9,BA$6,0)</f>
        <v>1.5239774842061692E-2</v>
      </c>
      <c r="BB33" s="84">
        <f ca="1">SUMPRODUCT($AS33:$AW33,OFFSET(DNN!$Y$9:$AC$9,BB$6,0)) + OFFSET(DNN!$X$9,BB$6,0)</f>
        <v>-8.8745939962467173E-4</v>
      </c>
      <c r="BC33" s="84">
        <f ca="1">SUMPRODUCT($AS33:$AW33,OFFSET(DNN!$Y$9:$AC$9,BC$6,0)) + OFFSET(DNN!$X$9,BC$6,0)</f>
        <v>-4.2360343497512535E-4</v>
      </c>
      <c r="BD33" s="84">
        <f ca="1">SUMPRODUCT($AS33:$AW33,OFFSET(DNN!$Y$9:$AC$9,BD$6,0)) + OFFSET(DNN!$X$9,BD$6,0)</f>
        <v>-1.5731478380349936E-5</v>
      </c>
      <c r="BE33" s="84">
        <f ca="1">SUMPRODUCT($AS33:$AW33,OFFSET(DNN!$Y$9:$AC$9,BE$6,0)) + OFFSET(DNN!$X$9,BE$6,0)</f>
        <v>-1.3490925317642625E-3</v>
      </c>
      <c r="BF33" s="84">
        <f ca="1">SUMPRODUCT($AS33:$AW33,OFFSET(DNN!$Y$9:$AC$9,BF$6,0)) + OFFSET(DNN!$X$9,BF$6,0)</f>
        <v>-6.2604865391920853E-2</v>
      </c>
      <c r="BG33" s="84">
        <f ca="1">SUMPRODUCT($AS33:$AW33,OFFSET(DNN!$Y$9:$AC$9,BG$6,0)) + OFFSET(DNN!$X$9,BG$6,0)</f>
        <v>8.6816048610788385E-4</v>
      </c>
      <c r="BH33" s="83">
        <f ca="1">SUMPRODUCT($AS33:$AW33,OFFSET(DNN!$Y$9:$AC$9,BH$6,0)) + OFFSET(DNN!$X$9,BH$6,0)</f>
        <v>-1.3182687295664537</v>
      </c>
      <c r="BI33" s="85">
        <f ca="1">SUMPRODUCT($AS33:$AW33,OFFSET(DNN!$Y$9:$AC$9,BI$6,0)) + OFFSET(DNN!$X$9,BI$6,0)</f>
        <v>-2.2578453539223673E-5</v>
      </c>
      <c r="BJ33" s="1"/>
      <c r="BK33" s="415">
        <f t="shared" ca="1" si="37"/>
        <v>0.43031625597189976</v>
      </c>
      <c r="BL33" s="86">
        <f t="shared" ca="1" si="67"/>
        <v>1</v>
      </c>
      <c r="BM33" s="84">
        <f t="shared" ca="1" si="68"/>
        <v>0.65029520028465959</v>
      </c>
      <c r="BN33" s="84">
        <f t="shared" ca="1" si="69"/>
        <v>0.66028977906547281</v>
      </c>
      <c r="BO33" s="84">
        <f t="shared" ca="1" si="70"/>
        <v>0.64972653800894398</v>
      </c>
      <c r="BP33" s="84">
        <f t="shared" ca="1" si="71"/>
        <v>0.65002798744814561</v>
      </c>
      <c r="BQ33" s="84">
        <f t="shared" ca="1" si="72"/>
        <v>0.65029316971175555</v>
      </c>
      <c r="BR33" s="84">
        <f t="shared" ca="1" si="73"/>
        <v>0.64942667193155224</v>
      </c>
      <c r="BS33" s="84">
        <f t="shared" ca="1" si="74"/>
        <v>0.61083944934835099</v>
      </c>
      <c r="BT33" s="85">
        <f t="shared" ca="1" si="75"/>
        <v>0.65086821271953388</v>
      </c>
      <c r="BU33" s="84">
        <f t="shared" ca="1" si="76"/>
        <v>0.17402001014639393</v>
      </c>
      <c r="BV33" s="83">
        <f t="shared" ca="1" si="77"/>
        <v>-2.2578453535386946E-5</v>
      </c>
      <c r="BX33" s="86">
        <f t="shared" ca="1" si="49"/>
        <v>6.345787018664808</v>
      </c>
      <c r="BY33" s="146">
        <f t="shared" ca="1" si="50"/>
        <v>-1.8471567536470082</v>
      </c>
      <c r="BZ33" s="103">
        <f t="shared" ca="1" si="17"/>
        <v>-2.2771446400606576</v>
      </c>
      <c r="CA33" s="103">
        <f t="shared" ca="1" si="18"/>
        <v>-2.2619070128231673</v>
      </c>
      <c r="CB33" s="103">
        <f t="shared" ca="1" si="19"/>
        <v>-2.2780186372795646</v>
      </c>
      <c r="CC33" s="103">
        <f t="shared" ca="1" si="20"/>
        <v>-2.2775552338095628</v>
      </c>
      <c r="CD33" s="103">
        <f t="shared" ca="1" si="21"/>
        <v>-2.2771477595616187</v>
      </c>
      <c r="CE33" s="103">
        <f t="shared" ca="1" si="22"/>
        <v>-2.278479819877214</v>
      </c>
      <c r="CF33" s="103">
        <f t="shared" ca="1" si="23"/>
        <v>-2.3396739283720609</v>
      </c>
      <c r="CG33" s="104">
        <f t="shared" ca="1" si="24"/>
        <v>-2.2762647289084574</v>
      </c>
      <c r="CH33" s="103">
        <f t="shared" ca="1" si="25"/>
        <v>-3.5927361646242768</v>
      </c>
      <c r="CI33" s="83">
        <f t="shared" ca="1" si="78"/>
        <v>-2.2578453535386946E-5</v>
      </c>
      <c r="CK33" s="130">
        <f t="shared" ca="1" si="79"/>
        <v>0.1702127659574468</v>
      </c>
      <c r="CL33" s="131">
        <f t="shared" ca="1" si="80"/>
        <v>0.10638297872340426</v>
      </c>
      <c r="CM33" s="131">
        <f t="shared" ca="1" si="81"/>
        <v>8.5106382978723402E-2</v>
      </c>
      <c r="CN33" s="131">
        <f t="shared" ca="1" si="82"/>
        <v>0.10638297872340426</v>
      </c>
      <c r="CO33" s="131">
        <f t="shared" ca="1" si="83"/>
        <v>0.10638297872340426</v>
      </c>
      <c r="CP33" s="131">
        <f t="shared" ca="1" si="84"/>
        <v>0.10638297872340426</v>
      </c>
      <c r="CQ33" s="131">
        <f t="shared" ca="1" si="85"/>
        <v>0.10638297872340426</v>
      </c>
      <c r="CR33" s="131">
        <f t="shared" ca="1" si="86"/>
        <v>0.10638297872340426</v>
      </c>
      <c r="CS33" s="132">
        <f t="shared" ca="1" si="87"/>
        <v>0.10638297872340426</v>
      </c>
      <c r="CT33" s="131">
        <f t="shared" ca="1" si="88"/>
        <v>0</v>
      </c>
      <c r="CU33" s="315">
        <f t="shared" ca="1" si="89"/>
        <v>0</v>
      </c>
      <c r="CW33" s="63">
        <f t="shared" ca="1" si="90"/>
        <v>2.2094958685066897</v>
      </c>
      <c r="CX33" s="64">
        <f t="shared" ca="1" si="91"/>
        <v>5.0978656404962733E-10</v>
      </c>
      <c r="CY33" s="275">
        <f t="shared" si="56"/>
        <v>1.9274949456632443E-2</v>
      </c>
      <c r="CZ33" s="65">
        <f t="shared" ca="1" si="92"/>
        <v>2.2287708184731088</v>
      </c>
    </row>
    <row r="34" spans="3:104">
      <c r="C34" s="232">
        <f t="shared" si="55"/>
        <v>27</v>
      </c>
      <c r="D34" s="271">
        <f>IFERROR(MATCH(C34,ExperienceReplayBuffer!$B$5:$B$260,FALSE), D33)</f>
        <v>91</v>
      </c>
      <c r="E34" s="280">
        <f ca="1">OFFSET(ExperienceReplayBuffer!G$4,$D34,0)</f>
        <v>0</v>
      </c>
      <c r="F34" s="281">
        <f ca="1">OFFSET(ExperienceReplayBuffer!H$4,$D34,0)</f>
        <v>0</v>
      </c>
      <c r="G34" s="281">
        <f ca="1">OFFSET(ExperienceReplayBuffer!I$4,$D34,0)</f>
        <v>0</v>
      </c>
      <c r="H34" s="281">
        <f ca="1">OFFSET(ExperienceReplayBuffer!J$4,$D34,0)</f>
        <v>0</v>
      </c>
      <c r="I34" s="281">
        <f ca="1">OFFSET(ExperienceReplayBuffer!K$4,$D34,0)</f>
        <v>0</v>
      </c>
      <c r="J34" s="281">
        <f ca="1">OFFSET(ExperienceReplayBuffer!L$4,$D34,0)</f>
        <v>0</v>
      </c>
      <c r="K34" s="281">
        <f ca="1">OFFSET(ExperienceReplayBuffer!M$4,$D34,0)</f>
        <v>0</v>
      </c>
      <c r="L34" s="281">
        <f ca="1">OFFSET(ExperienceReplayBuffer!N$4,$D34,0)</f>
        <v>0</v>
      </c>
      <c r="M34" s="282">
        <f ca="1">OFFSET(ExperienceReplayBuffer!O$4,$D34,0)</f>
        <v>0</v>
      </c>
      <c r="N34" s="387">
        <f ca="1">OFFSET(ExperienceReplayBuffer!P$4,$D34,0)</f>
        <v>0.14285714285714285</v>
      </c>
      <c r="O34" s="388">
        <f ca="1">OFFSET(ExperienceReplayBuffer!Q$4,$D34,0)</f>
        <v>7.1428571428571425E-2</v>
      </c>
      <c r="P34" s="388">
        <f ca="1">OFFSET(ExperienceReplayBuffer!R$4,$D34,0)</f>
        <v>0.11904761904761904</v>
      </c>
      <c r="Q34" s="388">
        <f ca="1">OFFSET(ExperienceReplayBuffer!S$4,$D34,0)</f>
        <v>9.5238095238095233E-2</v>
      </c>
      <c r="R34" s="388">
        <f ca="1">OFFSET(ExperienceReplayBuffer!T$4,$D34,0)</f>
        <v>9.5238095238095233E-2</v>
      </c>
      <c r="S34" s="388">
        <f ca="1">OFFSET(ExperienceReplayBuffer!U$4,$D34,0)</f>
        <v>0.14285714285714285</v>
      </c>
      <c r="T34" s="388">
        <f ca="1">OFFSET(ExperienceReplayBuffer!V$4,$D34,0)</f>
        <v>9.5238095238095233E-2</v>
      </c>
      <c r="U34" s="388">
        <f ca="1">OFFSET(ExperienceReplayBuffer!W$4,$D34,0)</f>
        <v>0.14285714285714285</v>
      </c>
      <c r="V34" s="389">
        <f ca="1">OFFSET(ExperienceReplayBuffer!X$4,$D34,0)</f>
        <v>9.5238095238095233E-2</v>
      </c>
      <c r="W34" s="390">
        <f ca="1">OFFSET(ExperienceReplayBuffer!Y$4,$D34,0)</f>
        <v>0</v>
      </c>
      <c r="X34" s="396">
        <f ca="1">OFFSET(ExperienceReplayBuffer!Z$4,$D34,0)</f>
        <v>1</v>
      </c>
      <c r="AC34" s="139">
        <f t="shared" ca="1" si="58"/>
        <v>0</v>
      </c>
      <c r="AD34" s="140">
        <f t="shared" ca="1" si="59"/>
        <v>0</v>
      </c>
      <c r="AE34" s="140">
        <f t="shared" ca="1" si="60"/>
        <v>0</v>
      </c>
      <c r="AF34" s="140">
        <f t="shared" ca="1" si="61"/>
        <v>0</v>
      </c>
      <c r="AG34" s="140">
        <f t="shared" ca="1" si="62"/>
        <v>0</v>
      </c>
      <c r="AH34" s="140">
        <f t="shared" ca="1" si="63"/>
        <v>0</v>
      </c>
      <c r="AI34" s="140">
        <f t="shared" ca="1" si="64"/>
        <v>0</v>
      </c>
      <c r="AJ34" s="140">
        <f t="shared" ca="1" si="65"/>
        <v>0</v>
      </c>
      <c r="AK34" s="141">
        <f t="shared" ca="1" si="66"/>
        <v>0</v>
      </c>
      <c r="AM34" s="86">
        <f ca="1">MAX(0, SUMPRODUCT($AC34:$AK34,OFFSET(DNN!$E$9:$M$9,AM$6,0)) + OFFSET(DNN!$D$9,AM$6,0))</f>
        <v>2.0631558248247021E-3</v>
      </c>
      <c r="AN34" s="84">
        <f ca="1">MAX(0, SUMPRODUCT($AC34:$AK34,OFFSET(DNN!$E$9:$M$9,AN$6,0)) + OFFSET(DNN!$D$9,AN$6,0))</f>
        <v>0</v>
      </c>
      <c r="AO34" s="84">
        <f ca="1">MAX(0, SUMPRODUCT($AC34:$AK34,OFFSET(DNN!$E$9:$M$9,AO$6,0)) + OFFSET(DNN!$D$9,AO$6,0))</f>
        <v>2.154285938296177E-3</v>
      </c>
      <c r="AP34" s="84">
        <f ca="1">MAX(0, SUMPRODUCT($AC34:$AK34,OFFSET(DNN!$E$9:$M$9,AP$6,0)) + OFFSET(DNN!$D$9,AP$6,0))</f>
        <v>0</v>
      </c>
      <c r="AQ34" s="85">
        <f ca="1">MAX(0, SUMPRODUCT($AC34:$AK34,OFFSET(DNN!$E$9:$M$9,AQ$6,0)) + OFFSET(DNN!$D$9,AQ$6,0))</f>
        <v>1.8366060460347161E-3</v>
      </c>
      <c r="AR34" s="1"/>
      <c r="AS34" s="421">
        <f ca="1">MAX(0, SUMPRODUCT($AM34:$AQ34,OFFSET(DNN!$Q$9:$U$9,AS$6,0)) + OFFSET(DNN!$P$9,AS$6,0))</f>
        <v>4.6541703104327264E-4</v>
      </c>
      <c r="AT34" s="422">
        <f ca="1">MAX(0, SUMPRODUCT($AM34:$AQ34,OFFSET(DNN!$Q$9:$U$9,AT$6,0)) + OFFSET(DNN!$P$9,AT$6,0))</f>
        <v>0</v>
      </c>
      <c r="AU34" s="422">
        <f ca="1">MAX(0, SUMPRODUCT($AM34:$AQ34,OFFSET(DNN!$Q$9:$U$9,AU$6,0)) + OFFSET(DNN!$P$9,AU$6,0))</f>
        <v>1.2728791875745589E-3</v>
      </c>
      <c r="AV34" s="422">
        <f ca="1">MAX(0, SUMPRODUCT($AM34:$AQ34,OFFSET(DNN!$Q$9:$U$9,AV$6,0)) + OFFSET(DNN!$P$9,AV$6,0))</f>
        <v>7.9787814168382897E-4</v>
      </c>
      <c r="AW34" s="423">
        <f ca="1">MAX(0, SUMPRODUCT($AM34:$AQ34,OFFSET(DNN!$Q$9:$U$9,AW$6,0)) + OFFSET(DNN!$P$9,AW$6,0))</f>
        <v>0</v>
      </c>
      <c r="AX34" s="1"/>
      <c r="AY34" s="86">
        <f ca="1">SUMPRODUCT($AS34:$AW34,OFFSET(DNN!$Y$9:$AC$9,AY$6,0)) + OFFSET(DNN!$X$9,AY$6,0)</f>
        <v>0.43031625597189976</v>
      </c>
      <c r="AZ34" s="84">
        <f ca="1">SUMPRODUCT($AS34:$AW34,OFFSET(DNN!$Y$9:$AC$9,AZ$6,0)) + OFFSET(DNN!$X$9,AZ$6,0)</f>
        <v>-1.2608933306266211E-5</v>
      </c>
      <c r="BA34" s="84">
        <f ca="1">SUMPRODUCT($AS34:$AW34,OFFSET(DNN!$Y$9:$AC$9,BA$6,0)) + OFFSET(DNN!$X$9,BA$6,0)</f>
        <v>1.5239774842061692E-2</v>
      </c>
      <c r="BB34" s="84">
        <f ca="1">SUMPRODUCT($AS34:$AW34,OFFSET(DNN!$Y$9:$AC$9,BB$6,0)) + OFFSET(DNN!$X$9,BB$6,0)</f>
        <v>-8.8745939962467173E-4</v>
      </c>
      <c r="BC34" s="84">
        <f ca="1">SUMPRODUCT($AS34:$AW34,OFFSET(DNN!$Y$9:$AC$9,BC$6,0)) + OFFSET(DNN!$X$9,BC$6,0)</f>
        <v>-4.2360343497512535E-4</v>
      </c>
      <c r="BD34" s="84">
        <f ca="1">SUMPRODUCT($AS34:$AW34,OFFSET(DNN!$Y$9:$AC$9,BD$6,0)) + OFFSET(DNN!$X$9,BD$6,0)</f>
        <v>-1.5731478380349936E-5</v>
      </c>
      <c r="BE34" s="84">
        <f ca="1">SUMPRODUCT($AS34:$AW34,OFFSET(DNN!$Y$9:$AC$9,BE$6,0)) + OFFSET(DNN!$X$9,BE$6,0)</f>
        <v>-1.3490925317642625E-3</v>
      </c>
      <c r="BF34" s="84">
        <f ca="1">SUMPRODUCT($AS34:$AW34,OFFSET(DNN!$Y$9:$AC$9,BF$6,0)) + OFFSET(DNN!$X$9,BF$6,0)</f>
        <v>-6.2604865391920853E-2</v>
      </c>
      <c r="BG34" s="84">
        <f ca="1">SUMPRODUCT($AS34:$AW34,OFFSET(DNN!$Y$9:$AC$9,BG$6,0)) + OFFSET(DNN!$X$9,BG$6,0)</f>
        <v>8.6816048610788385E-4</v>
      </c>
      <c r="BH34" s="83">
        <f ca="1">SUMPRODUCT($AS34:$AW34,OFFSET(DNN!$Y$9:$AC$9,BH$6,0)) + OFFSET(DNN!$X$9,BH$6,0)</f>
        <v>-1.3182687295664537</v>
      </c>
      <c r="BI34" s="85">
        <f ca="1">SUMPRODUCT($AS34:$AW34,OFFSET(DNN!$Y$9:$AC$9,BI$6,0)) + OFFSET(DNN!$X$9,BI$6,0)</f>
        <v>-2.2578453539223673E-5</v>
      </c>
      <c r="BJ34" s="1"/>
      <c r="BK34" s="415">
        <f t="shared" ca="1" si="37"/>
        <v>0.43031625597189976</v>
      </c>
      <c r="BL34" s="86">
        <f t="shared" ca="1" si="67"/>
        <v>1</v>
      </c>
      <c r="BM34" s="84">
        <f t="shared" ca="1" si="68"/>
        <v>0.65029520028465959</v>
      </c>
      <c r="BN34" s="84">
        <f t="shared" ca="1" si="69"/>
        <v>0.66028977906547281</v>
      </c>
      <c r="BO34" s="84">
        <f t="shared" ca="1" si="70"/>
        <v>0.64972653800894398</v>
      </c>
      <c r="BP34" s="84">
        <f t="shared" ca="1" si="71"/>
        <v>0.65002798744814561</v>
      </c>
      <c r="BQ34" s="84">
        <f t="shared" ca="1" si="72"/>
        <v>0.65029316971175555</v>
      </c>
      <c r="BR34" s="84">
        <f t="shared" ca="1" si="73"/>
        <v>0.64942667193155224</v>
      </c>
      <c r="BS34" s="84">
        <f t="shared" ca="1" si="74"/>
        <v>0.61083944934835099</v>
      </c>
      <c r="BT34" s="85">
        <f t="shared" ca="1" si="75"/>
        <v>0.65086821271953388</v>
      </c>
      <c r="BU34" s="84">
        <f t="shared" ca="1" si="76"/>
        <v>0.17402001014639393</v>
      </c>
      <c r="BV34" s="83">
        <f t="shared" ca="1" si="77"/>
        <v>-2.2578453535386946E-5</v>
      </c>
      <c r="BX34" s="86">
        <f t="shared" ca="1" si="49"/>
        <v>6.345787018664808</v>
      </c>
      <c r="BY34" s="146">
        <f t="shared" ca="1" si="50"/>
        <v>-1.8471567536470082</v>
      </c>
      <c r="BZ34" s="103">
        <f t="shared" ca="1" si="17"/>
        <v>-2.2771446400606576</v>
      </c>
      <c r="CA34" s="103">
        <f t="shared" ca="1" si="18"/>
        <v>-2.2619070128231673</v>
      </c>
      <c r="CB34" s="103">
        <f t="shared" ca="1" si="19"/>
        <v>-2.2780186372795646</v>
      </c>
      <c r="CC34" s="103">
        <f t="shared" ca="1" si="20"/>
        <v>-2.2775552338095628</v>
      </c>
      <c r="CD34" s="103">
        <f t="shared" ca="1" si="21"/>
        <v>-2.2771477595616187</v>
      </c>
      <c r="CE34" s="103">
        <f t="shared" ca="1" si="22"/>
        <v>-2.278479819877214</v>
      </c>
      <c r="CF34" s="103">
        <f t="shared" ca="1" si="23"/>
        <v>-2.3396739283720609</v>
      </c>
      <c r="CG34" s="104">
        <f t="shared" ca="1" si="24"/>
        <v>-2.2762647289084574</v>
      </c>
      <c r="CH34" s="103">
        <f t="shared" ca="1" si="25"/>
        <v>-3.5927361646242768</v>
      </c>
      <c r="CI34" s="83">
        <f t="shared" ca="1" si="78"/>
        <v>-2.2578453535386946E-5</v>
      </c>
      <c r="CK34" s="130">
        <f t="shared" ca="1" si="79"/>
        <v>0.14285714285714285</v>
      </c>
      <c r="CL34" s="131">
        <f t="shared" ca="1" si="80"/>
        <v>7.1428571428571425E-2</v>
      </c>
      <c r="CM34" s="131">
        <f t="shared" ca="1" si="81"/>
        <v>0.11904761904761904</v>
      </c>
      <c r="CN34" s="131">
        <f t="shared" ca="1" si="82"/>
        <v>9.5238095238095233E-2</v>
      </c>
      <c r="CO34" s="131">
        <f t="shared" ca="1" si="83"/>
        <v>9.5238095238095233E-2</v>
      </c>
      <c r="CP34" s="131">
        <f t="shared" ca="1" si="84"/>
        <v>0.14285714285714285</v>
      </c>
      <c r="CQ34" s="131">
        <f t="shared" ca="1" si="85"/>
        <v>9.5238095238095233E-2</v>
      </c>
      <c r="CR34" s="131">
        <f t="shared" ca="1" si="86"/>
        <v>0.14285714285714285</v>
      </c>
      <c r="CS34" s="132">
        <f t="shared" ca="1" si="87"/>
        <v>9.5238095238095233E-2</v>
      </c>
      <c r="CT34" s="131">
        <f t="shared" ca="1" si="88"/>
        <v>0</v>
      </c>
      <c r="CU34" s="315">
        <f t="shared" ca="1" si="89"/>
        <v>1</v>
      </c>
      <c r="CW34" s="63">
        <f t="shared" ca="1" si="90"/>
        <v>2.2230026979352653</v>
      </c>
      <c r="CX34" s="64">
        <f t="shared" ca="1" si="91"/>
        <v>1.0000451574168576</v>
      </c>
      <c r="CY34" s="275">
        <f t="shared" si="56"/>
        <v>1.9274949456632443E-2</v>
      </c>
      <c r="CZ34" s="65">
        <f t="shared" ca="1" si="92"/>
        <v>3.2423228048087553</v>
      </c>
    </row>
    <row r="35" spans="3:104">
      <c r="C35" s="232">
        <f t="shared" si="55"/>
        <v>28</v>
      </c>
      <c r="D35" s="271">
        <f>IFERROR(MATCH(C35,ExperienceReplayBuffer!$B$5:$B$260,FALSE), D34)</f>
        <v>117</v>
      </c>
      <c r="E35" s="280">
        <f ca="1">OFFSET(ExperienceReplayBuffer!G$4,$D35,0)</f>
        <v>0</v>
      </c>
      <c r="F35" s="281">
        <f ca="1">OFFSET(ExperienceReplayBuffer!H$4,$D35,0)</f>
        <v>0</v>
      </c>
      <c r="G35" s="281">
        <f ca="1">OFFSET(ExperienceReplayBuffer!I$4,$D35,0)</f>
        <v>0</v>
      </c>
      <c r="H35" s="281">
        <f ca="1">OFFSET(ExperienceReplayBuffer!J$4,$D35,0)</f>
        <v>0</v>
      </c>
      <c r="I35" s="281">
        <f ca="1">OFFSET(ExperienceReplayBuffer!K$4,$D35,0)</f>
        <v>0</v>
      </c>
      <c r="J35" s="281">
        <f ca="1">OFFSET(ExperienceReplayBuffer!L$4,$D35,0)</f>
        <v>1</v>
      </c>
      <c r="K35" s="281">
        <f ca="1">OFFSET(ExperienceReplayBuffer!M$4,$D35,0)</f>
        <v>-1</v>
      </c>
      <c r="L35" s="281">
        <f ca="1">OFFSET(ExperienceReplayBuffer!N$4,$D35,0)</f>
        <v>-1</v>
      </c>
      <c r="M35" s="282">
        <f ca="1">OFFSET(ExperienceReplayBuffer!O$4,$D35,0)</f>
        <v>0</v>
      </c>
      <c r="N35" s="387">
        <f ca="1">OFFSET(ExperienceReplayBuffer!P$4,$D35,0)</f>
        <v>0.21951219512195122</v>
      </c>
      <c r="O35" s="388">
        <f ca="1">OFFSET(ExperienceReplayBuffer!Q$4,$D35,0)</f>
        <v>7.3170731707317069E-2</v>
      </c>
      <c r="P35" s="388">
        <f ca="1">OFFSET(ExperienceReplayBuffer!R$4,$D35,0)</f>
        <v>7.3170731707317069E-2</v>
      </c>
      <c r="Q35" s="388">
        <f ca="1">OFFSET(ExperienceReplayBuffer!S$4,$D35,0)</f>
        <v>0.21951219512195122</v>
      </c>
      <c r="R35" s="388">
        <f ca="1">OFFSET(ExperienceReplayBuffer!T$4,$D35,0)</f>
        <v>0.21951219512195122</v>
      </c>
      <c r="S35" s="388">
        <f ca="1">OFFSET(ExperienceReplayBuffer!U$4,$D35,0)</f>
        <v>0</v>
      </c>
      <c r="T35" s="388">
        <f ca="1">OFFSET(ExperienceReplayBuffer!V$4,$D35,0)</f>
        <v>0</v>
      </c>
      <c r="U35" s="388">
        <f ca="1">OFFSET(ExperienceReplayBuffer!W$4,$D35,0)</f>
        <v>0</v>
      </c>
      <c r="V35" s="389">
        <f ca="1">OFFSET(ExperienceReplayBuffer!X$4,$D35,0)</f>
        <v>0.1951219512195122</v>
      </c>
      <c r="W35" s="390">
        <f ca="1">OFFSET(ExperienceReplayBuffer!Y$4,$D35,0)</f>
        <v>0</v>
      </c>
      <c r="X35" s="396">
        <f ca="1">OFFSET(ExperienceReplayBuffer!Z$4,$D35,0)</f>
        <v>-1</v>
      </c>
      <c r="AC35" s="139">
        <f t="shared" ca="1" si="58"/>
        <v>0</v>
      </c>
      <c r="AD35" s="140">
        <f t="shared" ca="1" si="59"/>
        <v>0</v>
      </c>
      <c r="AE35" s="140">
        <f t="shared" ca="1" si="60"/>
        <v>0</v>
      </c>
      <c r="AF35" s="140">
        <f t="shared" ca="1" si="61"/>
        <v>0</v>
      </c>
      <c r="AG35" s="140">
        <f t="shared" ca="1" si="62"/>
        <v>0</v>
      </c>
      <c r="AH35" s="140">
        <f t="shared" ca="1" si="63"/>
        <v>1</v>
      </c>
      <c r="AI35" s="140">
        <f t="shared" ca="1" si="64"/>
        <v>-1</v>
      </c>
      <c r="AJ35" s="140">
        <f t="shared" ca="1" si="65"/>
        <v>-1</v>
      </c>
      <c r="AK35" s="141">
        <f t="shared" ca="1" si="66"/>
        <v>0</v>
      </c>
      <c r="AM35" s="86">
        <f ca="1">MAX(0, SUMPRODUCT($AC35:$AK35,OFFSET(DNN!$E$9:$M$9,AM$6,0)) + OFFSET(DNN!$D$9,AM$6,0))</f>
        <v>0</v>
      </c>
      <c r="AN35" s="84">
        <f ca="1">MAX(0, SUMPRODUCT($AC35:$AK35,OFFSET(DNN!$E$9:$M$9,AN$6,0)) + OFFSET(DNN!$D$9,AN$6,0))</f>
        <v>3.8380681365187772E-3</v>
      </c>
      <c r="AO35" s="84">
        <f ca="1">MAX(0, SUMPRODUCT($AC35:$AK35,OFFSET(DNN!$E$9:$M$9,AO$6,0)) + OFFSET(DNN!$D$9,AO$6,0))</f>
        <v>1.2986674331981821E-4</v>
      </c>
      <c r="AP35" s="84">
        <f ca="1">MAX(0, SUMPRODUCT($AC35:$AK35,OFFSET(DNN!$E$9:$M$9,AP$6,0)) + OFFSET(DNN!$D$9,AP$6,0))</f>
        <v>0</v>
      </c>
      <c r="AQ35" s="85">
        <f ca="1">MAX(0, SUMPRODUCT($AC35:$AK35,OFFSET(DNN!$E$9:$M$9,AQ$6,0)) + OFFSET(DNN!$D$9,AQ$6,0))</f>
        <v>2.8320097877899898E-3</v>
      </c>
      <c r="AR35" s="1"/>
      <c r="AS35" s="421">
        <f ca="1">MAX(0, SUMPRODUCT($AM35:$AQ35,OFFSET(DNN!$Q$9:$U$9,AS$6,0)) + OFFSET(DNN!$P$9,AS$6,0))</f>
        <v>4.6006397248968923E-4</v>
      </c>
      <c r="AT35" s="422">
        <f ca="1">MAX(0, SUMPRODUCT($AM35:$AQ35,OFFSET(DNN!$Q$9:$U$9,AT$6,0)) + OFFSET(DNN!$P$9,AT$6,0))</f>
        <v>0</v>
      </c>
      <c r="AU35" s="422">
        <f ca="1">MAX(0, SUMPRODUCT($AM35:$AQ35,OFFSET(DNN!$Q$9:$U$9,AU$6,0)) + OFFSET(DNN!$P$9,AU$6,0))</f>
        <v>1.2833445640744201E-3</v>
      </c>
      <c r="AV35" s="422">
        <f ca="1">MAX(0, SUMPRODUCT($AM35:$AQ35,OFFSET(DNN!$Q$9:$U$9,AV$6,0)) + OFFSET(DNN!$P$9,AV$6,0))</f>
        <v>7.8480839024608752E-4</v>
      </c>
      <c r="AW35" s="423">
        <f ca="1">MAX(0, SUMPRODUCT($AM35:$AQ35,OFFSET(DNN!$Q$9:$U$9,AW$6,0)) + OFFSET(DNN!$P$9,AW$6,0))</f>
        <v>0</v>
      </c>
      <c r="AX35" s="1"/>
      <c r="AY35" s="86">
        <f ca="1">SUMPRODUCT($AS35:$AW35,OFFSET(DNN!$Y$9:$AC$9,AY$6,0)) + OFFSET(DNN!$X$9,AY$6,0)</f>
        <v>0.43031622234300809</v>
      </c>
      <c r="AZ35" s="84">
        <f ca="1">SUMPRODUCT($AS35:$AW35,OFFSET(DNN!$Y$9:$AC$9,AZ$6,0)) + OFFSET(DNN!$X$9,AZ$6,0)</f>
        <v>-1.2612931202853073E-5</v>
      </c>
      <c r="BA35" s="84">
        <f ca="1">SUMPRODUCT($AS35:$AW35,OFFSET(DNN!$Y$9:$AC$9,BA$6,0)) + OFFSET(DNN!$X$9,BA$6,0)</f>
        <v>1.5239760134613955E-2</v>
      </c>
      <c r="BB35" s="84">
        <f ca="1">SUMPRODUCT($AS35:$AW35,OFFSET(DNN!$Y$9:$AC$9,BB$6,0)) + OFFSET(DNN!$X$9,BB$6,0)</f>
        <v>-8.8744932247424978E-4</v>
      </c>
      <c r="BC35" s="84">
        <f ca="1">SUMPRODUCT($AS35:$AW35,OFFSET(DNN!$Y$9:$AC$9,BC$6,0)) + OFFSET(DNN!$X$9,BC$6,0)</f>
        <v>-4.2361769847420972E-4</v>
      </c>
      <c r="BD35" s="84">
        <f ca="1">SUMPRODUCT($AS35:$AW35,OFFSET(DNN!$Y$9:$AC$9,BD$6,0)) + OFFSET(DNN!$X$9,BD$6,0)</f>
        <v>-1.5751185565918685E-5</v>
      </c>
      <c r="BE35" s="84">
        <f ca="1">SUMPRODUCT($AS35:$AW35,OFFSET(DNN!$Y$9:$AC$9,BE$6,0)) + OFFSET(DNN!$X$9,BE$6,0)</f>
        <v>-1.3491051055202182E-3</v>
      </c>
      <c r="BF35" s="84">
        <f ca="1">SUMPRODUCT($AS35:$AW35,OFFSET(DNN!$Y$9:$AC$9,BF$6,0)) + OFFSET(DNN!$X$9,BF$6,0)</f>
        <v>-6.2604852202844841E-2</v>
      </c>
      <c r="BG35" s="84">
        <f ca="1">SUMPRODUCT($AS35:$AW35,OFFSET(DNN!$Y$9:$AC$9,BG$6,0)) + OFFSET(DNN!$X$9,BG$6,0)</f>
        <v>8.6814724322776572E-4</v>
      </c>
      <c r="BH35" s="83">
        <f ca="1">SUMPRODUCT($AS35:$AW35,OFFSET(DNN!$Y$9:$AC$9,BH$6,0)) + OFFSET(DNN!$X$9,BH$6,0)</f>
        <v>-1.318268734410843</v>
      </c>
      <c r="BI35" s="85">
        <f ca="1">SUMPRODUCT($AS35:$AW35,OFFSET(DNN!$Y$9:$AC$9,BI$6,0)) + OFFSET(DNN!$X$9,BI$6,0)</f>
        <v>-2.2552056661615372E-5</v>
      </c>
      <c r="BJ35" s="1"/>
      <c r="BK35" s="415">
        <f t="shared" ca="1" si="37"/>
        <v>0.43031622234300809</v>
      </c>
      <c r="BL35" s="86">
        <f t="shared" ca="1" si="67"/>
        <v>1</v>
      </c>
      <c r="BM35" s="84">
        <f t="shared" ca="1" si="68"/>
        <v>0.65029521955355374</v>
      </c>
      <c r="BN35" s="84">
        <f t="shared" ca="1" si="69"/>
        <v>0.66028979155910894</v>
      </c>
      <c r="BO35" s="84">
        <f t="shared" ca="1" si="70"/>
        <v>0.64972656640591997</v>
      </c>
      <c r="BP35" s="84">
        <f t="shared" ca="1" si="71"/>
        <v>0.65002800003619299</v>
      </c>
      <c r="BQ35" s="84">
        <f t="shared" ca="1" si="72"/>
        <v>0.65029317876494597</v>
      </c>
      <c r="BR35" s="84">
        <f t="shared" ca="1" si="73"/>
        <v>0.64942668560531902</v>
      </c>
      <c r="BS35" s="84">
        <f t="shared" ca="1" si="74"/>
        <v>0.6108394779466132</v>
      </c>
      <c r="BT35" s="85">
        <f t="shared" ca="1" si="75"/>
        <v>0.65086822598814087</v>
      </c>
      <c r="BU35" s="84">
        <f t="shared" ca="1" si="76"/>
        <v>0.17402001515547338</v>
      </c>
      <c r="BV35" s="83">
        <f t="shared" ca="1" si="77"/>
        <v>-2.2552056657792082E-5</v>
      </c>
      <c r="BX35" s="86">
        <f t="shared" ca="1" si="49"/>
        <v>6.3457871610152701</v>
      </c>
      <c r="BY35" s="146">
        <f t="shared" ca="1" si="50"/>
        <v>-1.8471567760650605</v>
      </c>
      <c r="BZ35" s="103">
        <f t="shared" ca="1" si="17"/>
        <v>-2.2771446328689584</v>
      </c>
      <c r="CA35" s="103">
        <f t="shared" ca="1" si="18"/>
        <v>-2.261907016330631</v>
      </c>
      <c r="CB35" s="103">
        <f t="shared" ca="1" si="19"/>
        <v>-2.2780186160265585</v>
      </c>
      <c r="CC35" s="103">
        <f t="shared" ca="1" si="20"/>
        <v>-2.2775552368734573</v>
      </c>
      <c r="CD35" s="103">
        <f t="shared" ca="1" si="21"/>
        <v>-2.2771477680638941</v>
      </c>
      <c r="CE35" s="103">
        <f t="shared" ca="1" si="22"/>
        <v>-2.2784798212530122</v>
      </c>
      <c r="CF35" s="103">
        <f t="shared" ca="1" si="23"/>
        <v>-2.3396739040116783</v>
      </c>
      <c r="CG35" s="104">
        <f t="shared" ca="1" si="24"/>
        <v>-2.2762647309527311</v>
      </c>
      <c r="CH35" s="103">
        <f t="shared" ca="1" si="25"/>
        <v>-3.5927361582951329</v>
      </c>
      <c r="CI35" s="83">
        <f t="shared" ca="1" si="78"/>
        <v>-2.2552056657792082E-5</v>
      </c>
      <c r="CK35" s="130">
        <f t="shared" ca="1" si="79"/>
        <v>0.21951219512195122</v>
      </c>
      <c r="CL35" s="131">
        <f t="shared" ca="1" si="80"/>
        <v>7.3170731707317069E-2</v>
      </c>
      <c r="CM35" s="131">
        <f t="shared" ca="1" si="81"/>
        <v>7.3170731707317069E-2</v>
      </c>
      <c r="CN35" s="131">
        <f t="shared" ca="1" si="82"/>
        <v>0.21951219512195122</v>
      </c>
      <c r="CO35" s="131">
        <f t="shared" ca="1" si="83"/>
        <v>0.21951219512195122</v>
      </c>
      <c r="CP35" s="131">
        <f t="shared" ca="1" si="84"/>
        <v>0</v>
      </c>
      <c r="CQ35" s="131">
        <f t="shared" ca="1" si="85"/>
        <v>0</v>
      </c>
      <c r="CR35" s="131">
        <f t="shared" ca="1" si="86"/>
        <v>0</v>
      </c>
      <c r="CS35" s="132">
        <f t="shared" ca="1" si="87"/>
        <v>0.1951219512195122</v>
      </c>
      <c r="CT35" s="131">
        <f t="shared" ca="1" si="88"/>
        <v>0</v>
      </c>
      <c r="CU35" s="315">
        <f t="shared" ca="1" si="89"/>
        <v>-1</v>
      </c>
      <c r="CW35" s="63">
        <f t="shared" ca="1" si="90"/>
        <v>2.1817524013635685</v>
      </c>
      <c r="CX35" s="64">
        <f t="shared" ca="1" si="91"/>
        <v>0.99995489639527968</v>
      </c>
      <c r="CY35" s="275">
        <f t="shared" si="56"/>
        <v>1.9274949456632443E-2</v>
      </c>
      <c r="CZ35" s="65">
        <f t="shared" ca="1" si="92"/>
        <v>3.2009822472154807</v>
      </c>
    </row>
    <row r="36" spans="3:104" ht="18" thickBot="1">
      <c r="C36" s="233">
        <f t="shared" si="55"/>
        <v>29</v>
      </c>
      <c r="D36" s="272">
        <f>IFERROR(MATCH(C36,ExperienceReplayBuffer!$B$5:$B$260,FALSE), D35)</f>
        <v>102</v>
      </c>
      <c r="E36" s="283">
        <f ca="1">OFFSET(ExperienceReplayBuffer!G$4,$D36,0)</f>
        <v>0</v>
      </c>
      <c r="F36" s="284">
        <f ca="1">OFFSET(ExperienceReplayBuffer!H$4,$D36,0)</f>
        <v>0</v>
      </c>
      <c r="G36" s="284">
        <f ca="1">OFFSET(ExperienceReplayBuffer!I$4,$D36,0)</f>
        <v>0</v>
      </c>
      <c r="H36" s="284">
        <f ca="1">OFFSET(ExperienceReplayBuffer!J$4,$D36,0)</f>
        <v>0</v>
      </c>
      <c r="I36" s="284">
        <f ca="1">OFFSET(ExperienceReplayBuffer!K$4,$D36,0)</f>
        <v>0</v>
      </c>
      <c r="J36" s="284">
        <f ca="1">OFFSET(ExperienceReplayBuffer!L$4,$D36,0)</f>
        <v>0</v>
      </c>
      <c r="K36" s="284">
        <f ca="1">OFFSET(ExperienceReplayBuffer!M$4,$D36,0)</f>
        <v>0</v>
      </c>
      <c r="L36" s="284">
        <f ca="1">OFFSET(ExperienceReplayBuffer!N$4,$D36,0)</f>
        <v>0</v>
      </c>
      <c r="M36" s="285">
        <f ca="1">OFFSET(ExperienceReplayBuffer!O$4,$D36,0)</f>
        <v>0</v>
      </c>
      <c r="N36" s="391">
        <f ca="1">OFFSET(ExperienceReplayBuffer!P$4,$D36,0)</f>
        <v>0.14285714285714285</v>
      </c>
      <c r="O36" s="392">
        <f ca="1">OFFSET(ExperienceReplayBuffer!Q$4,$D36,0)</f>
        <v>0.11904761904761904</v>
      </c>
      <c r="P36" s="392">
        <f ca="1">OFFSET(ExperienceReplayBuffer!R$4,$D36,0)</f>
        <v>7.1428571428571425E-2</v>
      </c>
      <c r="Q36" s="392">
        <f ca="1">OFFSET(ExperienceReplayBuffer!S$4,$D36,0)</f>
        <v>9.5238095238095233E-2</v>
      </c>
      <c r="R36" s="392">
        <f ca="1">OFFSET(ExperienceReplayBuffer!T$4,$D36,0)</f>
        <v>9.5238095238095233E-2</v>
      </c>
      <c r="S36" s="392">
        <f ca="1">OFFSET(ExperienceReplayBuffer!U$4,$D36,0)</f>
        <v>0.11904761904761904</v>
      </c>
      <c r="T36" s="392">
        <f ca="1">OFFSET(ExperienceReplayBuffer!V$4,$D36,0)</f>
        <v>0.11904761904761904</v>
      </c>
      <c r="U36" s="392">
        <f ca="1">OFFSET(ExperienceReplayBuffer!W$4,$D36,0)</f>
        <v>0.14285714285714285</v>
      </c>
      <c r="V36" s="393">
        <f ca="1">OFFSET(ExperienceReplayBuffer!X$4,$D36,0)</f>
        <v>9.5238095238095233E-2</v>
      </c>
      <c r="W36" s="394">
        <f ca="1">OFFSET(ExperienceReplayBuffer!Y$4,$D36,0)</f>
        <v>0</v>
      </c>
      <c r="X36" s="397">
        <f ca="1">OFFSET(ExperienceReplayBuffer!Z$4,$D36,0)</f>
        <v>1</v>
      </c>
      <c r="AC36" s="142">
        <f t="shared" ca="1" si="58"/>
        <v>0</v>
      </c>
      <c r="AD36" s="143">
        <f t="shared" ca="1" si="59"/>
        <v>0</v>
      </c>
      <c r="AE36" s="143">
        <f t="shared" ca="1" si="60"/>
        <v>0</v>
      </c>
      <c r="AF36" s="143">
        <f t="shared" ca="1" si="61"/>
        <v>0</v>
      </c>
      <c r="AG36" s="143">
        <f t="shared" ca="1" si="62"/>
        <v>0</v>
      </c>
      <c r="AH36" s="143">
        <f t="shared" ca="1" si="63"/>
        <v>0</v>
      </c>
      <c r="AI36" s="143">
        <f t="shared" ca="1" si="64"/>
        <v>0</v>
      </c>
      <c r="AJ36" s="143">
        <f t="shared" ca="1" si="65"/>
        <v>0</v>
      </c>
      <c r="AK36" s="144">
        <f t="shared" ca="1" si="66"/>
        <v>0</v>
      </c>
      <c r="AM36" s="91">
        <f ca="1">MAX(0, SUMPRODUCT($AC36:$AK36,OFFSET(DNN!$E$9:$M$9,AM$6,0)) + OFFSET(DNN!$D$9,AM$6,0))</f>
        <v>2.0631558248247021E-3</v>
      </c>
      <c r="AN36" s="89">
        <f ca="1">MAX(0, SUMPRODUCT($AC36:$AK36,OFFSET(DNN!$E$9:$M$9,AN$6,0)) + OFFSET(DNN!$D$9,AN$6,0))</f>
        <v>0</v>
      </c>
      <c r="AO36" s="89">
        <f ca="1">MAX(0, SUMPRODUCT($AC36:$AK36,OFFSET(DNN!$E$9:$M$9,AO$6,0)) + OFFSET(DNN!$D$9,AO$6,0))</f>
        <v>2.154285938296177E-3</v>
      </c>
      <c r="AP36" s="89">
        <f ca="1">MAX(0, SUMPRODUCT($AC36:$AK36,OFFSET(DNN!$E$9:$M$9,AP$6,0)) + OFFSET(DNN!$D$9,AP$6,0))</f>
        <v>0</v>
      </c>
      <c r="AQ36" s="90">
        <f ca="1">MAX(0, SUMPRODUCT($AC36:$AK36,OFFSET(DNN!$E$9:$M$9,AQ$6,0)) + OFFSET(DNN!$D$9,AQ$6,0))</f>
        <v>1.8366060460347161E-3</v>
      </c>
      <c r="AR36" s="1"/>
      <c r="AS36" s="424">
        <f ca="1">MAX(0, SUMPRODUCT($AM36:$AQ36,OFFSET(DNN!$Q$9:$U$9,AS$6,0)) + OFFSET(DNN!$P$9,AS$6,0))</f>
        <v>4.6541703104327264E-4</v>
      </c>
      <c r="AT36" s="425">
        <f ca="1">MAX(0, SUMPRODUCT($AM36:$AQ36,OFFSET(DNN!$Q$9:$U$9,AT$6,0)) + OFFSET(DNN!$P$9,AT$6,0))</f>
        <v>0</v>
      </c>
      <c r="AU36" s="425">
        <f ca="1">MAX(0, SUMPRODUCT($AM36:$AQ36,OFFSET(DNN!$Q$9:$U$9,AU$6,0)) + OFFSET(DNN!$P$9,AU$6,0))</f>
        <v>1.2728791875745589E-3</v>
      </c>
      <c r="AV36" s="425">
        <f ca="1">MAX(0, SUMPRODUCT($AM36:$AQ36,OFFSET(DNN!$Q$9:$U$9,AV$6,0)) + OFFSET(DNN!$P$9,AV$6,0))</f>
        <v>7.9787814168382897E-4</v>
      </c>
      <c r="AW36" s="426">
        <f ca="1">MAX(0, SUMPRODUCT($AM36:$AQ36,OFFSET(DNN!$Q$9:$U$9,AW$6,0)) + OFFSET(DNN!$P$9,AW$6,0))</f>
        <v>0</v>
      </c>
      <c r="AX36" s="1"/>
      <c r="AY36" s="91">
        <f ca="1">SUMPRODUCT($AS36:$AW36,OFFSET(DNN!$Y$9:$AC$9,AY$6,0)) + OFFSET(DNN!$X$9,AY$6,0)</f>
        <v>0.43031625597189976</v>
      </c>
      <c r="AZ36" s="89">
        <f ca="1">SUMPRODUCT($AS36:$AW36,OFFSET(DNN!$Y$9:$AC$9,AZ$6,0)) + OFFSET(DNN!$X$9,AZ$6,0)</f>
        <v>-1.2608933306266211E-5</v>
      </c>
      <c r="BA36" s="89">
        <f ca="1">SUMPRODUCT($AS36:$AW36,OFFSET(DNN!$Y$9:$AC$9,BA$6,0)) + OFFSET(DNN!$X$9,BA$6,0)</f>
        <v>1.5239774842061692E-2</v>
      </c>
      <c r="BB36" s="89">
        <f ca="1">SUMPRODUCT($AS36:$AW36,OFFSET(DNN!$Y$9:$AC$9,BB$6,0)) + OFFSET(DNN!$X$9,BB$6,0)</f>
        <v>-8.8745939962467173E-4</v>
      </c>
      <c r="BC36" s="89">
        <f ca="1">SUMPRODUCT($AS36:$AW36,OFFSET(DNN!$Y$9:$AC$9,BC$6,0)) + OFFSET(DNN!$X$9,BC$6,0)</f>
        <v>-4.2360343497512535E-4</v>
      </c>
      <c r="BD36" s="89">
        <f ca="1">SUMPRODUCT($AS36:$AW36,OFFSET(DNN!$Y$9:$AC$9,BD$6,0)) + OFFSET(DNN!$X$9,BD$6,0)</f>
        <v>-1.5731478380349936E-5</v>
      </c>
      <c r="BE36" s="89">
        <f ca="1">SUMPRODUCT($AS36:$AW36,OFFSET(DNN!$Y$9:$AC$9,BE$6,0)) + OFFSET(DNN!$X$9,BE$6,0)</f>
        <v>-1.3490925317642625E-3</v>
      </c>
      <c r="BF36" s="89">
        <f ca="1">SUMPRODUCT($AS36:$AW36,OFFSET(DNN!$Y$9:$AC$9,BF$6,0)) + OFFSET(DNN!$X$9,BF$6,0)</f>
        <v>-6.2604865391920853E-2</v>
      </c>
      <c r="BG36" s="89">
        <f ca="1">SUMPRODUCT($AS36:$AW36,OFFSET(DNN!$Y$9:$AC$9,BG$6,0)) + OFFSET(DNN!$X$9,BG$6,0)</f>
        <v>8.6816048610788385E-4</v>
      </c>
      <c r="BH36" s="88">
        <f ca="1">SUMPRODUCT($AS36:$AW36,OFFSET(DNN!$Y$9:$AC$9,BH$6,0)) + OFFSET(DNN!$X$9,BH$6,0)</f>
        <v>-1.3182687295664537</v>
      </c>
      <c r="BI36" s="90">
        <f ca="1">SUMPRODUCT($AS36:$AW36,OFFSET(DNN!$Y$9:$AC$9,BI$6,0)) + OFFSET(DNN!$X$9,BI$6,0)</f>
        <v>-2.2578453539223673E-5</v>
      </c>
      <c r="BJ36" s="1"/>
      <c r="BK36" s="416">
        <f t="shared" ca="1" si="37"/>
        <v>0.43031625597189976</v>
      </c>
      <c r="BL36" s="91">
        <f t="shared" ca="1" si="67"/>
        <v>1</v>
      </c>
      <c r="BM36" s="89">
        <f t="shared" ca="1" si="68"/>
        <v>0.65029520028465959</v>
      </c>
      <c r="BN36" s="89">
        <f t="shared" ca="1" si="69"/>
        <v>0.66028977906547281</v>
      </c>
      <c r="BO36" s="89">
        <f t="shared" ca="1" si="70"/>
        <v>0.64972653800894398</v>
      </c>
      <c r="BP36" s="89">
        <f t="shared" ca="1" si="71"/>
        <v>0.65002798744814561</v>
      </c>
      <c r="BQ36" s="89">
        <f t="shared" ca="1" si="72"/>
        <v>0.65029316971175555</v>
      </c>
      <c r="BR36" s="89">
        <f t="shared" ca="1" si="73"/>
        <v>0.64942667193155224</v>
      </c>
      <c r="BS36" s="89">
        <f t="shared" ca="1" si="74"/>
        <v>0.61083944934835099</v>
      </c>
      <c r="BT36" s="90">
        <f t="shared" ca="1" si="75"/>
        <v>0.65086821271953388</v>
      </c>
      <c r="BU36" s="89">
        <f t="shared" ca="1" si="76"/>
        <v>0.17402001014639393</v>
      </c>
      <c r="BV36" s="88">
        <f t="shared" ca="1" si="77"/>
        <v>-2.2578453535386946E-5</v>
      </c>
      <c r="BX36" s="91">
        <f t="shared" ca="1" si="49"/>
        <v>6.345787018664808</v>
      </c>
      <c r="BY36" s="147">
        <f t="shared" ca="1" si="50"/>
        <v>-1.8471567536470082</v>
      </c>
      <c r="BZ36" s="105">
        <f t="shared" ca="1" si="17"/>
        <v>-2.2771446400606576</v>
      </c>
      <c r="CA36" s="105">
        <f t="shared" ca="1" si="18"/>
        <v>-2.2619070128231673</v>
      </c>
      <c r="CB36" s="105">
        <f t="shared" ca="1" si="19"/>
        <v>-2.2780186372795646</v>
      </c>
      <c r="CC36" s="105">
        <f t="shared" ca="1" si="20"/>
        <v>-2.2775552338095628</v>
      </c>
      <c r="CD36" s="105">
        <f t="shared" ca="1" si="21"/>
        <v>-2.2771477595616187</v>
      </c>
      <c r="CE36" s="105">
        <f t="shared" ca="1" si="22"/>
        <v>-2.278479819877214</v>
      </c>
      <c r="CF36" s="105">
        <f t="shared" ca="1" si="23"/>
        <v>-2.3396739283720609</v>
      </c>
      <c r="CG36" s="106">
        <f t="shared" ca="1" si="24"/>
        <v>-2.2762647289084574</v>
      </c>
      <c r="CH36" s="105">
        <f t="shared" ca="1" si="25"/>
        <v>-3.5927361646242768</v>
      </c>
      <c r="CI36" s="88">
        <f t="shared" ca="1" si="78"/>
        <v>-2.2578453535386946E-5</v>
      </c>
      <c r="CK36" s="133">
        <f t="shared" ca="1" si="79"/>
        <v>0.14285714285714285</v>
      </c>
      <c r="CL36" s="134">
        <f t="shared" ca="1" si="80"/>
        <v>0.11904761904761904</v>
      </c>
      <c r="CM36" s="134">
        <f t="shared" ca="1" si="81"/>
        <v>7.1428571428571425E-2</v>
      </c>
      <c r="CN36" s="134">
        <f t="shared" ca="1" si="82"/>
        <v>9.5238095238095233E-2</v>
      </c>
      <c r="CO36" s="134">
        <f t="shared" ca="1" si="83"/>
        <v>9.5238095238095233E-2</v>
      </c>
      <c r="CP36" s="134">
        <f t="shared" ca="1" si="84"/>
        <v>0.11904761904761904</v>
      </c>
      <c r="CQ36" s="134">
        <f t="shared" ca="1" si="85"/>
        <v>0.11904761904761904</v>
      </c>
      <c r="CR36" s="134">
        <f t="shared" ca="1" si="86"/>
        <v>0.14285714285714285</v>
      </c>
      <c r="CS36" s="135">
        <f t="shared" ca="1" si="87"/>
        <v>9.5238095238095233E-2</v>
      </c>
      <c r="CT36" s="134">
        <f t="shared" ca="1" si="88"/>
        <v>0</v>
      </c>
      <c r="CU36" s="316">
        <f t="shared" ca="1" si="89"/>
        <v>1</v>
      </c>
      <c r="CW36" s="66">
        <f t="shared" ca="1" si="90"/>
        <v>2.2237600149540881</v>
      </c>
      <c r="CX36" s="67">
        <f t="shared" ca="1" si="91"/>
        <v>1.0000451574168576</v>
      </c>
      <c r="CY36" s="276">
        <f t="shared" si="56"/>
        <v>1.9274949456632443E-2</v>
      </c>
      <c r="CZ36" s="68">
        <f t="shared" ca="1" si="92"/>
        <v>3.2430801218275782</v>
      </c>
    </row>
  </sheetData>
  <mergeCells count="2">
    <mergeCell ref="E5:M5"/>
    <mergeCell ref="N5:W5"/>
  </mergeCells>
  <phoneticPr fontId="2"/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05560-080E-4FC4-BAD5-D7EFA3A4CC95}">
  <sheetPr codeName="Sheet4">
    <tabColor theme="0" tint="-0.499984740745262"/>
  </sheetPr>
  <dimension ref="A1:C4"/>
  <sheetViews>
    <sheetView workbookViewId="0">
      <selection activeCell="D5" sqref="D5"/>
    </sheetView>
  </sheetViews>
  <sheetFormatPr defaultColWidth="8.8125" defaultRowHeight="17.649999999999999"/>
  <sheetData>
    <row r="1" spans="1:3" ht="18" thickBot="1">
      <c r="A1" s="75" t="s">
        <v>120</v>
      </c>
      <c r="B1" s="110" t="s">
        <v>64</v>
      </c>
      <c r="C1" s="75" t="s">
        <v>120</v>
      </c>
    </row>
    <row r="2" spans="1:3">
      <c r="A2" s="22" t="s">
        <v>17</v>
      </c>
      <c r="B2" s="221">
        <v>1</v>
      </c>
      <c r="C2" s="22" t="s">
        <v>17</v>
      </c>
    </row>
    <row r="3" spans="1:3">
      <c r="A3" s="22" t="s">
        <v>18</v>
      </c>
      <c r="B3" s="221">
        <v>-1</v>
      </c>
      <c r="C3" s="22" t="s">
        <v>18</v>
      </c>
    </row>
    <row r="4" spans="1:3" ht="18" thickBot="1">
      <c r="A4" s="163" t="s">
        <v>19</v>
      </c>
      <c r="B4" s="237">
        <v>0</v>
      </c>
      <c r="C4" s="163" t="s">
        <v>19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15</vt:i4>
      </vt:variant>
    </vt:vector>
  </HeadingPairs>
  <TitlesOfParts>
    <vt:vector size="23" baseType="lpstr">
      <vt:lpstr>IO</vt:lpstr>
      <vt:lpstr>Random</vt:lpstr>
      <vt:lpstr>AlphaZero</vt:lpstr>
      <vt:lpstr>DNN</vt:lpstr>
      <vt:lpstr>MCTS</vt:lpstr>
      <vt:lpstr>ExperienceReplayBuffer</vt:lpstr>
      <vt:lpstr>miniBatch</vt:lpstr>
      <vt:lpstr>cvt</vt:lpstr>
      <vt:lpstr>AlphaZero!_action</vt:lpstr>
      <vt:lpstr>IO!_action</vt:lpstr>
      <vt:lpstr>Random!_action</vt:lpstr>
      <vt:lpstr>DNN!_DNN</vt:lpstr>
      <vt:lpstr>DNN!_DNN_parameter</vt:lpstr>
      <vt:lpstr>IO!_done</vt:lpstr>
      <vt:lpstr>ExperienceReplayBuffer!_head</vt:lpstr>
      <vt:lpstr>DNN!_objective</vt:lpstr>
      <vt:lpstr>ExperienceReplayBuffer!_random_head</vt:lpstr>
      <vt:lpstr>IO!_result</vt:lpstr>
      <vt:lpstr>ExperienceReplayBuffer!_result_original</vt:lpstr>
      <vt:lpstr>IO!_state_current</vt:lpstr>
      <vt:lpstr>IO!_state_next</vt:lpstr>
      <vt:lpstr>AlphaZero!_tau</vt:lpstr>
      <vt:lpstr>AlphaZero!_to_ExpRepBuf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2019-04-02T23:42:02Z</dcterms:modified>
</cp:coreProperties>
</file>